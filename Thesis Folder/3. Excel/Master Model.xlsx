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drawings/drawing1.xml" ContentType="application/vnd.openxmlformats-officedocument.drawing+xml"/>
  <Override PartName="/xl/worksheets/sheet6.xml" ContentType="application/vnd.openxmlformats-officedocument.spreadsheetml.worksheet+xml"/>
  <Override PartName="/xl/drawings/drawing2.xml" ContentType="application/vnd.openxmlformats-officedocument.drawing+xml"/>
  <Override PartName="/xl/worksheets/sheet7.xml" ContentType="application/vnd.openxmlformats-officedocument.spreadsheetml.worksheet+xml"/>
  <Override PartName="/xl/drawings/drawing3.xml" ContentType="application/vnd.openxmlformats-officedocument.drawing+xml"/>
  <Override PartName="/xl/worksheets/sheet8.xml" ContentType="application/vnd.openxmlformats-officedocument.spreadsheetml.worksheet+xml"/>
  <Override PartName="/xl/drawings/drawing4.xml" ContentType="application/vnd.openxmlformats-officedocument.drawing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charts/chart4.xml" ContentType="application/vnd.openxmlformats-officedocument.drawingml.chart+xml"/>
  <Override PartName="/xl/charts/chart5.xml" ContentType="application/vnd.openxmlformats-officedocument.drawingml.chart+xml"/>
  <Override PartName="/xl/charts/chart6.xml" ContentType="application/vnd.openxmlformats-officedocument.drawingml.chart+xml"/>
  <Override PartName="/xl/charts/chart7.xml" ContentType="application/vnd.openxmlformats-officedocument.drawingml.chart+xml"/>
  <Override PartName="/xl/charts/chart8.xml" ContentType="application/vnd.openxmlformats-officedocument.drawingml.chart+xml"/>
  <Override PartName="/xl/charts/chart9.xml" ContentType="application/vnd.openxmlformats-officedocument.drawingml.chart+xml"/>
  <Override PartName="/xl/charts/chart10.xml" ContentType="application/vnd.openxmlformats-officedocument.drawingml.chart+xml"/>
  <Override PartName="/xl/charts/chart11.xml" ContentType="application/vnd.openxmlformats-officedocument.drawingml.chart+xml"/>
  <Override PartName="/xl/charts/chart12.xml" ContentType="application/vnd.openxmlformats-officedocument.drawingml.chart+xml"/>
  <Override PartName="/xl/charts/chart13.xml" ContentType="application/vnd.openxmlformats-officedocument.drawingml.chart+xml"/>
  <Override PartName="/xl/charts/chart14.xml" ContentType="application/vnd.openxmlformats-officedocument.drawingml.chart+xml"/>
  <Override PartName="/xl/charts/chart15.xml" ContentType="application/vnd.openxmlformats-officedocument.drawingml.chart+xml"/>
  <Override PartName="/xl/charts/chart16.xml" ContentType="application/vnd.openxmlformats-officedocument.drawingml.chart+xml"/>
  <Override PartName="/xl/charts/chart17.xml" ContentType="application/vnd.openxmlformats-officedocument.drawingml.chart+xml"/>
  <Override PartName="/xl/charts/chart18.xml" ContentType="application/vnd.openxmlformats-officedocument.drawingml.chart+xml"/>
  <Override PartName="/xl/charts/chart19.xml" ContentType="application/vnd.openxmlformats-officedocument.drawingml.chart+xml"/>
  <Override PartName="/xl/charts/chart20.xml" ContentType="application/vnd.openxmlformats-officedocument.drawingml.chart+xml"/>
  <Override PartName="/xl/charts/chart21.xml" ContentType="application/vnd.openxmlformats-officedocument.drawingml.chart+xml"/>
  <Override PartName="/xl/charts/chart22.xml" ContentType="application/vnd.openxmlformats-officedocument.drawingml.chart+xml"/>
  <Override PartName="/xl/charts/chart23.xml" ContentType="application/vnd.openxmlformats-officedocument.drawingml.chart+xml"/>
  <Override PartName="/xl/charts/chart24.xml" ContentType="application/vnd.openxmlformats-officedocument.drawingml.chart+xml"/>
  <Override PartName="/xl/charts/chart25.xml" ContentType="application/vnd.openxmlformats-officedocument.drawingml.chart+xml"/>
  <Override PartName="/xl/charts/chart26.xml" ContentType="application/vnd.openxmlformats-officedocument.drawingml.chart+xml"/>
  <Override PartName="/xl/charts/chart27.xml" ContentType="application/vnd.openxmlformats-officedocument.drawingml.chart+xml"/>
  <Override PartName="/xl/charts/chart28.xml" ContentType="application/vnd.openxmlformats-officedocument.drawingml.chart+xml"/>
  <Override PartName="/xl/charts/chart29.xml" ContentType="application/vnd.openxmlformats-officedocument.drawingml.chart+xml"/>
  <Override PartName="/xl/charts/chart30.xml" ContentType="application/vnd.openxmlformats-officedocument.drawingml.chart+xml"/>
  <Override PartName="/xl/charts/chart31.xml" ContentType="application/vnd.openxmlformats-officedocument.drawingml.chart+xml"/>
  <Override PartName="/xl/charts/chart32.xml" ContentType="application/vnd.openxmlformats-officedocument.drawingml.chart+xml"/>
  <Override PartName="/xl/charts/chart33.xml" ContentType="application/vnd.openxmlformats-officedocument.drawingml.chart+xml"/>
  <Override PartName="/xl/charts/chart34.xml" ContentType="application/vnd.openxmlformats-officedocument.drawingml.chart+xml"/>
  <Override PartName="/xl/charts/chart35.xml" ContentType="application/vnd.openxmlformats-officedocument.drawingml.chart+xml"/>
  <Override PartName="/xl/charts/chart36.xml" ContentType="application/vnd.openxmlformats-officedocument.drawingml.chart+xml"/>
  <Override PartName="/xl/charts/chart37.xml" ContentType="application/vnd.openxmlformats-officedocument.drawingml.chart+xml"/>
  <Override PartName="/xl/charts/chart38.xml" ContentType="application/vnd.openxmlformats-officedocument.drawingml.chart+xml"/>
  <Override PartName="/xl/charts/chart39.xml" ContentType="application/vnd.openxmlformats-officedocument.drawingml.chart+xml"/>
  <Override PartName="/xl/charts/chart40.xml" ContentType="application/vnd.openxmlformats-officedocument.drawingml.chart+xml"/>
  <Override PartName="/xl/charts/chart41.xml" ContentType="application/vnd.openxmlformats-officedocument.drawingml.chart+xml"/>
  <Override PartName="/xl/charts/chart42.xml" ContentType="application/vnd.openxmlformats-officedocument.drawingml.chart+xml"/>
  <Override PartName="/xl/charts/chart43.xml" ContentType="application/vnd.openxmlformats-officedocument.drawingml.chart+xml"/>
  <Override PartName="/xl/charts/chart44.xml" ContentType="application/vnd.openxmlformats-officedocument.drawingml.chart+xml"/>
  <Override PartName="/xl/charts/chart45.xml" ContentType="application/vnd.openxmlformats-officedocument.drawingml.chart+xml"/>
  <Override PartName="/xl/charts/chart46.xml" ContentType="application/vnd.openxmlformats-officedocument.drawingml.chart+xml"/>
  <Override PartName="/xl/charts/chart47.xml" ContentType="application/vnd.openxmlformats-officedocument.drawingml.chart+xml"/>
  <Override PartName="/xl/charts/chart48.xml" ContentType="application/vnd.openxmlformats-officedocument.drawingml.chart+xml"/>
  <Override PartName="/xl/charts/chart49.xml" ContentType="application/vnd.openxmlformats-officedocument.drawingml.chart+xml"/>
  <Override PartName="/xl/charts/chart50.xml" ContentType="application/vnd.openxmlformats-officedocument.drawingml.chart+xml"/>
  <Override PartName="/xl/charts/chart51.xml" ContentType="application/vnd.openxmlformats-officedocument.drawingml.chart+xml"/>
  <Override PartName="/xl/charts/chart52.xml" ContentType="application/vnd.openxmlformats-officedocument.drawingml.chart+xml"/>
  <Override PartName="/xl/charts/chart53.xml" ContentType="application/vnd.openxmlformats-officedocument.drawingml.chart+xml"/>
  <Override PartName="/xl/charts/chart54.xml" ContentType="application/vnd.openxmlformats-officedocument.drawingml.chart+xml"/>
  <Override PartName="/xl/charts/chart55.xml" ContentType="application/vnd.openxmlformats-officedocument.drawingml.chart+xml"/>
  <Override PartName="/xl/charts/chart56.xml" ContentType="application/vnd.openxmlformats-officedocument.drawingml.chart+xml"/>
  <Override PartName="/xl/charts/chart57.xml" ContentType="application/vnd.openxmlformats-officedocument.drawingml.chart+xml"/>
  <Override PartName="/xl/charts/chart58.xml" ContentType="application/vnd.openxmlformats-officedocument.drawingml.chart+xml"/>
  <Override PartName="/xl/charts/chart59.xml" ContentType="application/vnd.openxmlformats-officedocument.drawingml.chart+xml"/>
  <Override PartName="/xl/charts/chart60.xml" ContentType="application/vnd.openxmlformats-officedocument.drawingml.chart+xml"/>
  <Override PartName="/xl/charts/chart61.xml" ContentType="application/vnd.openxmlformats-officedocument.drawingml.chart+xml"/>
  <Override PartName="/xl/charts/chart62.xml" ContentType="application/vnd.openxmlformats-officedocument.drawingml.chart+xml"/>
  <Override PartName="/xl/charts/chart63.xml" ContentType="application/vnd.openxmlformats-officedocument.drawingml.chart+xml"/>
  <Override PartName="/xl/charts/chart64.xml" ContentType="application/vnd.openxmlformats-officedocument.drawingml.chart+xml"/>
  <Override PartName="/xl/charts/chart65.xml" ContentType="application/vnd.openxmlformats-officedocument.drawingml.chart+xml"/>
  <Override PartName="/xl/charts/chart66.xml" ContentType="application/vnd.openxmlformats-officedocument.drawingml.chart+xml"/>
  <Override PartName="/xl/charts/chart67.xml" ContentType="application/vnd.openxmlformats-officedocument.drawingml.chart+xml"/>
  <Override PartName="/xl/charts/chart68.xml" ContentType="application/vnd.openxmlformats-officedocument.drawingml.chart+xml"/>
  <Override PartName="/xl/charts/chart69.xml" ContentType="application/vnd.openxmlformats-officedocument.drawingml.chart+xml"/>
  <Override PartName="/xl/charts/chart70.xml" ContentType="application/vnd.openxmlformats-officedocument.drawingml.chart+xml"/>
  <Override PartName="/xl/charts/chart71.xml" ContentType="application/vnd.openxmlformats-officedocument.drawingml.chart+xml"/>
  <Override PartName="/xl/charts/chart72.xml" ContentType="application/vnd.openxmlformats-officedocument.drawingml.chart+xml"/>
  <Override PartName="/xl/charts/chart73.xml" ContentType="application/vnd.openxmlformats-officedocument.drawingml.chart+xml"/>
  <Override PartName="/xl/charts/chart74.xml" ContentType="application/vnd.openxmlformats-officedocument.drawingml.chart+xml"/>
  <Override PartName="/xl/charts/chart75.xml" ContentType="application/vnd.openxmlformats-officedocument.drawingml.chart+xml"/>
  <Override PartName="/xl/charts/chart76.xml" ContentType="application/vnd.openxmlformats-officedocument.drawingml.chart+xml"/>
  <Override PartName="/xl/charts/chart77.xml" ContentType="application/vnd.openxmlformats-officedocument.drawingml.chart+xml"/>
  <Override PartName="/xl/charts/chart78.xml" ContentType="application/vnd.openxmlformats-officedocument.drawingml.chart+xml"/>
  <Override PartName="/xl/charts/chart79.xml" ContentType="application/vnd.openxmlformats-officedocument.drawingml.chart+xml"/>
  <Override PartName="/xl/charts/chart80.xml" ContentType="application/vnd.openxmlformats-officedocument.drawingml.chart+xml"/>
  <Override PartName="/xl/charts/chart81.xml" ContentType="application/vnd.openxmlformats-officedocument.drawingml.chart+xml"/>
  <Override PartName="/xl/charts/chart82.xml" ContentType="application/vnd.openxmlformats-officedocument.drawingml.chart+xml"/>
  <Override PartName="/xl/charts/chart83.xml" ContentType="application/vnd.openxmlformats-officedocument.drawingml.chart+xml"/>
  <Override PartName="/xl/charts/chart84.xml" ContentType="application/vnd.openxmlformats-officedocument.drawingml.chart+xml"/>
  <Override PartName="/xl/charts/chart85.xml" ContentType="application/vnd.openxmlformats-officedocument.drawingml.chart+xml"/>
  <Override PartName="/xl/charts/chart86.xml" ContentType="application/vnd.openxmlformats-officedocument.drawingml.chart+xml"/>
  <Override PartName="/xl/charts/chart87.xml" ContentType="application/vnd.openxmlformats-officedocument.drawingml.chart+xml"/>
  <Override PartName="/xl/charts/chart88.xml" ContentType="application/vnd.openxmlformats-officedocument.drawingml.chart+xml"/>
  <Override PartName="/xl/charts/chart89.xml" ContentType="application/vnd.openxmlformats-officedocument.drawingml.chart+xml"/>
  <Override PartName="/xl/charts/chart90.xml" ContentType="application/vnd.openxmlformats-officedocument.drawingml.chart+xml"/>
  <Override PartName="/xl/charts/chart91.xml" ContentType="application/vnd.openxmlformats-officedocument.drawingml.chart+xml"/>
  <Override PartName="/xl/charts/chart92.xml" ContentType="application/vnd.openxmlformats-officedocument.drawingml.chart+xml"/>
  <Override PartName="/xl/charts/chart93.xml" ContentType="application/vnd.openxmlformats-officedocument.drawingml.chart+xml"/>
  <Override PartName="/xl/charts/chart94.xml" ContentType="application/vnd.openxmlformats-officedocument.drawingml.chart+xml"/>
  <Override PartName="/xl/charts/chart95.xml" ContentType="application/vnd.openxmlformats-officedocument.drawingml.chart+xml"/>
  <Override PartName="/xl/charts/chart96.xml" ContentType="application/vnd.openxmlformats-officedocument.drawingml.chart+xml"/>
  <Override PartName="/xl/charts/chart97.xml" ContentType="application/vnd.openxmlformats-officedocument.drawingml.chart+xml"/>
  <Override PartName="/xl/charts/chart98.xml" ContentType="application/vnd.openxmlformats-officedocument.drawingml.chart+xml"/>
  <Override PartName="/xl/charts/chart99.xml" ContentType="application/vnd.openxmlformats-officedocument.drawingml.chart+xml"/>
  <Override PartName="/xl/charts/chart100.xml" ContentType="application/vnd.openxmlformats-officedocument.drawingml.chart+xml"/>
  <Override PartName="/xl/charts/chart101.xml" ContentType="application/vnd.openxmlformats-officedocument.drawingml.chart+xml"/>
  <Override PartName="/xl/charts/chart102.xml" ContentType="application/vnd.openxmlformats-officedocument.drawingml.chart+xml"/>
  <Override PartName="/xl/charts/chart103.xml" ContentType="application/vnd.openxmlformats-officedocument.drawingml.chart+xml"/>
  <Override PartName="/xl/charts/chart104.xml" ContentType="application/vnd.openxmlformats-officedocument.drawingml.chart+xml"/>
  <Override PartName="/xl/charts/chart105.xml" ContentType="application/vnd.openxmlformats-officedocument.drawingml.chart+xml"/>
  <Override PartName="/xl/charts/chart106.xml" ContentType="application/vnd.openxmlformats-officedocument.drawingml.chart+xml"/>
  <Override PartName="/xl/charts/chart107.xml" ContentType="application/vnd.openxmlformats-officedocument.drawingml.chart+xml"/>
  <Override PartName="/xl/charts/chart108.xml" ContentType="application/vnd.openxmlformats-officedocument.drawingml.chart+xml"/>
  <Override PartName="/xl/charts/chart109.xml" ContentType="application/vnd.openxmlformats-officedocument.drawingml.chart+xml"/>
  <Override PartName="/xl/charts/chart110.xml" ContentType="application/vnd.openxmlformats-officedocument.drawingml.chart+xml"/>
  <Override PartName="/xl/charts/chart111.xml" ContentType="application/vnd.openxmlformats-officedocument.drawingml.chart+xml"/>
  <Override PartName="/xl/charts/chart112.xml" ContentType="application/vnd.openxmlformats-officedocument.drawingml.chart+xml"/>
  <Override PartName="/xl/charts/chart113.xml" ContentType="application/vnd.openxmlformats-officedocument.drawingml.chart+xml"/>
  <Override PartName="/xl/charts/chart114.xml" ContentType="application/vnd.openxmlformats-officedocument.drawingml.chart+xml"/>
  <Override PartName="/xl/charts/chart115.xml" ContentType="application/vnd.openxmlformats-officedocument.drawingml.chart+xml"/>
  <Override PartName="/xl/charts/chart116.xml" ContentType="application/vnd.openxmlformats-officedocument.drawingml.chart+xml"/>
  <Override PartName="/xl/charts/chart117.xml" ContentType="application/vnd.openxmlformats-officedocument.drawingml.chart+xml"/>
  <Override PartName="/xl/charts/chart118.xml" ContentType="application/vnd.openxmlformats-officedocument.drawingml.chart+xml"/>
  <Override PartName="/xl/charts/chart119.xml" ContentType="application/vnd.openxmlformats-officedocument.drawingml.chart+xml"/>
  <Override PartName="/xl/charts/chart120.xml" ContentType="application/vnd.openxmlformats-officedocument.drawingml.chart+xml"/>
  <Override PartName="/xl/charts/chart121.xml" ContentType="application/vnd.openxmlformats-officedocument.drawingml.chart+xml"/>
  <Override PartName="/xl/charts/chart122.xml" ContentType="application/vnd.openxmlformats-officedocument.drawingml.chart+xml"/>
  <Override PartName="/xl/charts/chart123.xml" ContentType="application/vnd.openxmlformats-officedocument.drawingml.chart+xml"/>
  <Override PartName="/xl/charts/chart124.xml" ContentType="application/vnd.openxmlformats-officedocument.drawingml.chart+xml"/>
  <Override PartName="/xl/charts/chart125.xml" ContentType="application/vnd.openxmlformats-officedocument.drawingml.chart+xml"/>
  <Override PartName="/xl/charts/chart126.xml" ContentType="application/vnd.openxmlformats-officedocument.drawingml.chart+xml"/>
  <Override PartName="/xl/charts/chart127.xml" ContentType="application/vnd.openxmlformats-officedocument.drawingml.chart+xml"/>
  <Override PartName="/xl/charts/chart128.xml" ContentType="application/vnd.openxmlformats-officedocument.drawingml.chart+xml"/>
  <Override PartName="/xl/charts/chart129.xml" ContentType="application/vnd.openxmlformats-officedocument.drawingml.chart+xml"/>
  <Override PartName="/xl/charts/chart130.xml" ContentType="application/vnd.openxmlformats-officedocument.drawingml.chart+xml"/>
  <Override PartName="/xl/charts/chart131.xml" ContentType="application/vnd.openxmlformats-officedocument.drawingml.chart+xml"/>
  <Override PartName="/xl/charts/chart132.xml" ContentType="application/vnd.openxmlformats-officedocument.drawingml.chart+xml"/>
  <Override PartName="/xl/charts/chart133.xml" ContentType="application/vnd.openxmlformats-officedocument.drawingml.chart+xml"/>
  <Override PartName="/xl/charts/chart134.xml" ContentType="application/vnd.openxmlformats-officedocument.drawingml.chart+xml"/>
  <Override PartName="/xl/charts/chart135.xml" ContentType="application/vnd.openxmlformats-officedocument.drawingml.chart+xml"/>
  <Override PartName="/xl/charts/chart136.xml" ContentType="application/vnd.openxmlformats-officedocument.drawingml.chart+xml"/>
  <Override PartName="/xl/charts/chart137.xml" ContentType="application/vnd.openxmlformats-officedocument.drawingml.chart+xml"/>
  <Override PartName="/xl/charts/chart138.xml" ContentType="application/vnd.openxmlformats-officedocument.drawingml.chart+xml"/>
  <Override PartName="/xl/charts/chart139.xml" ContentType="application/vnd.openxmlformats-officedocument.drawingml.chart+xml"/>
  <Override PartName="/xl/charts/chart140.xml" ContentType="application/vnd.openxmlformats-officedocument.drawingml.chart+xml"/>
  <Override PartName="/xl/charts/chart141.xml" ContentType="application/vnd.openxmlformats-officedocument.drawingml.chart+xml"/>
  <Override PartName="/xl/charts/chart142.xml" ContentType="application/vnd.openxmlformats-officedocument.drawingml.chart+xml"/>
  <Override PartName="/xl/charts/chart143.xml" ContentType="application/vnd.openxmlformats-officedocument.drawingml.chart+xml"/>
  <Override PartName="/xl/charts/chart144.xml" ContentType="application/vnd.openxmlformats-officedocument.drawingml.chart+xml"/>
  <Override PartName="/xl/charts/chart145.xml" ContentType="application/vnd.openxmlformats-officedocument.drawingml.chart+xml"/>
  <Override PartName="/xl/charts/chart146.xml" ContentType="application/vnd.openxmlformats-officedocument.drawingml.chart+xml"/>
  <Override PartName="/xl/charts/chart147.xml" ContentType="application/vnd.openxmlformats-officedocument.drawingml.chart+xml"/>
  <Override PartName="/xl/charts/chart148.xml" ContentType="application/vnd.openxmlformats-officedocument.drawingml.chart+xml"/>
  <Override PartName="/xl/charts/chart149.xml" ContentType="application/vnd.openxmlformats-officedocument.drawingml.chart+xml"/>
  <Override PartName="/xl/charts/chart150.xml" ContentType="application/vnd.openxmlformats-officedocument.drawingml.chart+xml"/>
  <Override PartName="/xl/charts/chart151.xml" ContentType="application/vnd.openxmlformats-officedocument.drawingml.chart+xml"/>
  <Override PartName="/xl/charts/chart152.xml" ContentType="application/vnd.openxmlformats-officedocument.drawingml.chart+xml"/>
  <Override PartName="/xl/charts/chart153.xml" ContentType="application/vnd.openxmlformats-officedocument.drawingml.chart+xml"/>
  <Override PartName="/xl/charts/chart154.xml" ContentType="application/vnd.openxmlformats-officedocument.drawingml.chart+xml"/>
  <Override PartName="/xl/charts/chart155.xml" ContentType="application/vnd.openxmlformats-officedocument.drawingml.chart+xml"/>
  <Override PartName="/xl/charts/chart156.xml" ContentType="application/vnd.openxmlformats-officedocument.drawingml.chart+xml"/>
  <Override PartName="/xl/charts/chart157.xml" ContentType="application/vnd.openxmlformats-officedocument.drawingml.chart+xml"/>
  <Override PartName="/xl/charts/chart158.xml" ContentType="application/vnd.openxmlformats-officedocument.drawingml.chart+xml"/>
  <Override PartName="/xl/charts/chart159.xml" ContentType="application/vnd.openxmlformats-officedocument.drawingml.chart+xml"/>
  <Override PartName="/xl/charts/chart160.xml" ContentType="application/vnd.openxmlformats-officedocument.drawingml.chart+xml"/>
  <Override PartName="/xl/charts/chart161.xml" ContentType="application/vnd.openxmlformats-officedocument.drawingml.chart+xml"/>
  <Override PartName="/xl/charts/chart162.xml" ContentType="application/vnd.openxmlformats-officedocument.drawingml.chart+xml"/>
  <Override PartName="/xl/charts/chart163.xml" ContentType="application/vnd.openxmlformats-officedocument.drawingml.chart+xml"/>
  <Override PartName="/xl/charts/chart164.xml" ContentType="application/vnd.openxmlformats-officedocument.drawingml.chart+xml"/>
  <Override PartName="/xl/charts/chart165.xml" ContentType="application/vnd.openxmlformats-officedocument.drawingml.chart+xml"/>
  <Override PartName="/xl/charts/chart166.xml" ContentType="application/vnd.openxmlformats-officedocument.drawingml.chart+xml"/>
  <Override PartName="/xl/charts/chart167.xml" ContentType="application/vnd.openxmlformats-officedocument.drawingml.chart+xml"/>
  <Override PartName="/xl/charts/chart168.xml" ContentType="application/vnd.openxmlformats-officedocument.drawingml.chart+xml"/>
  <Override PartName="/xl/charts/chart169.xml" ContentType="application/vnd.openxmlformats-officedocument.drawingml.chart+xml"/>
  <Override PartName="/xl/charts/chart170.xml" ContentType="application/vnd.openxmlformats-officedocument.drawingml.chart+xml"/>
  <Override PartName="/xl/charts/chart171.xml" ContentType="application/vnd.openxmlformats-officedocument.drawingml.chart+xml"/>
  <Override PartName="/xl/charts/chart172.xml" ContentType="application/vnd.openxmlformats-officedocument.drawingml.chart+xml"/>
  <Override PartName="/xl/charts/chart173.xml" ContentType="application/vnd.openxmlformats-officedocument.drawingml.chart+xml"/>
  <Override PartName="/xl/charts/chart174.xml" ContentType="application/vnd.openxmlformats-officedocument.drawingml.chart+xml"/>
  <Override PartName="/xl/charts/chart175.xml" ContentType="application/vnd.openxmlformats-officedocument.drawingml.chart+xml"/>
  <Override PartName="/xl/charts/chart176.xml" ContentType="application/vnd.openxmlformats-officedocument.drawingml.chart+xml"/>
  <Override PartName="/xl/charts/chart177.xml" ContentType="application/vnd.openxmlformats-officedocument.drawingml.chart+xml"/>
  <Override PartName="/xl/charts/chart178.xml" ContentType="application/vnd.openxmlformats-officedocument.drawingml.chart+xml"/>
  <Override PartName="/xl/charts/chart179.xml" ContentType="application/vnd.openxmlformats-officedocument.drawingml.chart+xml"/>
  <Override PartName="/xl/charts/chart180.xml" ContentType="application/vnd.openxmlformats-officedocument.drawingml.chart+xml"/>
  <Override PartName="/xl/charts/chart181.xml" ContentType="application/vnd.openxmlformats-officedocument.drawingml.chart+xml"/>
  <Override PartName="/xl/charts/chart182.xml" ContentType="application/vnd.openxmlformats-officedocument.drawingml.chart+xml"/>
  <Override PartName="/xl/charts/chart183.xml" ContentType="application/vnd.openxmlformats-officedocument.drawingml.chart+xml"/>
  <Override PartName="/xl/charts/chart184.xml" ContentType="application/vnd.openxmlformats-officedocument.drawingml.chart+xml"/>
  <Override PartName="/xl/charts/chart185.xml" ContentType="application/vnd.openxmlformats-officedocument.drawingml.chart+xml"/>
  <Override PartName="/xl/charts/chart186.xml" ContentType="application/vnd.openxmlformats-officedocument.drawingml.chart+xml"/>
  <Override PartName="/xl/charts/chart187.xml" ContentType="application/vnd.openxmlformats-officedocument.drawingml.chart+xml"/>
  <Override PartName="/xl/charts/chart188.xml" ContentType="application/vnd.openxmlformats-officedocument.drawingml.chart+xml"/>
  <Override PartName="/xl/charts/chart189.xml" ContentType="application/vnd.openxmlformats-officedocument.drawingml.chart+xml"/>
  <Override PartName="/xl/charts/chart190.xml" ContentType="application/vnd.openxmlformats-officedocument.drawingml.chart+xml"/>
  <Override PartName="/xl/charts/chart191.xml" ContentType="application/vnd.openxmlformats-officedocument.drawingml.chart+xml"/>
  <Override PartName="/xl/charts/chart192.xml" ContentType="application/vnd.openxmlformats-officedocument.drawingml.chart+xml"/>
  <Override PartName="/xl/charts/chart193.xml" ContentType="application/vnd.openxmlformats-officedocument.drawingml.chart+xml"/>
  <Override PartName="/xl/charts/chart194.xml" ContentType="application/vnd.openxmlformats-officedocument.drawingml.chart+xml"/>
  <Override PartName="/xl/charts/chart195.xml" ContentType="application/vnd.openxmlformats-officedocument.drawingml.chart+xml"/>
  <Override PartName="/xl/charts/chart196.xml" ContentType="application/vnd.openxmlformats-officedocument.drawingml.chart+xml"/>
  <Override PartName="/xl/charts/chart197.xml" ContentType="application/vnd.openxmlformats-officedocument.drawingml.chart+xml"/>
  <Override PartName="/xl/charts/chart198.xml" ContentType="application/vnd.openxmlformats-officedocument.drawingml.chart+xml"/>
  <Override PartName="/xl/charts/chart199.xml" ContentType="application/vnd.openxmlformats-officedocument.drawingml.chart+xml"/>
  <Override PartName="/xl/charts/chart200.xml" ContentType="application/vnd.openxmlformats-officedocument.drawingml.chart+xml"/>
  <Override PartName="/xl/charts/chart201.xml" ContentType="application/vnd.openxmlformats-officedocument.drawingml.chart+xml"/>
  <Override PartName="/xl/charts/chart202.xml" ContentType="application/vnd.openxmlformats-officedocument.drawingml.chart+xml"/>
  <Override PartName="/xl/charts/chart203.xml" ContentType="application/vnd.openxmlformats-officedocument.drawingml.chart+xml"/>
  <Override PartName="/xl/charts/chart204.xml" ContentType="application/vnd.openxmlformats-officedocument.drawingml.chart+xml"/>
  <Override PartName="/xl/charts/chart205.xml" ContentType="application/vnd.openxmlformats-officedocument.drawingml.chart+xml"/>
  <Override PartName="/xl/charts/chart206.xml" ContentType="application/vnd.openxmlformats-officedocument.drawingml.chart+xml"/>
  <Override PartName="/xl/charts/chart207.xml" ContentType="application/vnd.openxmlformats-officedocument.drawingml.chart+xml"/>
  <Override PartName="/xl/charts/chart208.xml" ContentType="application/vnd.openxmlformats-officedocument.drawingml.chart+xml"/>
  <Override PartName="/xl/charts/chart209.xml" ContentType="application/vnd.openxmlformats-officedocument.drawingml.chart+xml"/>
  <Override PartName="/xl/charts/chart210.xml" ContentType="application/vnd.openxmlformats-officedocument.drawingml.chart+xml"/>
  <Override PartName="/xl/charts/chart211.xml" ContentType="application/vnd.openxmlformats-officedocument.drawingml.chart+xml"/>
  <Override PartName="/xl/charts/chart212.xml" ContentType="application/vnd.openxmlformats-officedocument.drawingml.chart+xml"/>
  <Override PartName="/xl/charts/chart213.xml" ContentType="application/vnd.openxmlformats-officedocument.drawingml.chart+xml"/>
  <Override PartName="/xl/charts/chart214.xml" ContentType="application/vnd.openxmlformats-officedocument.drawingml.chart+xml"/>
  <Override PartName="/xl/charts/chart215.xml" ContentType="application/vnd.openxmlformats-officedocument.drawingml.chart+xml"/>
  <Override PartName="/xl/charts/chart216.xml" ContentType="application/vnd.openxmlformats-officedocument.drawingml.chart+xml"/>
  <Override PartName="/xl/charts/chart217.xml" ContentType="application/vnd.openxmlformats-officedocument.drawingml.chart+xml"/>
  <Override PartName="/xl/charts/chart218.xml" ContentType="application/vnd.openxmlformats-officedocument.drawingml.chart+xml"/>
  <Override PartName="/xl/charts/chart219.xml" ContentType="application/vnd.openxmlformats-officedocument.drawingml.chart+xml"/>
  <Override PartName="/xl/charts/chart220.xml" ContentType="application/vnd.openxmlformats-officedocument.drawingml.chart+xml"/>
  <Override PartName="/xl/charts/chart221.xml" ContentType="application/vnd.openxmlformats-officedocument.drawingml.chart+xml"/>
  <Override PartName="/xl/charts/chart222.xml" ContentType="application/vnd.openxmlformats-officedocument.drawingml.chart+xml"/>
  <Override PartName="/xl/charts/chart223.xml" ContentType="application/vnd.openxmlformats-officedocument.drawingml.chart+xml"/>
  <Override PartName="/xl/charts/chart224.xml" ContentType="application/vnd.openxmlformats-officedocument.drawingml.chart+xml"/>
  <Override PartName="/xl/charts/chart225.xml" ContentType="application/vnd.openxmlformats-officedocument.drawingml.chart+xml"/>
  <Override PartName="/xl/charts/chart226.xml" ContentType="application/vnd.openxmlformats-officedocument.drawingml.chart+xml"/>
  <Override PartName="/xl/charts/chart227.xml" ContentType="application/vnd.openxmlformats-officedocument.drawingml.chart+xml"/>
  <Override PartName="/xl/charts/chart228.xml" ContentType="application/vnd.openxmlformats-officedocument.drawingml.chart+xml"/>
  <Override PartName="/xl/charts/chart229.xml" ContentType="application/vnd.openxmlformats-officedocument.drawingml.chart+xml"/>
  <Override PartName="/xl/charts/chart230.xml" ContentType="application/vnd.openxmlformats-officedocument.drawingml.chart+xml"/>
  <Override PartName="/xl/charts/chart231.xml" ContentType="application/vnd.openxmlformats-officedocument.drawingml.chart+xml"/>
  <Override PartName="/xl/charts/chart232.xml" ContentType="application/vnd.openxmlformats-officedocument.drawingml.chart+xml"/>
  <Override PartName="/xl/charts/chart233.xml" ContentType="application/vnd.openxmlformats-officedocument.drawingml.chart+xml"/>
  <Override PartName="/xl/charts/chart234.xml" ContentType="application/vnd.openxmlformats-officedocument.drawingml.chart+xml"/>
  <Override PartName="/xl/charts/chart235.xml" ContentType="application/vnd.openxmlformats-officedocument.drawingml.chart+xml"/>
  <Override PartName="/xl/charts/chart236.xml" ContentType="application/vnd.openxmlformats-officedocument.drawingml.chart+xml"/>
  <Override PartName="/xl/charts/chart237.xml" ContentType="application/vnd.openxmlformats-officedocument.drawingml.chart+xml"/>
  <Override PartName="/xl/charts/chart238.xml" ContentType="application/vnd.openxmlformats-officedocument.drawingml.chart+xml"/>
  <Override PartName="/xl/charts/chart239.xml" ContentType="application/vnd.openxmlformats-officedocument.drawingml.chart+xml"/>
  <Override PartName="/xl/charts/chart240.xml" ContentType="application/vnd.openxmlformats-officedocument.drawingml.chart+xml"/>
  <Override PartName="/xl/charts/chart241.xml" ContentType="application/vnd.openxmlformats-officedocument.drawingml.chart+xml"/>
  <Override PartName="/xl/charts/chart242.xml" ContentType="application/vnd.openxmlformats-officedocument.drawingml.chart+xml"/>
  <Override PartName="/xl/charts/chart243.xml" ContentType="application/vnd.openxmlformats-officedocument.drawingml.chart+xml"/>
  <Override PartName="/xl/charts/chart244.xml" ContentType="application/vnd.openxmlformats-officedocument.drawingml.chart+xml"/>
  <Override PartName="/xl/charts/chart245.xml" ContentType="application/vnd.openxmlformats-officedocument.drawingml.chart+xml"/>
  <Override PartName="/xl/charts/chart246.xml" ContentType="application/vnd.openxmlformats-officedocument.drawingml.chart+xml"/>
  <Override PartName="/xl/charts/chart247.xml" ContentType="application/vnd.openxmlformats-officedocument.drawingml.chart+xml"/>
  <Override PartName="/xl/charts/chart248.xml" ContentType="application/vnd.openxmlformats-officedocument.drawingml.chart+xml"/>
  <Override PartName="/xl/charts/chart249.xml" ContentType="application/vnd.openxmlformats-officedocument.drawingml.chart+xml"/>
  <Override PartName="/xl/charts/chart250.xml" ContentType="application/vnd.openxmlformats-officedocument.drawingml.chart+xml"/>
  <Override PartName="/xl/charts/chart251.xml" ContentType="application/vnd.openxmlformats-officedocument.drawingml.chart+xml"/>
  <Override PartName="/xl/charts/chart252.xml" ContentType="application/vnd.openxmlformats-officedocument.drawingml.chart+xml"/>
  <Override PartName="/xl/charts/chart253.xml" ContentType="application/vnd.openxmlformats-officedocument.drawingml.chart+xml"/>
  <Override PartName="/xl/charts/chart254.xml" ContentType="application/vnd.openxmlformats-officedocument.drawingml.chart+xml"/>
  <Override PartName="/xl/charts/chart255.xml" ContentType="application/vnd.openxmlformats-officedocument.drawingml.chart+xml"/>
  <Override PartName="/xl/charts/chart256.xml" ContentType="application/vnd.openxmlformats-officedocument.drawingml.chart+xml"/>
  <Override PartName="/xl/charts/chart257.xml" ContentType="application/vnd.openxmlformats-officedocument.drawingml.chart+xml"/>
  <Override PartName="/xl/charts/chart258.xml" ContentType="application/vnd.openxmlformats-officedocument.drawingml.chart+xml"/>
  <Override PartName="/xl/charts/chart259.xml" ContentType="application/vnd.openxmlformats-officedocument.drawingml.chart+xml"/>
  <Override PartName="/xl/charts/chart260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0" yWindow="600" windowWidth="38400" windowHeight="21000" tabRatio="600" firstSheet="0" activeTab="11" autoFilterDateGrouping="1"/>
  </bookViews>
  <sheets>
    <sheet xmlns:r="http://schemas.openxmlformats.org/officeDocument/2006/relationships" name="Cover Page" sheetId="1" state="visible" r:id="rId1"/>
    <sheet xmlns:r="http://schemas.openxmlformats.org/officeDocument/2006/relationships" name="Data Log" sheetId="2" state="visible" r:id="rId2"/>
    <sheet xmlns:r="http://schemas.openxmlformats.org/officeDocument/2006/relationships" name="Assumptions" sheetId="3" state="visible" r:id="rId3"/>
    <sheet xmlns:r="http://schemas.openxmlformats.org/officeDocument/2006/relationships" name="WACC" sheetId="4" state="visible" r:id="rId4"/>
    <sheet xmlns:r="http://schemas.openxmlformats.org/officeDocument/2006/relationships" name="Electricity Price Data" sheetId="5" state="visible" r:id="rId5"/>
    <sheet xmlns:r="http://schemas.openxmlformats.org/officeDocument/2006/relationships" name="Capture Price Inputs" sheetId="6" state="visible" r:id="rId6"/>
    <sheet xmlns:r="http://schemas.openxmlformats.org/officeDocument/2006/relationships" name="Calibration" sheetId="7" state="visible" r:id="rId7"/>
    <sheet xmlns:r="http://schemas.openxmlformats.org/officeDocument/2006/relationships" name="Simulation" sheetId="8" state="visible" r:id="rId8"/>
    <sheet xmlns:r="http://schemas.openxmlformats.org/officeDocument/2006/relationships" name="FCFF Model" sheetId="9" state="visible" r:id="rId9"/>
    <sheet xmlns:r="http://schemas.openxmlformats.org/officeDocument/2006/relationships" name="Debt Sizing" sheetId="10" state="visible" r:id="rId10"/>
    <sheet xmlns:r="http://schemas.openxmlformats.org/officeDocument/2006/relationships" name="Stress Test" sheetId="11" state="visible" r:id="rId11"/>
    <sheet xmlns:r="http://schemas.openxmlformats.org/officeDocument/2006/relationships" name="Output" sheetId="12" state="visible" r:id="rId12"/>
  </sheets>
  <definedNames/>
  <calcPr calcId="191029" fullCalcOnLoad="1"/>
</workbook>
</file>

<file path=xl/styles.xml><?xml version="1.0" encoding="utf-8"?>
<styleSheet xmlns="http://schemas.openxmlformats.org/spreadsheetml/2006/main">
  <numFmts count="6">
    <numFmt numFmtId="164" formatCode="0.0%"/>
    <numFmt numFmtId="165" formatCode="_-* #,##0_-;\-* #,##0_-;_-* &quot;-&quot;??_-;_-@_-"/>
    <numFmt numFmtId="166" formatCode="0.0000%"/>
    <numFmt numFmtId="167" formatCode="0.000%"/>
    <numFmt numFmtId="168" formatCode="#,##0.0"/>
    <numFmt numFmtId="169" formatCode="0.00000"/>
  </numFmts>
  <fonts count="56">
    <font>
      <name val="Aptos Narrow"/>
      <family val="2"/>
      <color theme="1"/>
      <sz val="12"/>
      <scheme val="minor"/>
    </font>
    <font>
      <name val="Aptos Narrow"/>
      <family val="2"/>
      <color theme="1"/>
      <sz val="11"/>
      <scheme val="minor"/>
    </font>
    <font>
      <name val="Aptos Narrow"/>
      <family val="2"/>
      <color theme="1"/>
      <sz val="12"/>
      <scheme val="minor"/>
    </font>
    <font>
      <name val="Calibri"/>
      <family val="2"/>
      <color rgb="FF000000"/>
      <sz val="11"/>
    </font>
    <font>
      <name val="Aptos"/>
      <color theme="1"/>
      <sz val="11"/>
    </font>
    <font>
      <name val="Aptos Narrow"/>
      <color theme="1"/>
      <sz val="12"/>
      <scheme val="minor"/>
    </font>
    <font>
      <name val="Aptos"/>
      <color theme="1"/>
      <sz val="12"/>
    </font>
    <font>
      <name val="Aptos Display"/>
      <b val="1"/>
      <sz val="22"/>
      <scheme val="major"/>
    </font>
    <font>
      <name val="Aptos Narrow"/>
      <b val="1"/>
      <sz val="11"/>
      <scheme val="minor"/>
    </font>
    <font>
      <name val="Aptos Narrow"/>
      <b val="1"/>
      <color theme="1"/>
      <sz val="11"/>
      <scheme val="minor"/>
    </font>
    <font>
      <name val="Aptos"/>
      <sz val="11"/>
    </font>
    <font>
      <name val="Aptos Narrow"/>
      <color theme="1"/>
      <sz val="11"/>
      <scheme val="minor"/>
    </font>
    <font>
      <name val="Aptos Narrow"/>
      <b val="1"/>
      <color rgb="FF1F4E79"/>
      <sz val="11"/>
      <scheme val="minor"/>
    </font>
    <font>
      <name val="Aptos Narrow"/>
      <color rgb="FF000000"/>
      <sz val="11"/>
      <scheme val="minor"/>
    </font>
    <font>
      <name val="Aptos Narrow"/>
      <i val="1"/>
      <color rgb="FF000000"/>
      <sz val="11"/>
      <scheme val="minor"/>
    </font>
    <font>
      <name val="Aptos Narrow"/>
      <color rgb="FF00B050"/>
      <sz val="11"/>
      <scheme val="minor"/>
    </font>
    <font>
      <name val="Aptos Narrow"/>
      <b val="1"/>
      <color rgb="FF000000"/>
      <sz val="11"/>
      <scheme val="minor"/>
    </font>
    <font>
      <name val="Aptos Narrow"/>
      <b val="1"/>
      <color theme="1"/>
      <sz val="11"/>
      <u val="single"/>
      <scheme val="minor"/>
    </font>
    <font>
      <name val="Aptos Narrow"/>
      <b val="1"/>
      <color rgb="FF000000"/>
      <sz val="11"/>
      <u val="single"/>
      <scheme val="minor"/>
    </font>
    <font>
      <name val="Aptos Narrow"/>
      <color rgb="FF3E3BF2"/>
      <sz val="11"/>
      <scheme val="minor"/>
    </font>
    <font>
      <name val="Aptos Narrow"/>
      <i val="1"/>
      <color theme="1"/>
      <sz val="11"/>
      <scheme val="minor"/>
    </font>
    <font>
      <name val="Aptos Narrow"/>
      <family val="2"/>
      <color rgb="FF00B050"/>
      <sz val="12"/>
      <scheme val="minor"/>
    </font>
    <font>
      <name val="Arial"/>
      <family val="2"/>
      <b val="1"/>
      <color rgb="FFFFFFFF"/>
      <sz val="12"/>
    </font>
    <font>
      <name val="Arial"/>
      <family val="2"/>
      <i val="1"/>
      <color rgb="FF595959"/>
      <sz val="8"/>
    </font>
    <font>
      <name val="Arial"/>
      <family val="2"/>
      <b val="1"/>
      <color rgb="FFFFFFFF"/>
      <sz val="7"/>
    </font>
    <font>
      <name val="Arial"/>
      <family val="2"/>
      <b val="1"/>
      <color rgb="FFFFFFFF"/>
      <sz val="9"/>
    </font>
    <font>
      <name val="Arial"/>
      <family val="2"/>
      <sz val="7"/>
    </font>
    <font>
      <name val="Arial"/>
      <family val="2"/>
      <b val="1"/>
      <color rgb="FF1F4E79"/>
      <sz val="10"/>
    </font>
    <font>
      <name val="Arial"/>
      <family val="2"/>
      <color rgb="FF000000"/>
      <sz val="9"/>
    </font>
    <font>
      <name val="Arial"/>
      <family val="2"/>
      <sz val="8"/>
    </font>
    <font>
      <name val="Arial"/>
      <family val="2"/>
      <b val="1"/>
      <color rgb="FF000000"/>
      <sz val="9"/>
    </font>
    <font>
      <name val="Arial"/>
      <family val="2"/>
      <b val="1"/>
      <sz val="8"/>
    </font>
    <font>
      <name val="Arial"/>
      <family val="2"/>
      <b val="1"/>
      <color rgb="FFFFFFFF"/>
      <sz val="11"/>
    </font>
    <font>
      <name val="Arial"/>
      <family val="2"/>
      <color rgb="FFFFFFFF"/>
      <sz val="7"/>
    </font>
    <font>
      <name val="Arial"/>
      <family val="2"/>
      <i val="1"/>
      <color rgb="FF595959"/>
      <sz val="9"/>
    </font>
    <font>
      <name val="Arial"/>
      <family val="2"/>
      <b val="1"/>
      <color rgb="FF1F4E79"/>
      <sz val="11"/>
    </font>
    <font>
      <name val="Arial"/>
      <family val="2"/>
      <color rgb="FF000000"/>
      <sz val="10"/>
    </font>
    <font>
      <name val="Arial"/>
      <family val="2"/>
      <b val="1"/>
      <color rgb="FF000000"/>
      <sz val="10"/>
    </font>
    <font>
      <name val="Arial"/>
      <family val="2"/>
      <sz val="9"/>
    </font>
    <font>
      <name val="Arial"/>
      <b val="1"/>
      <color rgb="00FFFFFF"/>
      <sz val="12"/>
    </font>
    <font>
      <name val="Arial"/>
      <i val="1"/>
      <color rgb="00595959"/>
      <sz val="9"/>
    </font>
    <font>
      <name val="Arial"/>
      <b val="1"/>
      <color rgb="001F4E79"/>
      <sz val="11"/>
    </font>
    <font>
      <name val="Arial"/>
      <b val="1"/>
      <color rgb="00FFFFFF"/>
      <sz val="9"/>
    </font>
    <font>
      <name val="Arial"/>
      <color rgb="00000000"/>
      <sz val="10"/>
    </font>
    <font>
      <name val="Arial"/>
      <b val="1"/>
      <color rgb="00000000"/>
      <sz val="10"/>
    </font>
    <font>
      <name val="Arial"/>
      <sz val="9"/>
    </font>
    <font>
      <name val="Arial"/>
      <i val="1"/>
      <color rgb="00595959"/>
      <sz val="8"/>
    </font>
    <font>
      <name val="Arial"/>
      <b val="1"/>
      <color rgb="00FFFFFF"/>
      <sz val="7"/>
    </font>
    <font>
      <name val="Arial"/>
      <sz val="7"/>
    </font>
    <font>
      <name val="Arial"/>
      <b val="1"/>
      <color rgb="001F4E79"/>
      <sz val="10"/>
    </font>
    <font>
      <name val="Arial"/>
      <color rgb="00000000"/>
      <sz val="9"/>
    </font>
    <font>
      <name val="Arial"/>
      <sz val="8"/>
    </font>
    <font>
      <name val="Arial"/>
      <b val="1"/>
      <color rgb="00000000"/>
      <sz val="9"/>
    </font>
    <font>
      <name val="Arial"/>
      <b val="1"/>
      <sz val="8"/>
    </font>
    <font>
      <name val="Arial"/>
      <b val="1"/>
      <color rgb="00FFFFFF"/>
      <sz val="11"/>
    </font>
    <font>
      <name val="Arial"/>
      <color rgb="00FFFFFF"/>
      <sz val="7"/>
    </font>
  </fonts>
  <fills count="26">
    <fill>
      <patternFill/>
    </fill>
    <fill>
      <patternFill patternType="gray125"/>
    </fill>
    <fill>
      <patternFill patternType="solid">
        <fgColor rgb="FFCDE3EF"/>
        <bgColor indexed="64"/>
      </patternFill>
    </fill>
    <fill>
      <patternFill patternType="solid">
        <fgColor rgb="FFF2F2F2"/>
      </patternFill>
    </fill>
    <fill>
      <patternFill patternType="solid">
        <fgColor rgb="FFCCE5FF"/>
        <bgColor indexed="64"/>
      </patternFill>
    </fill>
    <fill>
      <patternFill patternType="solid">
        <fgColor rgb="FFFFFFFF"/>
      </patternFill>
    </fill>
    <fill>
      <patternFill patternType="solid">
        <fgColor rgb="FFFFF3CC"/>
        <bgColor indexed="64"/>
      </patternFill>
    </fill>
    <fill>
      <patternFill patternType="solid">
        <fgColor theme="0" tint="-0.0499893185216834"/>
        <bgColor indexed="64"/>
      </patternFill>
    </fill>
    <fill>
      <patternFill patternType="solid">
        <fgColor rgb="FF1F4E79"/>
      </patternFill>
    </fill>
    <fill>
      <patternFill patternType="solid">
        <fgColor rgb="FF2E75B6"/>
      </patternFill>
    </fill>
    <fill>
      <patternFill patternType="solid">
        <fgColor rgb="FFC00000"/>
      </patternFill>
    </fill>
    <fill>
      <patternFill patternType="solid">
        <fgColor rgb="FFD6E4F0"/>
      </patternFill>
    </fill>
    <fill>
      <patternFill patternType="solid">
        <fgColor rgb="FFFCE4D6"/>
      </patternFill>
    </fill>
    <fill>
      <patternFill patternType="solid">
        <fgColor rgb="FFFFFFFF"/>
      </patternFill>
    </fill>
    <fill>
      <patternFill patternType="solid">
        <fgColor rgb="FFE2EFDA"/>
      </patternFill>
    </fill>
    <fill>
      <patternFill patternType="solid">
        <fgColor rgb="FFFFE0E0"/>
      </patternFill>
    </fill>
    <fill>
      <patternFill patternType="solid">
        <fgColor rgb="FFF2F2F2"/>
      </patternFill>
    </fill>
    <fill>
      <patternFill patternType="solid">
        <fgColor rgb="001F4E79"/>
      </patternFill>
    </fill>
    <fill>
      <patternFill patternType="solid">
        <fgColor rgb="00D6E4F0"/>
      </patternFill>
    </fill>
    <fill>
      <patternFill patternType="solid">
        <fgColor rgb="002E75B6"/>
      </patternFill>
    </fill>
    <fill>
      <patternFill patternType="solid">
        <fgColor rgb="00FFFFFF"/>
      </patternFill>
    </fill>
    <fill>
      <patternFill patternType="solid">
        <fgColor rgb="00E2EFDA"/>
      </patternFill>
    </fill>
    <fill>
      <patternFill patternType="solid">
        <fgColor rgb="00FFE0E0"/>
      </patternFill>
    </fill>
    <fill>
      <patternFill patternType="solid">
        <fgColor rgb="00FCE4D6"/>
      </patternFill>
    </fill>
    <fill>
      <patternFill patternType="solid">
        <fgColor rgb="00F2F2F2"/>
      </patternFill>
    </fill>
    <fill>
      <patternFill patternType="solid">
        <fgColor rgb="00C00000"/>
      </patternFill>
    </fill>
  </fills>
  <borders count="14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  <border>
      <left/>
      <right style="thin">
        <color rgb="FFBFBFBF"/>
      </right>
      <top style="thin">
        <color rgb="FFBFBFBF"/>
      </top>
      <bottom style="thin">
        <color rgb="FFBFBFBF"/>
      </bottom>
      <diagonal/>
    </border>
    <border>
      <left/>
      <right/>
      <top style="thin">
        <color rgb="FFBFBFBF"/>
      </top>
      <bottom/>
      <diagonal/>
    </border>
    <border>
      <left/>
      <right style="thin">
        <color rgb="FFBFBFBF"/>
      </right>
      <top style="thin">
        <color rgb="FFBFBFBF"/>
      </top>
      <bottom/>
      <diagonal/>
    </border>
    <border>
      <left/>
      <right/>
      <top style="thin">
        <color rgb="FFBFBFBF"/>
      </top>
      <bottom style="thin">
        <color rgb="FFBFBFBF"/>
      </bottom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  <border>
      <left/>
      <right/>
      <top style="thin">
        <color rgb="00BFBFBF"/>
      </top>
      <bottom/>
      <diagonal/>
    </border>
    <border>
      <left/>
      <right style="thin">
        <color rgb="00BFBFBF"/>
      </right>
      <top style="thin">
        <color rgb="00BFBFBF"/>
      </top>
      <bottom/>
      <diagonal/>
    </border>
    <border>
      <left/>
      <right/>
      <top style="thin">
        <color rgb="00BFBFBF"/>
      </top>
      <bottom style="thin">
        <color rgb="00BFBFBF"/>
      </bottom>
      <diagonal/>
    </border>
    <border>
      <left/>
      <right style="thin">
        <color rgb="00BFBFBF"/>
      </right>
      <top style="thin">
        <color rgb="00BFBFBF"/>
      </top>
      <bottom style="thin">
        <color rgb="00BFBFBF"/>
      </bottom>
      <diagonal/>
    </border>
  </borders>
  <cellStyleXfs count="5">
    <xf numFmtId="0" fontId="2" fillId="0" borderId="0"/>
    <xf numFmtId="0" fontId="1" fillId="0" borderId="0"/>
    <xf numFmtId="43" fontId="2" fillId="0" borderId="0"/>
    <xf numFmtId="0" fontId="3" fillId="0" borderId="0"/>
    <xf numFmtId="9" fontId="2" fillId="0" borderId="0"/>
  </cellStyleXfs>
  <cellXfs count="199">
    <xf numFmtId="0" fontId="0" fillId="0" borderId="0" pivotButton="0" quotePrefix="0" xfId="0"/>
    <xf numFmtId="0" fontId="3" fillId="0" borderId="0" pivotButton="0" quotePrefix="0" xfId="3"/>
    <xf numFmtId="0" fontId="4" fillId="0" borderId="0" pivotButton="0" quotePrefix="0" xfId="1"/>
    <xf numFmtId="0" fontId="0" fillId="0" borderId="0" applyAlignment="1" pivotButton="0" quotePrefix="0" xfId="0">
      <alignment horizontal="center"/>
    </xf>
    <xf numFmtId="0" fontId="0" fillId="0" borderId="0" applyAlignment="1" pivotButton="0" quotePrefix="0" xfId="0">
      <alignment horizontal="left"/>
    </xf>
    <xf numFmtId="0" fontId="6" fillId="0" borderId="0" applyAlignment="1" pivotButton="0" quotePrefix="0" xfId="0">
      <alignment horizontal="center"/>
    </xf>
    <xf numFmtId="0" fontId="7" fillId="2" borderId="1" applyAlignment="1" pivotButton="0" quotePrefix="0" xfId="1">
      <alignment vertical="center"/>
    </xf>
    <xf numFmtId="0" fontId="4" fillId="0" borderId="0" applyAlignment="1" pivotButton="0" quotePrefix="0" xfId="1">
      <alignment horizontal="left"/>
    </xf>
    <xf numFmtId="0" fontId="7" fillId="2" borderId="2" applyAlignment="1" pivotButton="0" quotePrefix="0" xfId="1">
      <alignment vertical="center"/>
    </xf>
    <xf numFmtId="0" fontId="7" fillId="2" borderId="3" applyAlignment="1" pivotButton="0" quotePrefix="0" xfId="1">
      <alignment vertical="center"/>
    </xf>
    <xf numFmtId="0" fontId="8" fillId="4" borderId="2" applyAlignment="1" pivotButton="0" quotePrefix="0" xfId="1">
      <alignment horizontal="left" vertical="center"/>
    </xf>
    <xf numFmtId="0" fontId="8" fillId="4" borderId="2" applyAlignment="1" pivotButton="0" quotePrefix="0" xfId="1">
      <alignment horizontal="center" vertical="center"/>
    </xf>
    <xf numFmtId="0" fontId="8" fillId="4" borderId="3" applyAlignment="1" pivotButton="0" quotePrefix="0" xfId="1">
      <alignment horizontal="left" vertical="center"/>
    </xf>
    <xf numFmtId="0" fontId="9" fillId="2" borderId="1" applyAlignment="1" pivotButton="0" quotePrefix="0" xfId="0">
      <alignment horizontal="center" vertical="center"/>
    </xf>
    <xf numFmtId="0" fontId="9" fillId="4" borderId="1" applyAlignment="1" pivotButton="0" quotePrefix="0" xfId="0">
      <alignment horizontal="center"/>
    </xf>
    <xf numFmtId="0" fontId="8" fillId="4" borderId="2" applyAlignment="1" pivotButton="0" quotePrefix="0" xfId="1">
      <alignment vertical="center"/>
    </xf>
    <xf numFmtId="0" fontId="4" fillId="4" borderId="2" pivotButton="0" quotePrefix="0" xfId="0"/>
    <xf numFmtId="0" fontId="4" fillId="4" borderId="2" applyAlignment="1" pivotButton="0" quotePrefix="0" xfId="0">
      <alignment horizontal="left"/>
    </xf>
    <xf numFmtId="0" fontId="4" fillId="4" borderId="3" applyAlignment="1" pivotButton="0" quotePrefix="0" xfId="0">
      <alignment horizontal="left"/>
    </xf>
    <xf numFmtId="0" fontId="4" fillId="0" borderId="0" applyAlignment="1" pivotButton="0" quotePrefix="0" xfId="0">
      <alignment horizontal="center"/>
    </xf>
    <xf numFmtId="0" fontId="10" fillId="0" borderId="0" applyAlignment="1" pivotButton="0" quotePrefix="0" xfId="1">
      <alignment horizontal="left" vertical="center"/>
    </xf>
    <xf numFmtId="0" fontId="10" fillId="0" borderId="0" applyAlignment="1" pivotButton="0" quotePrefix="0" xfId="1">
      <alignment horizontal="center" vertical="center"/>
    </xf>
    <xf numFmtId="0" fontId="10" fillId="0" borderId="0" applyAlignment="1" pivotButton="0" quotePrefix="0" xfId="1">
      <alignment horizontal="left" vertical="center" wrapText="1"/>
    </xf>
    <xf numFmtId="10" fontId="10" fillId="0" borderId="0" applyAlignment="1" pivotButton="0" quotePrefix="0" xfId="1">
      <alignment horizontal="center" vertical="center"/>
    </xf>
    <xf numFmtId="17" fontId="10" fillId="0" borderId="0" applyAlignment="1" pivotButton="0" quotePrefix="0" xfId="1">
      <alignment horizontal="center" vertical="center"/>
    </xf>
    <xf numFmtId="9" fontId="10" fillId="0" borderId="0" applyAlignment="1" pivotButton="0" quotePrefix="0" xfId="1">
      <alignment horizontal="center" vertical="center"/>
    </xf>
    <xf numFmtId="0" fontId="9" fillId="0" borderId="0" applyAlignment="1" pivotButton="0" quotePrefix="0" xfId="0">
      <alignment horizontal="center"/>
    </xf>
    <xf numFmtId="0" fontId="8" fillId="0" borderId="0" applyAlignment="1" pivotButton="0" quotePrefix="0" xfId="1">
      <alignment vertical="center"/>
    </xf>
    <xf numFmtId="0" fontId="4" fillId="0" borderId="0" pivotButton="0" quotePrefix="0" xfId="0"/>
    <xf numFmtId="0" fontId="4" fillId="0" borderId="0" applyAlignment="1" pivotButton="0" quotePrefix="0" xfId="0">
      <alignment horizontal="left"/>
    </xf>
    <xf numFmtId="0" fontId="9" fillId="2" borderId="1" applyAlignment="1" pivotButton="0" quotePrefix="0" xfId="0">
      <alignment horizontal="center"/>
    </xf>
    <xf numFmtId="0" fontId="9" fillId="2" borderId="2" pivotButton="0" quotePrefix="0" xfId="0"/>
    <xf numFmtId="0" fontId="9" fillId="2" borderId="2" applyAlignment="1" pivotButton="0" quotePrefix="0" xfId="0">
      <alignment horizontal="center"/>
    </xf>
    <xf numFmtId="0" fontId="1" fillId="0" borderId="0" pivotButton="0" quotePrefix="0" xfId="0"/>
    <xf numFmtId="0" fontId="9" fillId="2" borderId="3" pivotButton="0" quotePrefix="0" xfId="0"/>
    <xf numFmtId="0" fontId="11" fillId="0" borderId="0" applyAlignment="1" pivotButton="0" quotePrefix="0" xfId="0">
      <alignment horizontal="center"/>
    </xf>
    <xf numFmtId="0" fontId="4" fillId="0" borderId="0" applyAlignment="1" pivotButton="0" quotePrefix="0" xfId="1">
      <alignment vertical="center"/>
    </xf>
    <xf numFmtId="0" fontId="0" fillId="0" borderId="0" applyAlignment="1" pivotButton="0" quotePrefix="0" xfId="0">
      <alignment vertical="center"/>
    </xf>
    <xf numFmtId="0" fontId="0" fillId="0" borderId="0" applyAlignment="1" pivotButton="0" quotePrefix="0" xfId="0">
      <alignment horizontal="center" vertical="center"/>
    </xf>
    <xf numFmtId="0" fontId="9" fillId="0" borderId="0" applyAlignment="1" pivotButton="0" quotePrefix="0" xfId="0">
      <alignment horizontal="left" vertical="center"/>
    </xf>
    <xf numFmtId="0" fontId="9" fillId="0" borderId="0" applyAlignment="1" pivotButton="0" quotePrefix="0" xfId="0">
      <alignment horizontal="center" vertical="center"/>
    </xf>
    <xf numFmtId="0" fontId="11" fillId="0" borderId="0" pivotButton="0" quotePrefix="0" xfId="0"/>
    <xf numFmtId="0" fontId="11" fillId="0" borderId="0" applyAlignment="1" pivotButton="0" quotePrefix="0" xfId="0">
      <alignment horizontal="left"/>
    </xf>
    <xf numFmtId="0" fontId="9" fillId="4" borderId="1" applyAlignment="1" pivotButton="0" quotePrefix="0" xfId="0">
      <alignment horizontal="center" vertical="center"/>
    </xf>
    <xf numFmtId="0" fontId="11" fillId="0" borderId="0" applyAlignment="1" pivotButton="0" quotePrefix="0" xfId="0">
      <alignment vertical="center"/>
    </xf>
    <xf numFmtId="0" fontId="9" fillId="4" borderId="2" applyAlignment="1" pivotButton="0" quotePrefix="0" xfId="0">
      <alignment horizontal="left" vertical="center"/>
    </xf>
    <xf numFmtId="0" fontId="9" fillId="4" borderId="2" applyAlignment="1" pivotButton="0" quotePrefix="0" xfId="0">
      <alignment horizontal="center" vertical="center"/>
    </xf>
    <xf numFmtId="0" fontId="9" fillId="4" borderId="3" applyAlignment="1" pivotButton="0" quotePrefix="0" xfId="0">
      <alignment horizontal="center" vertical="center"/>
    </xf>
    <xf numFmtId="0" fontId="12" fillId="0" borderId="0" applyAlignment="1" pivotButton="0" quotePrefix="0" xfId="0">
      <alignment horizontal="left" vertical="center"/>
    </xf>
    <xf numFmtId="0" fontId="13" fillId="5" borderId="0" applyAlignment="1" pivotButton="0" quotePrefix="0" xfId="0">
      <alignment horizontal="left" vertical="center" wrapText="1"/>
    </xf>
    <xf numFmtId="0" fontId="13" fillId="5" borderId="0" applyAlignment="1" pivotButton="0" quotePrefix="0" xfId="0">
      <alignment horizontal="center" vertical="center" wrapText="1"/>
    </xf>
    <xf numFmtId="0" fontId="14" fillId="0" borderId="0" applyAlignment="1" pivotButton="0" quotePrefix="0" xfId="0">
      <alignment horizontal="left" vertical="center" wrapText="1"/>
    </xf>
    <xf numFmtId="0" fontId="11" fillId="0" borderId="0" applyAlignment="1" pivotButton="0" quotePrefix="0" xfId="0">
      <alignment horizontal="left" vertical="center"/>
    </xf>
    <xf numFmtId="10" fontId="15" fillId="3" borderId="0" applyAlignment="1" pivotButton="0" quotePrefix="0" xfId="0">
      <alignment horizontal="center" vertical="center" wrapText="1"/>
    </xf>
    <xf numFmtId="0" fontId="16" fillId="5" borderId="0" applyAlignment="1" pivotButton="0" quotePrefix="0" xfId="0">
      <alignment horizontal="left" vertical="center" wrapText="1"/>
    </xf>
    <xf numFmtId="2" fontId="15" fillId="3" borderId="0" applyAlignment="1" pivotButton="0" quotePrefix="0" xfId="0">
      <alignment horizontal="center" vertical="center" wrapText="1"/>
    </xf>
    <xf numFmtId="0" fontId="5" fillId="0" borderId="0" applyAlignment="1" pivotButton="0" quotePrefix="0" xfId="0">
      <alignment vertical="center"/>
    </xf>
    <xf numFmtId="0" fontId="9" fillId="2" borderId="2" applyAlignment="1" pivotButton="0" quotePrefix="0" xfId="0">
      <alignment horizontal="left"/>
    </xf>
    <xf numFmtId="14" fontId="11" fillId="0" borderId="0" applyAlignment="1" pivotButton="0" quotePrefix="0" xfId="0">
      <alignment horizontal="center"/>
    </xf>
    <xf numFmtId="0" fontId="17" fillId="0" borderId="0" pivotButton="0" quotePrefix="0" xfId="0"/>
    <xf numFmtId="0" fontId="18" fillId="0" borderId="0" pivotButton="0" quotePrefix="0" xfId="0"/>
    <xf numFmtId="0" fontId="11" fillId="6" borderId="0" applyAlignment="1" pivotButton="0" quotePrefix="0" xfId="0">
      <alignment horizontal="center"/>
    </xf>
    <xf numFmtId="10" fontId="19" fillId="6" borderId="0" applyAlignment="1" pivotButton="0" quotePrefix="0" xfId="0">
      <alignment horizontal="center" vertical="center" wrapText="1"/>
    </xf>
    <xf numFmtId="2" fontId="19" fillId="6" borderId="0" applyAlignment="1" pivotButton="0" quotePrefix="0" xfId="0">
      <alignment horizontal="center" vertical="center" wrapText="1"/>
    </xf>
    <xf numFmtId="164" fontId="19" fillId="6" borderId="0" applyAlignment="1" pivotButton="0" quotePrefix="0" xfId="0">
      <alignment horizontal="center" vertical="center" wrapText="1"/>
    </xf>
    <xf numFmtId="0" fontId="19" fillId="6" borderId="0" applyAlignment="1" pivotButton="0" quotePrefix="0" xfId="0">
      <alignment horizontal="center"/>
    </xf>
    <xf numFmtId="1" fontId="10" fillId="0" borderId="0" applyAlignment="1" pivotButton="0" quotePrefix="0" xfId="1">
      <alignment horizontal="center" vertical="center"/>
    </xf>
    <xf numFmtId="1" fontId="19" fillId="6" borderId="0" applyAlignment="1" pivotButton="0" quotePrefix="0" xfId="0">
      <alignment horizontal="center"/>
    </xf>
    <xf numFmtId="0" fontId="20" fillId="0" borderId="0" applyAlignment="1" pivotButton="0" quotePrefix="0" xfId="0">
      <alignment horizontal="left"/>
    </xf>
    <xf numFmtId="9" fontId="19" fillId="6" borderId="0" applyAlignment="1" pivotButton="0" quotePrefix="0" xfId="4">
      <alignment horizontal="center"/>
    </xf>
    <xf numFmtId="164" fontId="19" fillId="6" borderId="0" applyAlignment="1" pivotButton="0" quotePrefix="0" xfId="4">
      <alignment horizontal="center"/>
    </xf>
    <xf numFmtId="10" fontId="19" fillId="6" borderId="0" applyAlignment="1" pivotButton="0" quotePrefix="0" xfId="4">
      <alignment horizontal="center"/>
    </xf>
    <xf numFmtId="164" fontId="10" fillId="0" borderId="0" applyAlignment="1" pivotButton="0" quotePrefix="0" xfId="4">
      <alignment horizontal="center" vertical="center"/>
    </xf>
    <xf numFmtId="1" fontId="15" fillId="3" borderId="0" applyAlignment="1" pivotButton="0" quotePrefix="0" xfId="0">
      <alignment horizontal="center" vertical="center" wrapText="1"/>
    </xf>
    <xf numFmtId="165" fontId="21" fillId="7" borderId="0" pivotButton="0" quotePrefix="0" xfId="2"/>
    <xf numFmtId="166" fontId="15" fillId="3" borderId="0" applyAlignment="1" pivotButton="0" quotePrefix="0" xfId="0">
      <alignment horizontal="center" vertical="center" wrapText="1"/>
    </xf>
    <xf numFmtId="164" fontId="15" fillId="3" borderId="0" applyAlignment="1" pivotButton="0" quotePrefix="0" xfId="0">
      <alignment horizontal="center" vertical="center" wrapText="1"/>
    </xf>
    <xf numFmtId="0" fontId="9" fillId="4" borderId="3" applyAlignment="1" pivotButton="0" quotePrefix="0" xfId="0">
      <alignment horizontal="left" vertical="center"/>
    </xf>
    <xf numFmtId="0" fontId="9" fillId="2" borderId="3" applyAlignment="1" pivotButton="0" quotePrefix="0" xfId="0">
      <alignment horizontal="left"/>
    </xf>
    <xf numFmtId="9" fontId="19" fillId="6" borderId="0" applyAlignment="1" pivotButton="0" quotePrefix="0" xfId="0">
      <alignment horizontal="center" vertical="center" wrapText="1"/>
    </xf>
    <xf numFmtId="9" fontId="15" fillId="3" borderId="0" applyAlignment="1" pivotButton="0" quotePrefix="0" xfId="0">
      <alignment horizontal="center" vertical="center" wrapText="1"/>
    </xf>
    <xf numFmtId="9" fontId="2" fillId="0" borderId="0" applyAlignment="1" pivotButton="0" quotePrefix="0" xfId="4">
      <alignment horizontal="center"/>
    </xf>
    <xf numFmtId="167" fontId="15" fillId="3" borderId="0" applyAlignment="1" pivotButton="0" quotePrefix="0" xfId="0">
      <alignment horizontal="center" vertical="center" wrapText="1"/>
    </xf>
    <xf numFmtId="0" fontId="24" fillId="9" borderId="4" applyAlignment="1" pivotButton="0" quotePrefix="0" xfId="0">
      <alignment horizontal="center" vertical="center"/>
    </xf>
    <xf numFmtId="0" fontId="24" fillId="10" borderId="4" applyAlignment="1" pivotButton="0" quotePrefix="0" xfId="0">
      <alignment horizontal="center" vertical="center"/>
    </xf>
    <xf numFmtId="0" fontId="25" fillId="8" borderId="4" applyAlignment="1" pivotButton="0" quotePrefix="0" xfId="0">
      <alignment horizontal="left" vertical="center"/>
    </xf>
    <xf numFmtId="0" fontId="25" fillId="8" borderId="4" applyAlignment="1" pivotButton="0" quotePrefix="0" xfId="0">
      <alignment horizontal="center" vertical="center"/>
    </xf>
    <xf numFmtId="0" fontId="26" fillId="11" borderId="4" applyAlignment="1" pivotButton="0" quotePrefix="0" xfId="0">
      <alignment horizontal="center" vertical="center"/>
    </xf>
    <xf numFmtId="0" fontId="26" fillId="12" borderId="4" applyAlignment="1" pivotButton="0" quotePrefix="0" xfId="0">
      <alignment horizontal="center" vertical="center"/>
    </xf>
    <xf numFmtId="0" fontId="0" fillId="11" borderId="4" pivotButton="0" quotePrefix="0" xfId="0"/>
    <xf numFmtId="0" fontId="28" fillId="13" borderId="4" applyAlignment="1" pivotButton="0" quotePrefix="0" xfId="0">
      <alignment horizontal="left" vertical="center"/>
    </xf>
    <xf numFmtId="0" fontId="28" fillId="13" borderId="4" applyAlignment="1" pivotButton="0" quotePrefix="0" xfId="0">
      <alignment horizontal="center" vertical="center"/>
    </xf>
    <xf numFmtId="168" fontId="29" fillId="13" borderId="4" applyAlignment="1" pivotButton="0" quotePrefix="0" xfId="0">
      <alignment horizontal="right" vertical="center"/>
    </xf>
    <xf numFmtId="4" fontId="29" fillId="13" borderId="4" applyAlignment="1" pivotButton="0" quotePrefix="0" xfId="0">
      <alignment horizontal="right" vertical="center"/>
    </xf>
    <xf numFmtId="0" fontId="30" fillId="14" borderId="4" applyAlignment="1" pivotButton="0" quotePrefix="0" xfId="0">
      <alignment horizontal="left" vertical="center"/>
    </xf>
    <xf numFmtId="0" fontId="28" fillId="14" borderId="4" applyAlignment="1" pivotButton="0" quotePrefix="0" xfId="0">
      <alignment horizontal="center" vertical="center"/>
    </xf>
    <xf numFmtId="168" fontId="31" fillId="14" borderId="4" applyAlignment="1" pivotButton="0" quotePrefix="0" xfId="0">
      <alignment horizontal="right" vertical="center"/>
    </xf>
    <xf numFmtId="169" fontId="29" fillId="13" borderId="4" applyAlignment="1" pivotButton="0" quotePrefix="0" xfId="0">
      <alignment horizontal="right" vertical="center"/>
    </xf>
    <xf numFmtId="0" fontId="30" fillId="12" borderId="4" applyAlignment="1" pivotButton="0" quotePrefix="0" xfId="0">
      <alignment horizontal="left" vertical="center"/>
    </xf>
    <xf numFmtId="0" fontId="28" fillId="12" borderId="4" applyAlignment="1" pivotButton="0" quotePrefix="0" xfId="0">
      <alignment horizontal="center" vertical="center"/>
    </xf>
    <xf numFmtId="168" fontId="31" fillId="12" borderId="4" applyAlignment="1" pivotButton="0" quotePrefix="0" xfId="0">
      <alignment horizontal="right" vertical="center"/>
    </xf>
    <xf numFmtId="0" fontId="30" fillId="15" borderId="4" applyAlignment="1" pivotButton="0" quotePrefix="0" xfId="0">
      <alignment horizontal="left" vertical="center"/>
    </xf>
    <xf numFmtId="0" fontId="28" fillId="15" borderId="4" applyAlignment="1" pivotButton="0" quotePrefix="0" xfId="0">
      <alignment horizontal="center" vertical="center"/>
    </xf>
    <xf numFmtId="168" fontId="31" fillId="15" borderId="4" applyAlignment="1" pivotButton="0" quotePrefix="0" xfId="0">
      <alignment horizontal="right" vertical="center"/>
    </xf>
    <xf numFmtId="0" fontId="25" fillId="9" borderId="4" applyAlignment="1" pivotButton="0" quotePrefix="0" xfId="0">
      <alignment horizontal="center" vertical="center"/>
    </xf>
    <xf numFmtId="3" fontId="28" fillId="14" borderId="4" applyAlignment="1" pivotButton="0" quotePrefix="0" xfId="0">
      <alignment horizontal="center" vertical="center"/>
    </xf>
    <xf numFmtId="164" fontId="28" fillId="14" borderId="4" applyAlignment="1" pivotButton="0" quotePrefix="0" xfId="0">
      <alignment horizontal="center" vertical="center"/>
    </xf>
    <xf numFmtId="3" fontId="28" fillId="12" borderId="4" applyAlignment="1" pivotButton="0" quotePrefix="0" xfId="0">
      <alignment horizontal="center" vertical="center"/>
    </xf>
    <xf numFmtId="164" fontId="28" fillId="12" borderId="4" applyAlignment="1" pivotButton="0" quotePrefix="0" xfId="0">
      <alignment horizontal="center" vertical="center"/>
    </xf>
    <xf numFmtId="3" fontId="28" fillId="15" borderId="4" applyAlignment="1" pivotButton="0" quotePrefix="0" xfId="0">
      <alignment horizontal="center" vertical="center"/>
    </xf>
    <xf numFmtId="164" fontId="28" fillId="15" borderId="4" applyAlignment="1" pivotButton="0" quotePrefix="0" xfId="0">
      <alignment horizontal="center" vertical="center"/>
    </xf>
    <xf numFmtId="0" fontId="33" fillId="13" borderId="0" pivotButton="0" quotePrefix="0" xfId="0"/>
    <xf numFmtId="0" fontId="36" fillId="13" borderId="4" applyAlignment="1" pivotButton="0" quotePrefix="0" xfId="0">
      <alignment horizontal="left" vertical="center"/>
    </xf>
    <xf numFmtId="0" fontId="36" fillId="14" borderId="4" applyAlignment="1" pivotButton="0" quotePrefix="0" xfId="0">
      <alignment horizontal="center" vertical="center"/>
    </xf>
    <xf numFmtId="0" fontId="36" fillId="13" borderId="4" applyAlignment="1" pivotButton="0" quotePrefix="0" xfId="0">
      <alignment horizontal="center" vertical="center"/>
    </xf>
    <xf numFmtId="0" fontId="36" fillId="11" borderId="4" applyAlignment="1" pivotButton="0" quotePrefix="0" xfId="0">
      <alignment horizontal="left" vertical="center"/>
    </xf>
    <xf numFmtId="0" fontId="36" fillId="11" borderId="4" applyAlignment="1" pivotButton="0" quotePrefix="0" xfId="0">
      <alignment horizontal="center" vertical="center"/>
    </xf>
    <xf numFmtId="0" fontId="36" fillId="14" borderId="4" applyAlignment="1" pivotButton="0" quotePrefix="0" xfId="0">
      <alignment horizontal="left" vertical="center"/>
    </xf>
    <xf numFmtId="3" fontId="36" fillId="14" borderId="4" applyAlignment="1" pivotButton="0" quotePrefix="0" xfId="0">
      <alignment horizontal="center" vertical="center"/>
    </xf>
    <xf numFmtId="164" fontId="36" fillId="14" borderId="4" applyAlignment="1" pivotButton="0" quotePrefix="0" xfId="0">
      <alignment horizontal="center" vertical="center"/>
    </xf>
    <xf numFmtId="0" fontId="36" fillId="15" borderId="4" applyAlignment="1" pivotButton="0" quotePrefix="0" xfId="0">
      <alignment horizontal="left" vertical="center"/>
    </xf>
    <xf numFmtId="3" fontId="36" fillId="15" borderId="4" applyAlignment="1" pivotButton="0" quotePrefix="0" xfId="0">
      <alignment horizontal="center" vertical="center"/>
    </xf>
    <xf numFmtId="164" fontId="36" fillId="15" borderId="4" applyAlignment="1" pivotButton="0" quotePrefix="0" xfId="0">
      <alignment horizontal="center" vertical="center"/>
    </xf>
    <xf numFmtId="3" fontId="36" fillId="13" borderId="4" applyAlignment="1" pivotButton="0" quotePrefix="0" xfId="0">
      <alignment horizontal="center" vertical="center"/>
    </xf>
    <xf numFmtId="164" fontId="36" fillId="13" borderId="4" applyAlignment="1" pivotButton="0" quotePrefix="0" xfId="0">
      <alignment horizontal="center" vertical="center"/>
    </xf>
    <xf numFmtId="0" fontId="36" fillId="12" borderId="4" applyAlignment="1" pivotButton="0" quotePrefix="0" xfId="0">
      <alignment horizontal="left" vertical="center"/>
    </xf>
    <xf numFmtId="3" fontId="36" fillId="12" borderId="4" applyAlignment="1" pivotButton="0" quotePrefix="0" xfId="0">
      <alignment horizontal="center" vertical="center"/>
    </xf>
    <xf numFmtId="164" fontId="36" fillId="12" borderId="4" applyAlignment="1" pivotButton="0" quotePrefix="0" xfId="0">
      <alignment horizontal="center" vertical="center"/>
    </xf>
    <xf numFmtId="0" fontId="36" fillId="12" borderId="4" applyAlignment="1" pivotButton="0" quotePrefix="0" xfId="0">
      <alignment horizontal="center" vertical="center"/>
    </xf>
    <xf numFmtId="0" fontId="37" fillId="16" borderId="4" applyAlignment="1" pivotButton="0" quotePrefix="0" xfId="0">
      <alignment horizontal="left" vertical="center"/>
    </xf>
    <xf numFmtId="164" fontId="36" fillId="16" borderId="4" applyAlignment="1" pivotButton="0" quotePrefix="0" xfId="0">
      <alignment horizontal="center" vertical="center"/>
    </xf>
    <xf numFmtId="0" fontId="37" fillId="11" borderId="4" applyAlignment="1" pivotButton="0" quotePrefix="0" xfId="0">
      <alignment horizontal="left" vertical="center"/>
    </xf>
    <xf numFmtId="0" fontId="23" fillId="0" borderId="0" applyAlignment="1" pivotButton="0" quotePrefix="0" xfId="0">
      <alignment horizontal="left" vertical="center" wrapText="1"/>
    </xf>
    <xf numFmtId="0" fontId="0" fillId="0" borderId="0" pivotButton="0" quotePrefix="0" xfId="0"/>
    <xf numFmtId="0" fontId="27" fillId="11" borderId="4" applyAlignment="1" pivotButton="0" quotePrefix="0" xfId="0">
      <alignment horizontal="left" vertical="center"/>
    </xf>
    <xf numFmtId="0" fontId="0" fillId="0" borderId="5" pivotButton="0" quotePrefix="0" xfId="0"/>
    <xf numFmtId="0" fontId="32" fillId="8" borderId="0" applyAlignment="1" pivotButton="0" quotePrefix="0" xfId="0">
      <alignment horizontal="left" vertical="center"/>
    </xf>
    <xf numFmtId="0" fontId="22" fillId="8" borderId="0" applyAlignment="1" pivotButton="0" quotePrefix="0" xfId="0">
      <alignment horizontal="left" vertical="center"/>
    </xf>
    <xf numFmtId="0" fontId="38" fillId="0" borderId="4" applyAlignment="1" pivotButton="0" quotePrefix="0" xfId="0">
      <alignment horizontal="left" vertical="center" wrapText="1"/>
    </xf>
    <xf numFmtId="0" fontId="35" fillId="11" borderId="4" applyAlignment="1" pivotButton="0" quotePrefix="0" xfId="0">
      <alignment horizontal="left" vertical="center"/>
    </xf>
    <xf numFmtId="0" fontId="34" fillId="0" borderId="0" applyAlignment="1" pivotButton="0" quotePrefix="0" xfId="0">
      <alignment horizontal="left" vertical="center"/>
    </xf>
    <xf numFmtId="0" fontId="39" fillId="17" borderId="0" applyAlignment="1" pivotButton="0" quotePrefix="0" xfId="0">
      <alignment horizontal="left" vertical="center"/>
    </xf>
    <xf numFmtId="0" fontId="40" fillId="0" borderId="0" applyAlignment="1" pivotButton="0" quotePrefix="0" xfId="0">
      <alignment horizontal="left" vertical="center"/>
    </xf>
    <xf numFmtId="0" fontId="41" fillId="18" borderId="9" applyAlignment="1" pivotButton="0" quotePrefix="0" xfId="0">
      <alignment horizontal="left" vertical="center"/>
    </xf>
    <xf numFmtId="0" fontId="42" fillId="19" borderId="9" applyAlignment="1" pivotButton="0" quotePrefix="0" xfId="0">
      <alignment horizontal="center" vertical="center"/>
    </xf>
    <xf numFmtId="0" fontId="43" fillId="20" borderId="9" applyAlignment="1" pivotButton="0" quotePrefix="0" xfId="0">
      <alignment horizontal="left" vertical="center"/>
    </xf>
    <xf numFmtId="0" fontId="43" fillId="21" borderId="9" applyAlignment="1" pivotButton="0" quotePrefix="0" xfId="0">
      <alignment horizontal="center" vertical="center"/>
    </xf>
    <xf numFmtId="0" fontId="43" fillId="20" borderId="9" applyAlignment="1" pivotButton="0" quotePrefix="0" xfId="0">
      <alignment horizontal="center" vertical="center"/>
    </xf>
    <xf numFmtId="0" fontId="43" fillId="18" borderId="9" applyAlignment="1" pivotButton="0" quotePrefix="0" xfId="0">
      <alignment horizontal="left" vertical="center"/>
    </xf>
    <xf numFmtId="0" fontId="43" fillId="18" borderId="9" applyAlignment="1" pivotButton="0" quotePrefix="0" xfId="0">
      <alignment horizontal="center" vertical="center"/>
    </xf>
    <xf numFmtId="0" fontId="43" fillId="21" borderId="9" applyAlignment="1" pivotButton="0" quotePrefix="0" xfId="0">
      <alignment horizontal="left" vertical="center"/>
    </xf>
    <xf numFmtId="3" fontId="43" fillId="21" borderId="9" applyAlignment="1" pivotButton="0" quotePrefix="0" xfId="0">
      <alignment horizontal="center" vertical="center"/>
    </xf>
    <xf numFmtId="164" fontId="43" fillId="21" borderId="9" applyAlignment="1" pivotButton="0" quotePrefix="0" xfId="0">
      <alignment horizontal="center" vertical="center"/>
    </xf>
    <xf numFmtId="0" fontId="43" fillId="22" borderId="9" applyAlignment="1" pivotButton="0" quotePrefix="0" xfId="0">
      <alignment horizontal="left" vertical="center"/>
    </xf>
    <xf numFmtId="3" fontId="43" fillId="22" borderId="9" applyAlignment="1" pivotButton="0" quotePrefix="0" xfId="0">
      <alignment horizontal="center" vertical="center"/>
    </xf>
    <xf numFmtId="164" fontId="43" fillId="22" borderId="9" applyAlignment="1" pivotButton="0" quotePrefix="0" xfId="0">
      <alignment horizontal="center" vertical="center"/>
    </xf>
    <xf numFmtId="3" fontId="43" fillId="20" borderId="9" applyAlignment="1" pivotButton="0" quotePrefix="0" xfId="0">
      <alignment horizontal="center" vertical="center"/>
    </xf>
    <xf numFmtId="164" fontId="43" fillId="20" borderId="9" applyAlignment="1" pivotButton="0" quotePrefix="0" xfId="0">
      <alignment horizontal="center" vertical="center"/>
    </xf>
    <xf numFmtId="0" fontId="43" fillId="23" borderId="9" applyAlignment="1" pivotButton="0" quotePrefix="0" xfId="0">
      <alignment horizontal="left" vertical="center"/>
    </xf>
    <xf numFmtId="3" fontId="43" fillId="23" borderId="9" applyAlignment="1" pivotButton="0" quotePrefix="0" xfId="0">
      <alignment horizontal="center" vertical="center"/>
    </xf>
    <xf numFmtId="164" fontId="43" fillId="23" borderId="9" applyAlignment="1" pivotButton="0" quotePrefix="0" xfId="0">
      <alignment horizontal="center" vertical="center"/>
    </xf>
    <xf numFmtId="0" fontId="43" fillId="23" borderId="9" applyAlignment="1" pivotButton="0" quotePrefix="0" xfId="0">
      <alignment horizontal="center" vertical="center"/>
    </xf>
    <xf numFmtId="0" fontId="44" fillId="24" borderId="9" applyAlignment="1" pivotButton="0" quotePrefix="0" xfId="0">
      <alignment horizontal="left" vertical="center"/>
    </xf>
    <xf numFmtId="164" fontId="43" fillId="24" borderId="9" applyAlignment="1" pivotButton="0" quotePrefix="0" xfId="0">
      <alignment horizontal="center" vertical="center"/>
    </xf>
    <xf numFmtId="0" fontId="44" fillId="18" borderId="9" applyAlignment="1" pivotButton="0" quotePrefix="0" xfId="0">
      <alignment horizontal="left" vertical="center"/>
    </xf>
    <xf numFmtId="0" fontId="45" fillId="0" borderId="9" applyAlignment="1" pivotButton="0" quotePrefix="0" xfId="0">
      <alignment horizontal="left" vertical="center" wrapText="1"/>
    </xf>
    <xf numFmtId="0" fontId="0" fillId="0" borderId="12" pivotButton="0" quotePrefix="0" xfId="0"/>
    <xf numFmtId="0" fontId="0" fillId="0" borderId="13" pivotButton="0" quotePrefix="0" xfId="0"/>
    <xf numFmtId="0" fontId="46" fillId="0" borderId="0" applyAlignment="1" pivotButton="0" quotePrefix="0" xfId="0">
      <alignment horizontal="left" vertical="center" wrapText="1"/>
    </xf>
    <xf numFmtId="0" fontId="47" fillId="19" borderId="9" applyAlignment="1" pivotButton="0" quotePrefix="0" xfId="0">
      <alignment horizontal="center" vertical="center"/>
    </xf>
    <xf numFmtId="0" fontId="47" fillId="25" borderId="9" applyAlignment="1" pivotButton="0" quotePrefix="0" xfId="0">
      <alignment horizontal="center" vertical="center"/>
    </xf>
    <xf numFmtId="0" fontId="42" fillId="17" borderId="9" applyAlignment="1" pivotButton="0" quotePrefix="0" xfId="0">
      <alignment horizontal="left" vertical="center"/>
    </xf>
    <xf numFmtId="0" fontId="42" fillId="17" borderId="9" applyAlignment="1" pivotButton="0" quotePrefix="0" xfId="0">
      <alignment horizontal="center" vertical="center"/>
    </xf>
    <xf numFmtId="0" fontId="48" fillId="18" borderId="9" applyAlignment="1" pivotButton="0" quotePrefix="0" xfId="0">
      <alignment horizontal="center" vertical="center"/>
    </xf>
    <xf numFmtId="0" fontId="48" fillId="23" borderId="9" applyAlignment="1" pivotButton="0" quotePrefix="0" xfId="0">
      <alignment horizontal="center" vertical="center"/>
    </xf>
    <xf numFmtId="0" fontId="49" fillId="18" borderId="9" applyAlignment="1" pivotButton="0" quotePrefix="0" xfId="0">
      <alignment horizontal="left" vertical="center"/>
    </xf>
    <xf numFmtId="0" fontId="0" fillId="18" borderId="9" pivotButton="0" quotePrefix="0" xfId="0"/>
    <xf numFmtId="0" fontId="50" fillId="20" borderId="9" applyAlignment="1" pivotButton="0" quotePrefix="0" xfId="0">
      <alignment horizontal="left" vertical="center"/>
    </xf>
    <xf numFmtId="0" fontId="50" fillId="20" borderId="9" applyAlignment="1" pivotButton="0" quotePrefix="0" xfId="0">
      <alignment horizontal="center" vertical="center"/>
    </xf>
    <xf numFmtId="168" fontId="51" fillId="20" borderId="9" applyAlignment="1" pivotButton="0" quotePrefix="0" xfId="0">
      <alignment horizontal="right" vertical="center"/>
    </xf>
    <xf numFmtId="4" fontId="51" fillId="20" borderId="9" applyAlignment="1" pivotButton="0" quotePrefix="0" xfId="0">
      <alignment horizontal="right" vertical="center"/>
    </xf>
    <xf numFmtId="0" fontId="52" fillId="21" borderId="9" applyAlignment="1" pivotButton="0" quotePrefix="0" xfId="0">
      <alignment horizontal="left" vertical="center"/>
    </xf>
    <xf numFmtId="0" fontId="50" fillId="21" borderId="9" applyAlignment="1" pivotButton="0" quotePrefix="0" xfId="0">
      <alignment horizontal="center" vertical="center"/>
    </xf>
    <xf numFmtId="168" fontId="53" fillId="21" borderId="9" applyAlignment="1" pivotButton="0" quotePrefix="0" xfId="0">
      <alignment horizontal="right" vertical="center"/>
    </xf>
    <xf numFmtId="169" fontId="51" fillId="20" borderId="9" applyAlignment="1" pivotButton="0" quotePrefix="0" xfId="0">
      <alignment horizontal="right" vertical="center"/>
    </xf>
    <xf numFmtId="0" fontId="52" fillId="23" borderId="9" applyAlignment="1" pivotButton="0" quotePrefix="0" xfId="0">
      <alignment horizontal="left" vertical="center"/>
    </xf>
    <xf numFmtId="0" fontId="50" fillId="23" borderId="9" applyAlignment="1" pivotButton="0" quotePrefix="0" xfId="0">
      <alignment horizontal="center" vertical="center"/>
    </xf>
    <xf numFmtId="168" fontId="53" fillId="23" borderId="9" applyAlignment="1" pivotButton="0" quotePrefix="0" xfId="0">
      <alignment horizontal="right" vertical="center"/>
    </xf>
    <xf numFmtId="0" fontId="52" fillId="22" borderId="9" applyAlignment="1" pivotButton="0" quotePrefix="0" xfId="0">
      <alignment horizontal="left" vertical="center"/>
    </xf>
    <xf numFmtId="0" fontId="50" fillId="22" borderId="9" applyAlignment="1" pivotButton="0" quotePrefix="0" xfId="0">
      <alignment horizontal="center" vertical="center"/>
    </xf>
    <xf numFmtId="168" fontId="53" fillId="22" borderId="9" applyAlignment="1" pivotButton="0" quotePrefix="0" xfId="0">
      <alignment horizontal="right" vertical="center"/>
    </xf>
    <xf numFmtId="0" fontId="54" fillId="17" borderId="0" applyAlignment="1" pivotButton="0" quotePrefix="0" xfId="0">
      <alignment horizontal="left" vertical="center"/>
    </xf>
    <xf numFmtId="3" fontId="50" fillId="21" borderId="9" applyAlignment="1" pivotButton="0" quotePrefix="0" xfId="0">
      <alignment horizontal="center" vertical="center"/>
    </xf>
    <xf numFmtId="164" fontId="50" fillId="21" borderId="9" applyAlignment="1" pivotButton="0" quotePrefix="0" xfId="0">
      <alignment horizontal="center" vertical="center"/>
    </xf>
    <xf numFmtId="3" fontId="50" fillId="23" borderId="9" applyAlignment="1" pivotButton="0" quotePrefix="0" xfId="0">
      <alignment horizontal="center" vertical="center"/>
    </xf>
    <xf numFmtId="164" fontId="50" fillId="23" borderId="9" applyAlignment="1" pivotButton="0" quotePrefix="0" xfId="0">
      <alignment horizontal="center" vertical="center"/>
    </xf>
    <xf numFmtId="3" fontId="50" fillId="22" borderId="9" applyAlignment="1" pivotButton="0" quotePrefix="0" xfId="0">
      <alignment horizontal="center" vertical="center"/>
    </xf>
    <xf numFmtId="164" fontId="50" fillId="22" borderId="9" applyAlignment="1" pivotButton="0" quotePrefix="0" xfId="0">
      <alignment horizontal="center" vertical="center"/>
    </xf>
    <xf numFmtId="0" fontId="55" fillId="20" borderId="0" pivotButton="0" quotePrefix="0" xfId="0"/>
  </cellXfs>
  <cellStyles count="5">
    <cellStyle name="Normal" xfId="0" builtinId="0"/>
    <cellStyle name="Normal 2" xfId="1"/>
    <cellStyle name="Comma" xfId="2" builtinId="3"/>
    <cellStyle name="Normal 3" xfId="3"/>
    <cellStyle name="Per cent" xfId="4" builtinId="5"/>
  </cellStyles>
  <dxfs count="2">
    <dxf>
      <fill>
        <patternFill>
          <bgColor rgb="FFCCE5FF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</dxfs>
  <tableStyles count="1" defaultTableStyle="TableStyleMedium2" defaultPivotStyle="PivotStyleLight16">
    <tableStyle name="Table Style 1" pivot="0" count="2">
      <tableStyleElement type="wholeTable" dxfId="1"/>
      <tableStyleElement type="headerRow" dxfId="0"/>
    </tableStyle>
  </table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styles" Target="styles.xml" Id="rId13"/><Relationship Type="http://schemas.openxmlformats.org/officeDocument/2006/relationships/theme" Target="theme/theme1.xml" Id="rId14"/></Relationships>
</file>

<file path=xl/charts/chart1.xml><?xml version="1.0" encoding="utf-8"?>
<chartSpace xmlns="http://schemas.openxmlformats.org/drawingml/2006/chart">
  <chart>
    <title>
      <tx>
        <rich>
          <a:bodyPr xmlns:a="http://schemas.openxmlformats.org/drawingml/2006/main"/>
          <a:lstStyle xmlns:a="http://schemas.openxmlformats.org/drawingml/2006/main"/>
          <a:p xmlns:a="http://schemas.openxmlformats.org/drawingml/2006/main">
            <a:pPr>
              <a:defRPr/>
            </a:pPr>
            <a:r>
              <a:rPr lang="en-GB"/>
              <a:t>Monthly Spot Prices - DK1 (Primary) and DK2 (Robustness)</a:t>
            </a:r>
          </a:p>
        </rich>
      </tx>
      <overlay val="1"/>
    </title>
    <plotArea>
      <layout/>
      <lineChart>
        <grouping val="standard"/>
        <varyColors val="1"/>
        <ser>
          <idx val="0"/>
          <order val="0"/>
          <tx>
            <strRef>
              <f>'Electricity Price Data'!$B$1</f>
              <strCache>
                <ptCount val="1"/>
                <pt idx="0">
                  <v>DK1 Spot Price (EUR/MWh) — Primary</v>
                </pt>
              </strCache>
            </strRef>
          </tx>
          <spPr>
            <a:ln xmlns:a="http://schemas.openxmlformats.org/drawingml/2006/main">
              <a:solidFill>
                <a:srgbClr val="2E75B6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val>
            <numRef>
              <f>'Electricity Price Data'!$B$2:$B$85</f>
              <numCache>
                <formatCode>General</formatCode>
                <ptCount val="84"/>
                <pt idx="0">
                  <v>50.29564516129032</v>
                </pt>
                <pt idx="1">
                  <v>42.81395833333333</v>
                </pt>
                <pt idx="2">
                  <v>33.60825910931175</v>
                </pt>
                <pt idx="3">
                  <v>39.06841666666666</v>
                </pt>
                <pt idx="4">
                  <v>37.42951612903226</v>
                </pt>
                <pt idx="5">
                  <v>32.87922222222223</v>
                </pt>
                <pt idx="6">
                  <v>38.81731182795698</v>
                </pt>
                <pt idx="7">
                  <v>37.86569892473118</v>
                </pt>
                <pt idx="8">
                  <v>35.37886111111111</v>
                </pt>
                <pt idx="9">
                  <v>38.34740242261103</v>
                </pt>
                <pt idx="10">
                  <v>41.74506944444445</v>
                </pt>
                <pt idx="11">
                  <v>34.04197580645161</v>
                </pt>
                <pt idx="12">
                  <v>24.99454301075269</v>
                </pt>
                <pt idx="13">
                  <v>17.58507183908046</v>
                </pt>
                <pt idx="14">
                  <v>18.30172739541161</v>
                </pt>
                <pt idx="15">
                  <v>14.53377777777778</v>
                </pt>
                <pt idx="16">
                  <v>16.05399193548387</v>
                </pt>
                <pt idx="17">
                  <v>26.27627777777777</v>
                </pt>
                <pt idx="18">
                  <v>24.61956989247312</v>
                </pt>
                <pt idx="19">
                  <v>34.5392876344086</v>
                </pt>
                <pt idx="20">
                  <v>38.53504166666666</v>
                </pt>
                <pt idx="21">
                  <v>25.81475100942126</v>
                </pt>
                <pt idx="22">
                  <v>23.75458333333333</v>
                </pt>
                <pt idx="23">
                  <v>34.51112903225806</v>
                </pt>
                <pt idx="24">
                  <v>50.20510752688172</v>
                </pt>
                <pt idx="25">
                  <v>47.26150297619048</v>
                </pt>
                <pt idx="26">
                  <v>45.12944669365721</v>
                </pt>
                <pt idx="27">
                  <v>47.96711111111111</v>
                </pt>
                <pt idx="28">
                  <v>54.30756720430108</v>
                </pt>
                <pt idx="29">
                  <v>73.71981944444444</v>
                </pt>
                <pt idx="30">
                  <v>79.99924731182796</v>
                </pt>
                <pt idx="31">
                  <v>82.78876344086021</v>
                </pt>
                <pt idx="32">
                  <v>125.3637638888889</v>
                </pt>
                <pt idx="33">
                  <v>117.0398115746972</v>
                </pt>
                <pt idx="34">
                  <v>141.7975833333333</v>
                </pt>
                <pt idx="35">
                  <v>189.3493279569892</v>
                </pt>
                <pt idx="36">
                  <v>117.9946505376344</v>
                </pt>
                <pt idx="37">
                  <v>113.120744047619</v>
                </pt>
                <pt idx="38">
                  <v>235.8248448043185</v>
                </pt>
                <pt idx="39">
                  <v>163.6374722222222</v>
                </pt>
                <pt idx="40">
                  <v>171.8580376344086</v>
                </pt>
                <pt idx="41">
                  <v>214.43025</v>
                </pt>
                <pt idx="42">
                  <v>275.0381720430107</v>
                </pt>
                <pt idx="43">
                  <v>456.7503494623656</v>
                </pt>
                <pt idx="44">
                  <v>342.8196527777778</v>
                </pt>
                <pt idx="45">
                  <v>137.1317227456258</v>
                </pt>
                <pt idx="46">
                  <v>139.7042083333333</v>
                </pt>
                <pt idx="47">
                  <v>249.6656182795699</v>
                </pt>
                <pt idx="48">
                  <v>112.5418413978495</v>
                </pt>
                <pt idx="49">
                  <v>118.136130952381</v>
                </pt>
                <pt idx="50">
                  <v>99.11391363022942</v>
                </pt>
                <pt idx="51">
                  <v>96.27097222222223</v>
                </pt>
                <pt idx="52">
                  <v>73.96577956989248</v>
                </pt>
                <pt idx="53">
                  <v>92.49543055555556</v>
                </pt>
                <pt idx="54">
                  <v>64.81130376344086</v>
                </pt>
                <pt idx="55">
                  <v>85.96711021505376</v>
                </pt>
                <pt idx="56">
                  <v>84.73944444444444</v>
                </pt>
                <pt idx="57">
                  <v>60.10576043068641</v>
                </pt>
                <pt idx="58">
                  <v>88.15456944444445</v>
                </pt>
                <pt idx="59">
                  <v>69.48251344086022</v>
                </pt>
                <pt idx="60">
                  <v>74.71493279569893</v>
                </pt>
                <pt idx="61">
                  <v>58.63393678160919</v>
                </pt>
                <pt idx="62">
                  <v>61.22628879892038</v>
                </pt>
                <pt idx="63">
                  <v>59.16479166666667</v>
                </pt>
                <pt idx="64">
                  <v>58.51685483870968</v>
                </pt>
                <pt idx="65">
                  <v>63.75304166666667</v>
                </pt>
                <pt idx="66">
                  <v>62.03034946236559</v>
                </pt>
                <pt idx="67">
                  <v>72.95380376344086</v>
                </pt>
                <pt idx="68">
                  <v>71.71358333333333</v>
                </pt>
                <pt idx="69">
                  <v>76.7199730820996</v>
                </pt>
                <pt idx="70">
                  <v>95.90459722222222</v>
                </pt>
                <pt idx="71">
                  <v>91.83743279569893</v>
                </pt>
                <pt idx="72">
                  <v>97.96596774193547</v>
                </pt>
                <pt idx="73">
                  <v>112.8479613095238</v>
                </pt>
                <pt idx="74">
                  <v>84.34884511784512</v>
                </pt>
                <pt idx="75">
                  <v>75.16047222222223</v>
                </pt>
                <pt idx="76">
                  <v>64.23341397849462</v>
                </pt>
                <pt idx="77">
                  <v>58.784625</v>
                </pt>
                <pt idx="78">
                  <v>82.80192204301075</v>
                </pt>
                <pt idx="79">
                  <v>73.47376344086022</v>
                </pt>
                <pt idx="80">
                  <v>72.39868055555556</v>
                </pt>
                <pt idx="81">
                  <v>78.4218001345895</v>
                </pt>
                <pt idx="82">
                  <v>92.87339236111112</v>
                </pt>
                <pt idx="83">
                  <v>82.43746639784946</v>
                </pt>
              </numCache>
            </numRef>
          </val>
          <smooth val="1"/>
        </ser>
        <ser>
          <idx val="1"/>
          <order val="1"/>
          <tx>
            <strRef>
              <f>'Electricity Price Data'!$C$1</f>
              <strCache>
                <ptCount val="1"/>
                <pt idx="0">
                  <v>DK2 Spot Price (EUR/MWh) — Robustness</v>
                </pt>
              </strCache>
            </strRef>
          </tx>
          <spPr>
            <a:ln xmlns:a="http://schemas.openxmlformats.org/drawingml/2006/main">
              <a:solidFill>
                <a:srgbClr val="9DC3E6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val>
            <numRef>
              <f>'Electricity Price Data'!$C$2:$C$85</f>
              <numCache>
                <formatCode>General</formatCode>
                <ptCount val="84"/>
                <pt idx="0">
                  <v>51.65502688172042</v>
                </pt>
                <pt idx="1">
                  <v>43.93294642857143</v>
                </pt>
                <pt idx="2">
                  <v>35.66735492577597</v>
                </pt>
                <pt idx="3">
                  <v>39.89209722222223</v>
                </pt>
                <pt idx="4">
                  <v>38.15139784946236</v>
                </pt>
                <pt idx="5">
                  <v>33.62223611111111</v>
                </pt>
                <pt idx="6">
                  <v>39.0001747311828</v>
                </pt>
                <pt idx="7">
                  <v>39.49317204301075</v>
                </pt>
                <pt idx="8">
                  <v>37.32134722222222</v>
                </pt>
                <pt idx="9">
                  <v>41.59935397039031</v>
                </pt>
                <pt idx="10">
                  <v>42.69644444444445</v>
                </pt>
                <pt idx="11">
                  <v>35.34711021505376</v>
                </pt>
                <pt idx="12">
                  <v>27.38524193548387</v>
                </pt>
                <pt idx="13">
                  <v>18.81699712643678</v>
                </pt>
                <pt idx="14">
                  <v>20.05249662618084</v>
                </pt>
                <pt idx="15">
                  <v>17.35486111111111</v>
                </pt>
                <pt idx="16">
                  <v>19.04407258064516</v>
                </pt>
                <pt idx="17">
                  <v>29.82329166666667</v>
                </pt>
                <pt idx="18">
                  <v>25.88668010752688</v>
                </pt>
                <pt idx="19">
                  <v>40.92381720430107</v>
                </pt>
                <pt idx="20">
                  <v>39.51423611111111</v>
                </pt>
                <pt idx="21">
                  <v>26.93351278600269</v>
                </pt>
                <pt idx="22">
                  <v>35.71134722222222</v>
                </pt>
                <pt idx="23">
                  <v>39.25715053763441</v>
                </pt>
                <pt idx="24">
                  <v>50.85895161290323</v>
                </pt>
                <pt idx="25">
                  <v>54.54806547619048</v>
                </pt>
                <pt idx="26">
                  <v>46.73221322537112</v>
                </pt>
                <pt idx="27">
                  <v>47.86295833333334</v>
                </pt>
                <pt idx="28">
                  <v>55.20880376344086</v>
                </pt>
                <pt idx="29">
                  <v>73.58690277777778</v>
                </pt>
                <pt idx="30">
                  <v>81.44088709677419</v>
                </pt>
                <pt idx="31">
                  <v>84.36354838709678</v>
                </pt>
                <pt idx="32">
                  <v>123.9021111111111</v>
                </pt>
                <pt idx="33">
                  <v>106.9322745625841</v>
                </pt>
                <pt idx="34">
                  <v>136.3800555555555</v>
                </pt>
                <pt idx="35">
                  <v>191.0686155913978</v>
                </pt>
                <pt idx="36">
                  <v>111.6220967741935</v>
                </pt>
                <pt idx="37">
                  <v>100.2914136904762</v>
                </pt>
                <pt idx="38">
                  <v>227.9203643724696</v>
                </pt>
                <pt idx="39">
                  <v>152.8328055555556</v>
                </pt>
                <pt idx="40">
                  <v>162.6584139784946</v>
                </pt>
                <pt idx="41">
                  <v>213.2331388888889</v>
                </pt>
                <pt idx="42">
                  <v>233.4777419354839</v>
                </pt>
                <pt idx="43">
                  <v>449.7688306451613</v>
                </pt>
                <pt idx="44">
                  <v>328.8001527777778</v>
                </pt>
                <pt idx="45">
                  <v>136.8978331090175</v>
                </pt>
                <pt idx="46">
                  <v>145.0578055555555</v>
                </pt>
                <pt idx="47">
                  <v>248.8820698924731</v>
                </pt>
                <pt idx="48">
                  <v>99.76288978494622</v>
                </pt>
                <pt idx="49">
                  <v>100.6489285714286</v>
                </pt>
                <pt idx="50">
                  <v>89.79561403508772</v>
                </pt>
                <pt idx="51">
                  <v>83.65112499999999</v>
                </pt>
                <pt idx="52">
                  <v>66.15174731182796</v>
                </pt>
                <pt idx="53">
                  <v>91.42315277777777</v>
                </pt>
                <pt idx="54">
                  <v>65.24004032258064</v>
                </pt>
                <pt idx="55">
                  <v>86.29373655913979</v>
                </pt>
                <pt idx="56">
                  <v>85.48412500000001</v>
                </pt>
                <pt idx="57">
                  <v>56.92581426648721</v>
                </pt>
                <pt idx="58">
                  <v>81.48604166666667</v>
                </pt>
                <pt idx="59">
                  <v>70.87973118279569</v>
                </pt>
                <pt idx="60">
                  <v>78.21481182795699</v>
                </pt>
                <pt idx="61">
                  <v>54.72224137931035</v>
                </pt>
                <pt idx="62">
                  <v>61.0408636977058</v>
                </pt>
                <pt idx="63">
                  <v>60.47670833333333</v>
                </pt>
                <pt idx="64">
                  <v>58.12298387096774</v>
                </pt>
                <pt idx="65">
                  <v>66.79098611111111</v>
                </pt>
                <pt idx="66">
                  <v>62.84170698924731</v>
                </pt>
                <pt idx="67">
                  <v>72.61426075268818</v>
                </pt>
                <pt idx="68">
                  <v>70.41183333333333</v>
                </pt>
                <pt idx="69">
                  <v>76.32612382234186</v>
                </pt>
                <pt idx="70">
                  <v>95.28269444444443</v>
                </pt>
                <pt idx="71">
                  <v>92.72815860215054</v>
                </pt>
                <pt idx="72">
                  <v>100.1237365591398</v>
                </pt>
                <pt idx="73">
                  <v>117.9355505952381</v>
                </pt>
                <pt idx="74">
                  <v>82.84686531986532</v>
                </pt>
                <pt idx="75">
                  <v>75.80665277777778</v>
                </pt>
                <pt idx="76">
                  <v>63.08255376344086</v>
                </pt>
                <pt idx="77">
                  <v>56.44824999999999</v>
                </pt>
                <pt idx="78">
                  <v>79.95969086021506</v>
                </pt>
                <pt idx="79">
                  <v>75.31549731182795</v>
                </pt>
                <pt idx="80">
                  <v>83.28893055555555</v>
                </pt>
                <pt idx="81">
                  <v>82.36807537012113</v>
                </pt>
                <pt idx="82">
                  <v>93.69557291666666</v>
                </pt>
                <pt idx="83">
                  <v>82.08152889784947</v>
                </pt>
              </numCache>
            </numRef>
          </val>
          <smooth val="1"/>
        </ser>
        <dLbls>
          <showLegendKey val="0"/>
          <showVal val="0"/>
          <showCatName val="0"/>
          <showSerName val="0"/>
          <showPercent val="0"/>
          <showBubbleSize val="0"/>
        </dLbls>
        <smooth val="0"/>
        <axId val="10"/>
        <axId val="100"/>
      </lineChart>
      <catAx>
        <axId val="10"/>
        <scaling>
          <orientation val="minMax"/>
        </scaling>
        <delete val="1"/>
        <axPos val="b"/>
        <title>
          <tx>
            <rich>
              <a:bodyPr xmlns:a="http://schemas.openxmlformats.org/drawingml/2006/main"/>
              <a:lstStyle xmlns:a="http://schemas.openxmlformats.org/drawingml/2006/main"/>
              <a:p xmlns:a="http://schemas.openxmlformats.org/drawingml/2006/main">
                <a:pPr>
                  <a:defRPr/>
                </a:pPr>
                <a:r>
                  <a:rPr lang="en-GB"/>
                  <a:t>Month</a:t>
                </a:r>
              </a:p>
            </rich>
          </tx>
          <overlay val="1"/>
        </title>
        <majorTickMark val="none"/>
        <minorTickMark val="none"/>
        <tickLblPos val="nextTo"/>
        <crossAx val="100"/>
        <crosses val="autoZero"/>
        <auto val="1"/>
        <lblAlgn val="ctr"/>
        <lblOffset val="100"/>
        <noMultiLvlLbl val="1"/>
      </catAx>
      <valAx>
        <axId val="100"/>
        <scaling>
          <orientation val="minMax"/>
        </scaling>
        <delete val="1"/>
        <axPos val="l"/>
        <majorGridlines/>
        <title>
          <tx>
            <rich>
              <a:bodyPr xmlns:a="http://schemas.openxmlformats.org/drawingml/2006/main"/>
              <a:lstStyle xmlns:a="http://schemas.openxmlformats.org/drawingml/2006/main"/>
              <a:p xmlns:a="http://schemas.openxmlformats.org/drawingml/2006/main">
                <a:pPr>
                  <a:defRPr/>
                </a:pPr>
                <a:r>
                  <a:rPr lang="en-GB"/>
                  <a:t>EUR/MWh</a:t>
                </a:r>
              </a:p>
            </rich>
          </tx>
          <overlay val="1"/>
        </title>
        <numFmt formatCode="General" sourceLinked="1"/>
        <majorTickMark val="none"/>
        <minorTickMark val="none"/>
        <tickLblPos val="nextTo"/>
        <crossAx val="10"/>
        <crosses val="autoZero"/>
        <crossBetween val="between"/>
      </valAx>
    </plotArea>
    <legend>
      <legendPos val="r"/>
      <overlay val="1"/>
    </legend>
    <plotVisOnly val="1"/>
    <dispBlanksAs val="gap"/>
  </chart>
</chartSpace>
</file>

<file path=xl/charts/chart2.xml><?xml version="1.0" encoding="utf-8"?>
<chartSpace xmlns="http://schemas.openxmlformats.org/drawingml/2006/chart">
  <chart>
    <title>
      <tx>
        <rich>
          <a:bodyPr xmlns:a="http://schemas.openxmlformats.org/drawingml/2006/main"/>
          <a:lstStyle xmlns:a="http://schemas.openxmlformats.org/drawingml/2006/main"/>
          <a:p xmlns:a="http://schemas.openxmlformats.org/drawingml/2006/main">
            <a:pPr>
              <a:defRPr/>
            </a:pPr>
            <a:r>
              <a:rPr lang="en-GB"/>
              <a:t>DK1 De-seasonalised Price Series (Primary)</a:t>
            </a:r>
          </a:p>
        </rich>
      </tx>
      <overlay val="1"/>
    </title>
    <plotArea>
      <layout/>
      <lineChart>
        <grouping val="standard"/>
        <varyColors val="1"/>
        <ser>
          <idx val="0"/>
          <order val="0"/>
          <tx>
            <strRef>
              <f>'Electricity Price Data'!$E$1</f>
              <strCache>
                <ptCount val="1"/>
                <pt idx="0">
                  <v>DK1 De-seasonalised Price (EUR/MWh)</v>
                </pt>
              </strCache>
            </strRef>
          </tx>
          <spPr>
            <a:ln xmlns:a="http://schemas.openxmlformats.org/drawingml/2006/main">
              <a:solidFill>
                <a:srgbClr val="2E75B6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val>
            <numRef>
              <f>'Electricity Price Data'!$E$2:$E$85</f>
              <numCache>
                <formatCode>General</formatCode>
                <ptCount val="84"/>
                <pt idx="0">
                  <v>-25.23473886328725</v>
                </pt>
                <pt idx="1">
                  <v>-30.1002282723434</v>
                </pt>
                <pt idx="2">
                  <v>-48.89935882635881</v>
                </pt>
                <pt idx="3">
                  <v>-31.76058531746028</v>
                </pt>
                <pt idx="4">
                  <v>-30.62264976958527</v>
                </pt>
                <pt idx="5">
                  <v>-47.45487301587301</v>
                </pt>
                <pt idx="6">
                  <v>-50.9138133640553</v>
                </pt>
                <pt idx="7">
                  <v>-82.75412634408602</v>
                </pt>
                <pt idx="8">
                  <v>-74.75671428571428</v>
                </pt>
                <pt idx="9">
                  <v>-37.87848634877907</v>
                </pt>
                <pt idx="10">
                  <v>-47.38835962301585</v>
                </pt>
                <pt idx="11">
                  <v>-73.29023329493089</v>
                </pt>
                <pt idx="12">
                  <v>-50.53584101382489</v>
                </pt>
                <pt idx="13">
                  <v>-55.32911476659628</v>
                </pt>
                <pt idx="14">
                  <v>-64.20589054025895</v>
                </pt>
                <pt idx="15">
                  <v>-56.29522420634917</v>
                </pt>
                <pt idx="16">
                  <v>-51.99817396313366</v>
                </pt>
                <pt idx="17">
                  <v>-54.05781746031745</v>
                </pt>
                <pt idx="18">
                  <v>-65.11155529953916</v>
                </pt>
                <pt idx="19">
                  <v>-86.08053763440859</v>
                </pt>
                <pt idx="20">
                  <v>-71.60053373015873</v>
                </pt>
                <pt idx="21">
                  <v>-50.41113776196884</v>
                </pt>
                <pt idx="22">
                  <v>-65.37884573412697</v>
                </pt>
                <pt idx="23">
                  <v>-72.82108006912443</v>
                </pt>
                <pt idx="24">
                  <v>-25.32527649769585</v>
                </pt>
                <pt idx="25">
                  <v>-25.65268362948625</v>
                </pt>
                <pt idx="26">
                  <v>-37.37817124201334</v>
                </pt>
                <pt idx="27">
                  <v>-22.86189087301584</v>
                </pt>
                <pt idx="28">
                  <v>-13.74459869431645</v>
                </pt>
                <pt idx="29">
                  <v>-6.614275793650791</v>
                </pt>
                <pt idx="30">
                  <v>-9.731877880184328</v>
                </pt>
                <pt idx="31">
                  <v>-37.83106182795699</v>
                </pt>
                <pt idx="32">
                  <v>15.22818849206351</v>
                </pt>
                <pt idx="33">
                  <v>40.81392280330708</v>
                </pt>
                <pt idx="34">
                  <v>52.66415426587304</v>
                </pt>
                <pt idx="35">
                  <v>82.01711885560675</v>
                </pt>
                <pt idx="36">
                  <v>42.46426651305684</v>
                </pt>
                <pt idx="37">
                  <v>40.20655744194231</v>
                </pt>
                <pt idx="38">
                  <v>153.3172268686479</v>
                </pt>
                <pt idx="39">
                  <v>92.80847023809527</v>
                </pt>
                <pt idx="40">
                  <v>103.8058717357911</v>
                </pt>
                <pt idx="41">
                  <v>134.0961547619048</v>
                </pt>
                <pt idx="42">
                  <v>185.3070468509984</v>
                </pt>
                <pt idx="43">
                  <v>336.1305241935484</v>
                </pt>
                <pt idx="44">
                  <v>232.6840773809524</v>
                </pt>
                <pt idx="45">
                  <v>60.90583397423573</v>
                </pt>
                <pt idx="46">
                  <v>50.57077926587303</v>
                </pt>
                <pt idx="47">
                  <v>142.3334091781874</v>
                </pt>
                <pt idx="48">
                  <v>37.0114573732719</v>
                </pt>
                <pt idx="49">
                  <v>45.22194434670422</v>
                </pt>
                <pt idx="50">
                  <v>16.60629569455887</v>
                </pt>
                <pt idx="51">
                  <v>25.44197023809528</v>
                </pt>
                <pt idx="52">
                  <v>5.913613671274945</v>
                </pt>
                <pt idx="53">
                  <v>12.16133531746033</v>
                </pt>
                <pt idx="54">
                  <v>-24.91982142857142</v>
                </pt>
                <pt idx="55">
                  <v>-34.65271505376343</v>
                </pt>
                <pt idx="56">
                  <v>-25.39613095238094</v>
                </pt>
                <pt idx="57">
                  <v>-16.12012834070369</v>
                </pt>
                <pt idx="58">
                  <v>-0.9788596230158504</v>
                </pt>
                <pt idx="59">
                  <v>-37.84969566052227</v>
                </pt>
                <pt idx="60">
                  <v>-0.8154512288786435</v>
                </pt>
                <pt idx="61">
                  <v>-14.28024982406754</v>
                </pt>
                <pt idx="62">
                  <v>-21.28132913675017</v>
                </pt>
                <pt idx="63">
                  <v>-11.66421031746028</v>
                </pt>
                <pt idx="64">
                  <v>-9.535311059907855</v>
                </pt>
                <pt idx="65">
                  <v>-16.58105357142856</v>
                </pt>
                <pt idx="66">
                  <v>-27.70077572964669</v>
                </pt>
                <pt idx="67">
                  <v>-47.66602150537634</v>
                </pt>
                <pt idx="68">
                  <v>-38.42199206349206</v>
                </pt>
                <pt idx="69">
                  <v>0.4940843107094963</v>
                </pt>
                <pt idx="70">
                  <v>6.771168154761924</v>
                </pt>
                <pt idx="71">
                  <v>-15.49477630568356</v>
                </pt>
                <pt idx="72">
                  <v>22.4355837173579</v>
                </pt>
                <pt idx="73">
                  <v>39.93377470384708</v>
                </pt>
                <pt idx="74">
                  <v>1.841227182174563</v>
                </pt>
                <pt idx="75">
                  <v>4.331470238095278</v>
                </pt>
                <pt idx="76">
                  <v>-3.818751920122907</v>
                </pt>
                <pt idx="77">
                  <v>-21.54947023809523</v>
                </pt>
                <pt idx="78">
                  <v>-6.929203149001538</v>
                </pt>
                <pt idx="79">
                  <v>-47.14606182795697</v>
                </pt>
                <pt idx="80">
                  <v>-37.73689484126983</v>
                </pt>
                <pt idx="81">
                  <v>2.1959113631994</v>
                </pt>
                <pt idx="82">
                  <v>3.739963293650817</v>
                </pt>
                <pt idx="83">
                  <v>-24.89474270353303</v>
                </pt>
              </numCache>
            </numRef>
          </val>
          <smooth val="1"/>
        </ser>
        <dLbls>
          <showLegendKey val="0"/>
          <showVal val="0"/>
          <showCatName val="0"/>
          <showSerName val="0"/>
          <showPercent val="0"/>
          <showBubbleSize val="0"/>
        </dLbls>
        <smooth val="0"/>
        <axId val="10"/>
        <axId val="100"/>
      </lineChart>
      <catAx>
        <axId val="10"/>
        <scaling>
          <orientation val="minMax"/>
        </scaling>
        <delete val="1"/>
        <axPos val="b"/>
        <title>
          <tx>
            <rich>
              <a:bodyPr xmlns:a="http://schemas.openxmlformats.org/drawingml/2006/main"/>
              <a:lstStyle xmlns:a="http://schemas.openxmlformats.org/drawingml/2006/main"/>
              <a:p xmlns:a="http://schemas.openxmlformats.org/drawingml/2006/main">
                <a:pPr>
                  <a:defRPr/>
                </a:pPr>
                <a:r>
                  <a:rPr lang="en-GB"/>
                  <a:t>Month</a:t>
                </a:r>
              </a:p>
            </rich>
          </tx>
          <overlay val="1"/>
        </title>
        <majorTickMark val="none"/>
        <minorTickMark val="none"/>
        <tickLblPos val="nextTo"/>
        <crossAx val="100"/>
        <crosses val="autoZero"/>
        <auto val="1"/>
        <lblAlgn val="ctr"/>
        <lblOffset val="100"/>
        <noMultiLvlLbl val="1"/>
      </catAx>
      <valAx>
        <axId val="100"/>
        <scaling>
          <orientation val="minMax"/>
        </scaling>
        <delete val="1"/>
        <axPos val="l"/>
        <majorGridlines/>
        <title>
          <tx>
            <rich>
              <a:bodyPr xmlns:a="http://schemas.openxmlformats.org/drawingml/2006/main"/>
              <a:lstStyle xmlns:a="http://schemas.openxmlformats.org/drawingml/2006/main"/>
              <a:p xmlns:a="http://schemas.openxmlformats.org/drawingml/2006/main">
                <a:pPr>
                  <a:defRPr/>
                </a:pPr>
                <a:r>
                  <a:rPr lang="en-GB"/>
                  <a:t>EUR/MWh</a:t>
                </a:r>
              </a:p>
            </rich>
          </tx>
          <overlay val="1"/>
        </title>
        <numFmt formatCode="General" sourceLinked="1"/>
        <majorTickMark val="none"/>
        <minorTickMark val="none"/>
        <tickLblPos val="nextTo"/>
        <crossAx val="10"/>
        <crosses val="autoZero"/>
        <crossBetween val="between"/>
      </valAx>
    </plotArea>
    <legend>
      <legendPos val="r"/>
      <overlay val="0"/>
      <txPr>
        <a:bodyPr xmlns:a="http://schemas.openxmlformats.org/drawingml/2006/main"/>
        <a:lstStyle xmlns:a="http://schemas.openxmlformats.org/drawingml/2006/main"/>
        <a:p xmlns:a="http://schemas.openxmlformats.org/drawingml/2006/main">
          <a:pPr rtl="0">
            <a:defRPr/>
          </a:pPr>
          <a:r>
            <a:t>None</a:t>
          </a:r>
          <a:endParaRPr lang="en-DK"/>
        </a:p>
      </txPr>
    </legend>
    <plotVisOnly val="1"/>
    <dispBlanksAs val="gap"/>
  </chart>
</chartSpace>
</file>

<file path=xl/charts/chart3.xml><?xml version="1.0" encoding="utf-8"?>
<chartSpace xmlns="http://schemas.openxmlformats.org/drawingml/2006/chart">
  <chart>
    <title>
      <tx>
        <rich>
          <a:bodyPr xmlns:a="http://schemas.openxmlformats.org/drawingml/2006/main"/>
          <a:lstStyle xmlns:a="http://schemas.openxmlformats.org/drawingml/2006/main"/>
          <a:p xmlns:a="http://schemas.openxmlformats.org/drawingml/2006/main">
            <a:pPr>
              <a:defRPr/>
            </a:pPr>
            <a:r>
              <a:rPr lang="en-GB"/>
              <a:t>Monthly Spot Prices - DK1 (Primary) and DK2 (Robustness)</a:t>
            </a:r>
          </a:p>
        </rich>
      </tx>
      <overlay val="1"/>
    </title>
    <plotArea>
      <layout/>
      <lineChart>
        <grouping val="standard"/>
        <varyColors val="1"/>
        <ser>
          <idx val="0"/>
          <order val="0"/>
          <tx>
            <strRef>
              <f>'Electricity Price Data'!$B$1</f>
              <strCache>
                <ptCount val="1"/>
                <pt idx="0">
                  <v>DK1 Spot Price (EUR/MWh) — Primary</v>
                </pt>
              </strCache>
            </strRef>
          </tx>
          <spPr>
            <a:ln xmlns:a="http://schemas.openxmlformats.org/drawingml/2006/main">
              <a:solidFill>
                <a:srgbClr val="2E75B6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val>
            <numRef>
              <f>'Electricity Price Data'!$B$2:$B$85</f>
              <numCache>
                <formatCode>General</formatCode>
                <ptCount val="84"/>
                <pt idx="0">
                  <v>50.29564516129032</v>
                </pt>
                <pt idx="1">
                  <v>42.81395833333333</v>
                </pt>
                <pt idx="2">
                  <v>33.60825910931175</v>
                </pt>
                <pt idx="3">
                  <v>39.06841666666666</v>
                </pt>
                <pt idx="4">
                  <v>37.42951612903226</v>
                </pt>
                <pt idx="5">
                  <v>32.87922222222223</v>
                </pt>
                <pt idx="6">
                  <v>38.81731182795698</v>
                </pt>
                <pt idx="7">
                  <v>37.86569892473118</v>
                </pt>
                <pt idx="8">
                  <v>35.37886111111111</v>
                </pt>
                <pt idx="9">
                  <v>38.34740242261103</v>
                </pt>
                <pt idx="10">
                  <v>41.74506944444445</v>
                </pt>
                <pt idx="11">
                  <v>34.04197580645161</v>
                </pt>
                <pt idx="12">
                  <v>24.99454301075269</v>
                </pt>
                <pt idx="13">
                  <v>17.58507183908046</v>
                </pt>
                <pt idx="14">
                  <v>18.30172739541161</v>
                </pt>
                <pt idx="15">
                  <v>14.53377777777778</v>
                </pt>
                <pt idx="16">
                  <v>16.05399193548387</v>
                </pt>
                <pt idx="17">
                  <v>26.27627777777777</v>
                </pt>
                <pt idx="18">
                  <v>24.61956989247312</v>
                </pt>
                <pt idx="19">
                  <v>34.5392876344086</v>
                </pt>
                <pt idx="20">
                  <v>38.53504166666666</v>
                </pt>
                <pt idx="21">
                  <v>25.81475100942126</v>
                </pt>
                <pt idx="22">
                  <v>23.75458333333333</v>
                </pt>
                <pt idx="23">
                  <v>34.51112903225806</v>
                </pt>
                <pt idx="24">
                  <v>50.20510752688172</v>
                </pt>
                <pt idx="25">
                  <v>47.26150297619048</v>
                </pt>
                <pt idx="26">
                  <v>45.12944669365721</v>
                </pt>
                <pt idx="27">
                  <v>47.96711111111111</v>
                </pt>
                <pt idx="28">
                  <v>54.30756720430108</v>
                </pt>
                <pt idx="29">
                  <v>73.71981944444444</v>
                </pt>
                <pt idx="30">
                  <v>79.99924731182796</v>
                </pt>
                <pt idx="31">
                  <v>82.78876344086021</v>
                </pt>
                <pt idx="32">
                  <v>125.3637638888889</v>
                </pt>
                <pt idx="33">
                  <v>117.0398115746972</v>
                </pt>
                <pt idx="34">
                  <v>141.7975833333333</v>
                </pt>
                <pt idx="35">
                  <v>189.3493279569892</v>
                </pt>
                <pt idx="36">
                  <v>117.9946505376344</v>
                </pt>
                <pt idx="37">
                  <v>113.120744047619</v>
                </pt>
                <pt idx="38">
                  <v>235.8248448043185</v>
                </pt>
                <pt idx="39">
                  <v>163.6374722222222</v>
                </pt>
                <pt idx="40">
                  <v>171.8580376344086</v>
                </pt>
                <pt idx="41">
                  <v>214.43025</v>
                </pt>
                <pt idx="42">
                  <v>275.0381720430107</v>
                </pt>
                <pt idx="43">
                  <v>456.7503494623656</v>
                </pt>
                <pt idx="44">
                  <v>342.8196527777778</v>
                </pt>
                <pt idx="45">
                  <v>137.1317227456258</v>
                </pt>
                <pt idx="46">
                  <v>139.7042083333333</v>
                </pt>
                <pt idx="47">
                  <v>249.6656182795699</v>
                </pt>
                <pt idx="48">
                  <v>112.5418413978495</v>
                </pt>
                <pt idx="49">
                  <v>118.136130952381</v>
                </pt>
                <pt idx="50">
                  <v>99.11391363022942</v>
                </pt>
                <pt idx="51">
                  <v>96.27097222222223</v>
                </pt>
                <pt idx="52">
                  <v>73.96577956989248</v>
                </pt>
                <pt idx="53">
                  <v>92.49543055555556</v>
                </pt>
                <pt idx="54">
                  <v>64.81130376344086</v>
                </pt>
                <pt idx="55">
                  <v>85.96711021505376</v>
                </pt>
                <pt idx="56">
                  <v>84.73944444444444</v>
                </pt>
                <pt idx="57">
                  <v>60.10576043068641</v>
                </pt>
                <pt idx="58">
                  <v>88.15456944444445</v>
                </pt>
                <pt idx="59">
                  <v>69.48251344086022</v>
                </pt>
                <pt idx="60">
                  <v>74.71493279569893</v>
                </pt>
                <pt idx="61">
                  <v>58.63393678160919</v>
                </pt>
                <pt idx="62">
                  <v>61.22628879892038</v>
                </pt>
                <pt idx="63">
                  <v>59.16479166666667</v>
                </pt>
                <pt idx="64">
                  <v>58.51685483870968</v>
                </pt>
                <pt idx="65">
                  <v>63.75304166666667</v>
                </pt>
                <pt idx="66">
                  <v>62.03034946236559</v>
                </pt>
                <pt idx="67">
                  <v>72.95380376344086</v>
                </pt>
                <pt idx="68">
                  <v>71.71358333333333</v>
                </pt>
                <pt idx="69">
                  <v>76.7199730820996</v>
                </pt>
                <pt idx="70">
                  <v>95.90459722222222</v>
                </pt>
                <pt idx="71">
                  <v>91.83743279569893</v>
                </pt>
                <pt idx="72">
                  <v>97.96596774193547</v>
                </pt>
                <pt idx="73">
                  <v>112.8479613095238</v>
                </pt>
                <pt idx="74">
                  <v>84.34884511784512</v>
                </pt>
                <pt idx="75">
                  <v>75.16047222222223</v>
                </pt>
                <pt idx="76">
                  <v>64.23341397849462</v>
                </pt>
                <pt idx="77">
                  <v>58.784625</v>
                </pt>
                <pt idx="78">
                  <v>82.80192204301075</v>
                </pt>
                <pt idx="79">
                  <v>73.47376344086022</v>
                </pt>
                <pt idx="80">
                  <v>72.39868055555556</v>
                </pt>
                <pt idx="81">
                  <v>78.4218001345895</v>
                </pt>
                <pt idx="82">
                  <v>92.87339236111112</v>
                </pt>
                <pt idx="83">
                  <v>82.43746639784946</v>
                </pt>
              </numCache>
            </numRef>
          </val>
          <smooth val="1"/>
        </ser>
        <ser>
          <idx val="1"/>
          <order val="1"/>
          <tx>
            <strRef>
              <f>'Electricity Price Data'!$C$1</f>
              <strCache>
                <ptCount val="1"/>
                <pt idx="0">
                  <v>DK2 Spot Price (EUR/MWh) — Robustness</v>
                </pt>
              </strCache>
            </strRef>
          </tx>
          <spPr>
            <a:ln xmlns:a="http://schemas.openxmlformats.org/drawingml/2006/main">
              <a:solidFill>
                <a:srgbClr val="9DC3E6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val>
            <numRef>
              <f>'Electricity Price Data'!$C$2:$C$85</f>
              <numCache>
                <formatCode>General</formatCode>
                <ptCount val="84"/>
                <pt idx="0">
                  <v>51.65502688172042</v>
                </pt>
                <pt idx="1">
                  <v>43.93294642857143</v>
                </pt>
                <pt idx="2">
                  <v>35.66735492577597</v>
                </pt>
                <pt idx="3">
                  <v>39.89209722222223</v>
                </pt>
                <pt idx="4">
                  <v>38.15139784946236</v>
                </pt>
                <pt idx="5">
                  <v>33.62223611111111</v>
                </pt>
                <pt idx="6">
                  <v>39.0001747311828</v>
                </pt>
                <pt idx="7">
                  <v>39.49317204301075</v>
                </pt>
                <pt idx="8">
                  <v>37.32134722222222</v>
                </pt>
                <pt idx="9">
                  <v>41.59935397039031</v>
                </pt>
                <pt idx="10">
                  <v>42.69644444444445</v>
                </pt>
                <pt idx="11">
                  <v>35.34711021505376</v>
                </pt>
                <pt idx="12">
                  <v>27.38524193548387</v>
                </pt>
                <pt idx="13">
                  <v>18.81699712643678</v>
                </pt>
                <pt idx="14">
                  <v>20.05249662618084</v>
                </pt>
                <pt idx="15">
                  <v>17.35486111111111</v>
                </pt>
                <pt idx="16">
                  <v>19.04407258064516</v>
                </pt>
                <pt idx="17">
                  <v>29.82329166666667</v>
                </pt>
                <pt idx="18">
                  <v>25.88668010752688</v>
                </pt>
                <pt idx="19">
                  <v>40.92381720430107</v>
                </pt>
                <pt idx="20">
                  <v>39.51423611111111</v>
                </pt>
                <pt idx="21">
                  <v>26.93351278600269</v>
                </pt>
                <pt idx="22">
                  <v>35.71134722222222</v>
                </pt>
                <pt idx="23">
                  <v>39.25715053763441</v>
                </pt>
                <pt idx="24">
                  <v>50.85895161290323</v>
                </pt>
                <pt idx="25">
                  <v>54.54806547619048</v>
                </pt>
                <pt idx="26">
                  <v>46.73221322537112</v>
                </pt>
                <pt idx="27">
                  <v>47.86295833333334</v>
                </pt>
                <pt idx="28">
                  <v>55.20880376344086</v>
                </pt>
                <pt idx="29">
                  <v>73.58690277777778</v>
                </pt>
                <pt idx="30">
                  <v>81.44088709677419</v>
                </pt>
                <pt idx="31">
                  <v>84.36354838709678</v>
                </pt>
                <pt idx="32">
                  <v>123.9021111111111</v>
                </pt>
                <pt idx="33">
                  <v>106.9322745625841</v>
                </pt>
                <pt idx="34">
                  <v>136.3800555555555</v>
                </pt>
                <pt idx="35">
                  <v>191.0686155913978</v>
                </pt>
                <pt idx="36">
                  <v>111.6220967741935</v>
                </pt>
                <pt idx="37">
                  <v>100.2914136904762</v>
                </pt>
                <pt idx="38">
                  <v>227.9203643724696</v>
                </pt>
                <pt idx="39">
                  <v>152.8328055555556</v>
                </pt>
                <pt idx="40">
                  <v>162.6584139784946</v>
                </pt>
                <pt idx="41">
                  <v>213.2331388888889</v>
                </pt>
                <pt idx="42">
                  <v>233.4777419354839</v>
                </pt>
                <pt idx="43">
                  <v>449.7688306451613</v>
                </pt>
                <pt idx="44">
                  <v>328.8001527777778</v>
                </pt>
                <pt idx="45">
                  <v>136.8978331090175</v>
                </pt>
                <pt idx="46">
                  <v>145.0578055555555</v>
                </pt>
                <pt idx="47">
                  <v>248.8820698924731</v>
                </pt>
                <pt idx="48">
                  <v>99.76288978494622</v>
                </pt>
                <pt idx="49">
                  <v>100.6489285714286</v>
                </pt>
                <pt idx="50">
                  <v>89.79561403508772</v>
                </pt>
                <pt idx="51">
                  <v>83.65112499999999</v>
                </pt>
                <pt idx="52">
                  <v>66.15174731182796</v>
                </pt>
                <pt idx="53">
                  <v>91.42315277777777</v>
                </pt>
                <pt idx="54">
                  <v>65.24004032258064</v>
                </pt>
                <pt idx="55">
                  <v>86.29373655913979</v>
                </pt>
                <pt idx="56">
                  <v>85.48412500000001</v>
                </pt>
                <pt idx="57">
                  <v>56.92581426648721</v>
                </pt>
                <pt idx="58">
                  <v>81.48604166666667</v>
                </pt>
                <pt idx="59">
                  <v>70.87973118279569</v>
                </pt>
                <pt idx="60">
                  <v>78.21481182795699</v>
                </pt>
                <pt idx="61">
                  <v>54.72224137931035</v>
                </pt>
                <pt idx="62">
                  <v>61.0408636977058</v>
                </pt>
                <pt idx="63">
                  <v>60.47670833333333</v>
                </pt>
                <pt idx="64">
                  <v>58.12298387096774</v>
                </pt>
                <pt idx="65">
                  <v>66.79098611111111</v>
                </pt>
                <pt idx="66">
                  <v>62.84170698924731</v>
                </pt>
                <pt idx="67">
                  <v>72.61426075268818</v>
                </pt>
                <pt idx="68">
                  <v>70.41183333333333</v>
                </pt>
                <pt idx="69">
                  <v>76.32612382234186</v>
                </pt>
                <pt idx="70">
                  <v>95.28269444444443</v>
                </pt>
                <pt idx="71">
                  <v>92.72815860215054</v>
                </pt>
                <pt idx="72">
                  <v>100.1237365591398</v>
                </pt>
                <pt idx="73">
                  <v>117.9355505952381</v>
                </pt>
                <pt idx="74">
                  <v>82.84686531986532</v>
                </pt>
                <pt idx="75">
                  <v>75.80665277777778</v>
                </pt>
                <pt idx="76">
                  <v>63.08255376344086</v>
                </pt>
                <pt idx="77">
                  <v>56.44824999999999</v>
                </pt>
                <pt idx="78">
                  <v>79.95969086021506</v>
                </pt>
                <pt idx="79">
                  <v>75.31549731182795</v>
                </pt>
                <pt idx="80">
                  <v>83.28893055555555</v>
                </pt>
                <pt idx="81">
                  <v>82.36807537012113</v>
                </pt>
                <pt idx="82">
                  <v>93.69557291666666</v>
                </pt>
                <pt idx="83">
                  <v>82.08152889784947</v>
                </pt>
              </numCache>
            </numRef>
          </val>
          <smooth val="1"/>
        </ser>
        <dLbls>
          <showLegendKey val="0"/>
          <showVal val="0"/>
          <showCatName val="0"/>
          <showSerName val="0"/>
          <showPercent val="0"/>
          <showBubbleSize val="0"/>
        </dLbls>
        <smooth val="0"/>
        <axId val="10"/>
        <axId val="100"/>
      </lineChart>
      <catAx>
        <axId val="10"/>
        <scaling>
          <orientation val="minMax"/>
        </scaling>
        <delete val="1"/>
        <axPos val="b"/>
        <title>
          <tx>
            <rich>
              <a:bodyPr xmlns:a="http://schemas.openxmlformats.org/drawingml/2006/main"/>
              <a:lstStyle xmlns:a="http://schemas.openxmlformats.org/drawingml/2006/main"/>
              <a:p xmlns:a="http://schemas.openxmlformats.org/drawingml/2006/main">
                <a:pPr>
                  <a:defRPr/>
                </a:pPr>
                <a:r>
                  <a:rPr lang="en-GB"/>
                  <a:t>Month</a:t>
                </a:r>
              </a:p>
            </rich>
          </tx>
          <overlay val="1"/>
        </title>
        <majorTickMark val="none"/>
        <minorTickMark val="none"/>
        <tickLblPos val="nextTo"/>
        <crossAx val="100"/>
        <crosses val="autoZero"/>
        <auto val="1"/>
        <lblAlgn val="ctr"/>
        <lblOffset val="100"/>
        <noMultiLvlLbl val="1"/>
      </catAx>
      <valAx>
        <axId val="100"/>
        <scaling>
          <orientation val="minMax"/>
        </scaling>
        <delete val="1"/>
        <axPos val="l"/>
        <majorGridlines/>
        <title>
          <tx>
            <rich>
              <a:bodyPr xmlns:a="http://schemas.openxmlformats.org/drawingml/2006/main"/>
              <a:lstStyle xmlns:a="http://schemas.openxmlformats.org/drawingml/2006/main"/>
              <a:p xmlns:a="http://schemas.openxmlformats.org/drawingml/2006/main">
                <a:pPr>
                  <a:defRPr/>
                </a:pPr>
                <a:r>
                  <a:rPr lang="en-GB"/>
                  <a:t>EUR/MWh</a:t>
                </a:r>
              </a:p>
            </rich>
          </tx>
          <overlay val="1"/>
        </title>
        <numFmt formatCode="General" sourceLinked="1"/>
        <majorTickMark val="none"/>
        <minorTickMark val="none"/>
        <tickLblPos val="nextTo"/>
        <crossAx val="10"/>
        <crosses val="autoZero"/>
        <crossBetween val="between"/>
      </valAx>
    </plotArea>
    <legend>
      <legendPos val="r"/>
      <overlay val="1"/>
    </legend>
    <plotVisOnly val="1"/>
    <dispBlanksAs val="gap"/>
  </chart>
</chartSpace>
</file>

<file path=xl/charts/chart4.xml><?xml version="1.0" encoding="utf-8"?>
<chartSpace xmlns="http://schemas.openxmlformats.org/drawingml/2006/chart">
  <chart>
    <title>
      <tx>
        <rich>
          <a:bodyPr xmlns:a="http://schemas.openxmlformats.org/drawingml/2006/main"/>
          <a:lstStyle xmlns:a="http://schemas.openxmlformats.org/drawingml/2006/main"/>
          <a:p xmlns:a="http://schemas.openxmlformats.org/drawingml/2006/main">
            <a:pPr>
              <a:defRPr/>
            </a:pPr>
            <a:r>
              <a:rPr lang="en-GB"/>
              <a:t>DK1 De-seasonalised Price Series (Primary)</a:t>
            </a:r>
          </a:p>
        </rich>
      </tx>
      <overlay val="1"/>
    </title>
    <plotArea>
      <layout/>
      <lineChart>
        <grouping val="standard"/>
        <varyColors val="1"/>
        <ser>
          <idx val="0"/>
          <order val="0"/>
          <tx>
            <strRef>
              <f>'Electricity Price Data'!$E$1</f>
              <strCache>
                <ptCount val="1"/>
                <pt idx="0">
                  <v>DK1 De-seasonalised Price (EUR/MWh)</v>
                </pt>
              </strCache>
            </strRef>
          </tx>
          <spPr>
            <a:ln xmlns:a="http://schemas.openxmlformats.org/drawingml/2006/main">
              <a:solidFill>
                <a:srgbClr val="2E75B6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val>
            <numRef>
              <f>'Electricity Price Data'!$E$2:$E$85</f>
              <numCache>
                <formatCode>General</formatCode>
                <ptCount val="84"/>
                <pt idx="0">
                  <v>-25.23473886328725</v>
                </pt>
                <pt idx="1">
                  <v>-30.1002282723434</v>
                </pt>
                <pt idx="2">
                  <v>-48.89935882635881</v>
                </pt>
                <pt idx="3">
                  <v>-31.76058531746028</v>
                </pt>
                <pt idx="4">
                  <v>-30.62264976958527</v>
                </pt>
                <pt idx="5">
                  <v>-47.45487301587301</v>
                </pt>
                <pt idx="6">
                  <v>-50.9138133640553</v>
                </pt>
                <pt idx="7">
                  <v>-82.75412634408602</v>
                </pt>
                <pt idx="8">
                  <v>-74.75671428571428</v>
                </pt>
                <pt idx="9">
                  <v>-37.87848634877907</v>
                </pt>
                <pt idx="10">
                  <v>-47.38835962301585</v>
                </pt>
                <pt idx="11">
                  <v>-73.29023329493089</v>
                </pt>
                <pt idx="12">
                  <v>-50.53584101382489</v>
                </pt>
                <pt idx="13">
                  <v>-55.32911476659628</v>
                </pt>
                <pt idx="14">
                  <v>-64.20589054025895</v>
                </pt>
                <pt idx="15">
                  <v>-56.29522420634917</v>
                </pt>
                <pt idx="16">
                  <v>-51.99817396313366</v>
                </pt>
                <pt idx="17">
                  <v>-54.05781746031745</v>
                </pt>
                <pt idx="18">
                  <v>-65.11155529953916</v>
                </pt>
                <pt idx="19">
                  <v>-86.08053763440859</v>
                </pt>
                <pt idx="20">
                  <v>-71.60053373015873</v>
                </pt>
                <pt idx="21">
                  <v>-50.41113776196884</v>
                </pt>
                <pt idx="22">
                  <v>-65.37884573412697</v>
                </pt>
                <pt idx="23">
                  <v>-72.82108006912443</v>
                </pt>
                <pt idx="24">
                  <v>-25.32527649769585</v>
                </pt>
                <pt idx="25">
                  <v>-25.65268362948625</v>
                </pt>
                <pt idx="26">
                  <v>-37.37817124201334</v>
                </pt>
                <pt idx="27">
                  <v>-22.86189087301584</v>
                </pt>
                <pt idx="28">
                  <v>-13.74459869431645</v>
                </pt>
                <pt idx="29">
                  <v>-6.614275793650791</v>
                </pt>
                <pt idx="30">
                  <v>-9.731877880184328</v>
                </pt>
                <pt idx="31">
                  <v>-37.83106182795699</v>
                </pt>
                <pt idx="32">
                  <v>15.22818849206351</v>
                </pt>
                <pt idx="33">
                  <v>40.81392280330708</v>
                </pt>
                <pt idx="34">
                  <v>52.66415426587304</v>
                </pt>
                <pt idx="35">
                  <v>82.01711885560675</v>
                </pt>
                <pt idx="36">
                  <v>42.46426651305684</v>
                </pt>
                <pt idx="37">
                  <v>40.20655744194231</v>
                </pt>
                <pt idx="38">
                  <v>153.3172268686479</v>
                </pt>
                <pt idx="39">
                  <v>92.80847023809527</v>
                </pt>
                <pt idx="40">
                  <v>103.8058717357911</v>
                </pt>
                <pt idx="41">
                  <v>134.0961547619048</v>
                </pt>
                <pt idx="42">
                  <v>185.3070468509984</v>
                </pt>
                <pt idx="43">
                  <v>336.1305241935484</v>
                </pt>
                <pt idx="44">
                  <v>232.6840773809524</v>
                </pt>
                <pt idx="45">
                  <v>60.90583397423573</v>
                </pt>
                <pt idx="46">
                  <v>50.57077926587303</v>
                </pt>
                <pt idx="47">
                  <v>142.3334091781874</v>
                </pt>
                <pt idx="48">
                  <v>37.0114573732719</v>
                </pt>
                <pt idx="49">
                  <v>45.22194434670422</v>
                </pt>
                <pt idx="50">
                  <v>16.60629569455887</v>
                </pt>
                <pt idx="51">
                  <v>25.44197023809528</v>
                </pt>
                <pt idx="52">
                  <v>5.913613671274945</v>
                </pt>
                <pt idx="53">
                  <v>12.16133531746033</v>
                </pt>
                <pt idx="54">
                  <v>-24.91982142857142</v>
                </pt>
                <pt idx="55">
                  <v>-34.65271505376343</v>
                </pt>
                <pt idx="56">
                  <v>-25.39613095238094</v>
                </pt>
                <pt idx="57">
                  <v>-16.12012834070369</v>
                </pt>
                <pt idx="58">
                  <v>-0.9788596230158504</v>
                </pt>
                <pt idx="59">
                  <v>-37.84969566052227</v>
                </pt>
                <pt idx="60">
                  <v>-0.8154512288786435</v>
                </pt>
                <pt idx="61">
                  <v>-14.28024982406754</v>
                </pt>
                <pt idx="62">
                  <v>-21.28132913675017</v>
                </pt>
                <pt idx="63">
                  <v>-11.66421031746028</v>
                </pt>
                <pt idx="64">
                  <v>-9.535311059907855</v>
                </pt>
                <pt idx="65">
                  <v>-16.58105357142856</v>
                </pt>
                <pt idx="66">
                  <v>-27.70077572964669</v>
                </pt>
                <pt idx="67">
                  <v>-47.66602150537634</v>
                </pt>
                <pt idx="68">
                  <v>-38.42199206349206</v>
                </pt>
                <pt idx="69">
                  <v>0.4940843107094963</v>
                </pt>
                <pt idx="70">
                  <v>6.771168154761924</v>
                </pt>
                <pt idx="71">
                  <v>-15.49477630568356</v>
                </pt>
                <pt idx="72">
                  <v>22.4355837173579</v>
                </pt>
                <pt idx="73">
                  <v>39.93377470384708</v>
                </pt>
                <pt idx="74">
                  <v>1.841227182174563</v>
                </pt>
                <pt idx="75">
                  <v>4.331470238095278</v>
                </pt>
                <pt idx="76">
                  <v>-3.818751920122907</v>
                </pt>
                <pt idx="77">
                  <v>-21.54947023809523</v>
                </pt>
                <pt idx="78">
                  <v>-6.929203149001538</v>
                </pt>
                <pt idx="79">
                  <v>-47.14606182795697</v>
                </pt>
                <pt idx="80">
                  <v>-37.73689484126983</v>
                </pt>
                <pt idx="81">
                  <v>2.1959113631994</v>
                </pt>
                <pt idx="82">
                  <v>3.739963293650817</v>
                </pt>
                <pt idx="83">
                  <v>-24.89474270353303</v>
                </pt>
              </numCache>
            </numRef>
          </val>
          <smooth val="1"/>
        </ser>
        <dLbls>
          <showLegendKey val="0"/>
          <showVal val="0"/>
          <showCatName val="0"/>
          <showSerName val="0"/>
          <showPercent val="0"/>
          <showBubbleSize val="0"/>
        </dLbls>
        <smooth val="0"/>
        <axId val="10"/>
        <axId val="100"/>
      </lineChart>
      <catAx>
        <axId val="10"/>
        <scaling>
          <orientation val="minMax"/>
        </scaling>
        <delete val="1"/>
        <axPos val="b"/>
        <title>
          <tx>
            <rich>
              <a:bodyPr xmlns:a="http://schemas.openxmlformats.org/drawingml/2006/main"/>
              <a:lstStyle xmlns:a="http://schemas.openxmlformats.org/drawingml/2006/main"/>
              <a:p xmlns:a="http://schemas.openxmlformats.org/drawingml/2006/main">
                <a:pPr>
                  <a:defRPr/>
                </a:pPr>
                <a:r>
                  <a:rPr lang="en-GB"/>
                  <a:t>Month</a:t>
                </a:r>
              </a:p>
            </rich>
          </tx>
          <overlay val="1"/>
        </title>
        <majorTickMark val="none"/>
        <minorTickMark val="none"/>
        <tickLblPos val="nextTo"/>
        <crossAx val="100"/>
        <crosses val="autoZero"/>
        <auto val="1"/>
        <lblAlgn val="ctr"/>
        <lblOffset val="100"/>
        <noMultiLvlLbl val="1"/>
      </catAx>
      <valAx>
        <axId val="100"/>
        <scaling>
          <orientation val="minMax"/>
        </scaling>
        <delete val="1"/>
        <axPos val="l"/>
        <majorGridlines/>
        <title>
          <tx>
            <rich>
              <a:bodyPr xmlns:a="http://schemas.openxmlformats.org/drawingml/2006/main"/>
              <a:lstStyle xmlns:a="http://schemas.openxmlformats.org/drawingml/2006/main"/>
              <a:p xmlns:a="http://schemas.openxmlformats.org/drawingml/2006/main">
                <a:pPr>
                  <a:defRPr/>
                </a:pPr>
                <a:r>
                  <a:rPr lang="en-GB"/>
                  <a:t>EUR/MWh</a:t>
                </a:r>
              </a:p>
            </rich>
          </tx>
          <overlay val="1"/>
        </title>
        <numFmt formatCode="General" sourceLinked="1"/>
        <majorTickMark val="none"/>
        <minorTickMark val="none"/>
        <tickLblPos val="nextTo"/>
        <crossAx val="10"/>
        <crosses val="autoZero"/>
        <crossBetween val="between"/>
      </valAx>
    </plotArea>
    <legend>
      <legendPos val="r"/>
      <overlay val="0"/>
      <txPr>
        <a:bodyPr xmlns:a="http://schemas.openxmlformats.org/drawingml/2006/main"/>
        <a:lstStyle xmlns:a="http://schemas.openxmlformats.org/drawingml/2006/main"/>
        <a:p xmlns:a="http://schemas.openxmlformats.org/drawingml/2006/main">
          <a:pPr rtl="0">
            <a:defRPr/>
          </a:pPr>
          <a:r>
            <a:t>None</a:t>
          </a:r>
          <a:endParaRPr lang="en-DK"/>
        </a:p>
      </txPr>
    </legend>
    <plotVisOnly val="1"/>
    <dispBlanksAs val="gap"/>
  </chart>
</chartSpace>
</file>

<file path=xl/charts/chart5.xml><?xml version="1.0" encoding="utf-8"?>
<chartSpace xmlns="http://schemas.openxmlformats.org/drawingml/2006/chart">
  <chart>
    <title>
      <tx>
        <rich>
          <a:bodyPr xmlns:a="http://schemas.openxmlformats.org/drawingml/2006/main"/>
          <a:lstStyle xmlns:a="http://schemas.openxmlformats.org/drawingml/2006/main"/>
          <a:p xmlns:a="http://schemas.openxmlformats.org/drawingml/2006/main">
            <a:pPr>
              <a:defRPr/>
            </a:pPr>
            <a:r>
              <a:rPr lang="en-GB"/>
              <a:t>Monthly Spot Prices - DK1 (Primary) and DK2 (Robustness)</a:t>
            </a:r>
          </a:p>
        </rich>
      </tx>
      <overlay val="1"/>
    </title>
    <plotArea>
      <layout/>
      <lineChart>
        <grouping val="standard"/>
        <varyColors val="1"/>
        <ser>
          <idx val="0"/>
          <order val="0"/>
          <tx>
            <strRef>
              <f>'Electricity Price Data'!$B$1</f>
              <strCache>
                <ptCount val="1"/>
                <pt idx="0">
                  <v>DK1 Spot Price (EUR/MWh) — Primary</v>
                </pt>
              </strCache>
            </strRef>
          </tx>
          <spPr>
            <a:ln xmlns:a="http://schemas.openxmlformats.org/drawingml/2006/main">
              <a:solidFill>
                <a:srgbClr val="2E75B6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val>
            <numRef>
              <f>'Electricity Price Data'!$B$2:$B$85</f>
              <numCache>
                <formatCode>General</formatCode>
                <ptCount val="84"/>
                <pt idx="0">
                  <v>50.29564516129032</v>
                </pt>
                <pt idx="1">
                  <v>42.81395833333333</v>
                </pt>
                <pt idx="2">
                  <v>33.60825910931175</v>
                </pt>
                <pt idx="3">
                  <v>39.06841666666666</v>
                </pt>
                <pt idx="4">
                  <v>37.42951612903226</v>
                </pt>
                <pt idx="5">
                  <v>32.87922222222223</v>
                </pt>
                <pt idx="6">
                  <v>38.81731182795698</v>
                </pt>
                <pt idx="7">
                  <v>37.86569892473118</v>
                </pt>
                <pt idx="8">
                  <v>35.37886111111111</v>
                </pt>
                <pt idx="9">
                  <v>38.34740242261103</v>
                </pt>
                <pt idx="10">
                  <v>41.74506944444445</v>
                </pt>
                <pt idx="11">
                  <v>34.04197580645161</v>
                </pt>
                <pt idx="12">
                  <v>24.99454301075269</v>
                </pt>
                <pt idx="13">
                  <v>17.58507183908046</v>
                </pt>
                <pt idx="14">
                  <v>18.30172739541161</v>
                </pt>
                <pt idx="15">
                  <v>14.53377777777778</v>
                </pt>
                <pt idx="16">
                  <v>16.05399193548387</v>
                </pt>
                <pt idx="17">
                  <v>26.27627777777777</v>
                </pt>
                <pt idx="18">
                  <v>24.61956989247312</v>
                </pt>
                <pt idx="19">
                  <v>34.5392876344086</v>
                </pt>
                <pt idx="20">
                  <v>38.53504166666666</v>
                </pt>
                <pt idx="21">
                  <v>25.81475100942126</v>
                </pt>
                <pt idx="22">
                  <v>23.75458333333333</v>
                </pt>
                <pt idx="23">
                  <v>34.51112903225806</v>
                </pt>
                <pt idx="24">
                  <v>50.20510752688172</v>
                </pt>
                <pt idx="25">
                  <v>47.26150297619048</v>
                </pt>
                <pt idx="26">
                  <v>45.12944669365721</v>
                </pt>
                <pt idx="27">
                  <v>47.96711111111111</v>
                </pt>
                <pt idx="28">
                  <v>54.30756720430108</v>
                </pt>
                <pt idx="29">
                  <v>73.71981944444444</v>
                </pt>
                <pt idx="30">
                  <v>79.99924731182796</v>
                </pt>
                <pt idx="31">
                  <v>82.78876344086021</v>
                </pt>
                <pt idx="32">
                  <v>125.3637638888889</v>
                </pt>
                <pt idx="33">
                  <v>117.0398115746972</v>
                </pt>
                <pt idx="34">
                  <v>141.7975833333333</v>
                </pt>
                <pt idx="35">
                  <v>189.3493279569892</v>
                </pt>
                <pt idx="36">
                  <v>117.9946505376344</v>
                </pt>
                <pt idx="37">
                  <v>113.120744047619</v>
                </pt>
                <pt idx="38">
                  <v>235.8248448043185</v>
                </pt>
                <pt idx="39">
                  <v>163.6374722222222</v>
                </pt>
                <pt idx="40">
                  <v>171.8580376344086</v>
                </pt>
                <pt idx="41">
                  <v>214.43025</v>
                </pt>
                <pt idx="42">
                  <v>275.0381720430107</v>
                </pt>
                <pt idx="43">
                  <v>456.7503494623656</v>
                </pt>
                <pt idx="44">
                  <v>342.8196527777778</v>
                </pt>
                <pt idx="45">
                  <v>137.1317227456258</v>
                </pt>
                <pt idx="46">
                  <v>139.7042083333333</v>
                </pt>
                <pt idx="47">
                  <v>249.6656182795699</v>
                </pt>
                <pt idx="48">
                  <v>112.5418413978495</v>
                </pt>
                <pt idx="49">
                  <v>118.136130952381</v>
                </pt>
                <pt idx="50">
                  <v>99.11391363022942</v>
                </pt>
                <pt idx="51">
                  <v>96.27097222222223</v>
                </pt>
                <pt idx="52">
                  <v>73.96577956989248</v>
                </pt>
                <pt idx="53">
                  <v>92.49543055555556</v>
                </pt>
                <pt idx="54">
                  <v>64.81130376344086</v>
                </pt>
                <pt idx="55">
                  <v>85.96711021505376</v>
                </pt>
                <pt idx="56">
                  <v>84.73944444444444</v>
                </pt>
                <pt idx="57">
                  <v>60.10576043068641</v>
                </pt>
                <pt idx="58">
                  <v>88.15456944444445</v>
                </pt>
                <pt idx="59">
                  <v>69.48251344086022</v>
                </pt>
                <pt idx="60">
                  <v>74.71493279569893</v>
                </pt>
                <pt idx="61">
                  <v>58.63393678160919</v>
                </pt>
                <pt idx="62">
                  <v>61.22628879892038</v>
                </pt>
                <pt idx="63">
                  <v>59.16479166666667</v>
                </pt>
                <pt idx="64">
                  <v>58.51685483870968</v>
                </pt>
                <pt idx="65">
                  <v>63.75304166666667</v>
                </pt>
                <pt idx="66">
                  <v>62.03034946236559</v>
                </pt>
                <pt idx="67">
                  <v>72.95380376344086</v>
                </pt>
                <pt idx="68">
                  <v>71.71358333333333</v>
                </pt>
                <pt idx="69">
                  <v>76.7199730820996</v>
                </pt>
                <pt idx="70">
                  <v>95.90459722222222</v>
                </pt>
                <pt idx="71">
                  <v>91.83743279569893</v>
                </pt>
                <pt idx="72">
                  <v>97.96596774193547</v>
                </pt>
                <pt idx="73">
                  <v>112.8479613095238</v>
                </pt>
                <pt idx="74">
                  <v>84.34884511784512</v>
                </pt>
                <pt idx="75">
                  <v>75.16047222222223</v>
                </pt>
                <pt idx="76">
                  <v>64.23341397849462</v>
                </pt>
                <pt idx="77">
                  <v>58.784625</v>
                </pt>
                <pt idx="78">
                  <v>82.80192204301075</v>
                </pt>
                <pt idx="79">
                  <v>73.47376344086022</v>
                </pt>
                <pt idx="80">
                  <v>72.39868055555556</v>
                </pt>
                <pt idx="81">
                  <v>78.4218001345895</v>
                </pt>
                <pt idx="82">
                  <v>92.87339236111112</v>
                </pt>
                <pt idx="83">
                  <v>82.43746639784946</v>
                </pt>
              </numCache>
            </numRef>
          </val>
          <smooth val="1"/>
        </ser>
        <ser>
          <idx val="1"/>
          <order val="1"/>
          <tx>
            <strRef>
              <f>'Electricity Price Data'!$C$1</f>
              <strCache>
                <ptCount val="1"/>
                <pt idx="0">
                  <v>DK2 Spot Price (EUR/MWh) — Robustness</v>
                </pt>
              </strCache>
            </strRef>
          </tx>
          <spPr>
            <a:ln xmlns:a="http://schemas.openxmlformats.org/drawingml/2006/main">
              <a:solidFill>
                <a:srgbClr val="9DC3E6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val>
            <numRef>
              <f>'Electricity Price Data'!$C$2:$C$85</f>
              <numCache>
                <formatCode>General</formatCode>
                <ptCount val="84"/>
                <pt idx="0">
                  <v>51.65502688172042</v>
                </pt>
                <pt idx="1">
                  <v>43.93294642857143</v>
                </pt>
                <pt idx="2">
                  <v>35.66735492577597</v>
                </pt>
                <pt idx="3">
                  <v>39.89209722222223</v>
                </pt>
                <pt idx="4">
                  <v>38.15139784946236</v>
                </pt>
                <pt idx="5">
                  <v>33.62223611111111</v>
                </pt>
                <pt idx="6">
                  <v>39.0001747311828</v>
                </pt>
                <pt idx="7">
                  <v>39.49317204301075</v>
                </pt>
                <pt idx="8">
                  <v>37.32134722222222</v>
                </pt>
                <pt idx="9">
                  <v>41.59935397039031</v>
                </pt>
                <pt idx="10">
                  <v>42.69644444444445</v>
                </pt>
                <pt idx="11">
                  <v>35.34711021505376</v>
                </pt>
                <pt idx="12">
                  <v>27.38524193548387</v>
                </pt>
                <pt idx="13">
                  <v>18.81699712643678</v>
                </pt>
                <pt idx="14">
                  <v>20.05249662618084</v>
                </pt>
                <pt idx="15">
                  <v>17.35486111111111</v>
                </pt>
                <pt idx="16">
                  <v>19.04407258064516</v>
                </pt>
                <pt idx="17">
                  <v>29.82329166666667</v>
                </pt>
                <pt idx="18">
                  <v>25.88668010752688</v>
                </pt>
                <pt idx="19">
                  <v>40.92381720430107</v>
                </pt>
                <pt idx="20">
                  <v>39.51423611111111</v>
                </pt>
                <pt idx="21">
                  <v>26.93351278600269</v>
                </pt>
                <pt idx="22">
                  <v>35.71134722222222</v>
                </pt>
                <pt idx="23">
                  <v>39.25715053763441</v>
                </pt>
                <pt idx="24">
                  <v>50.85895161290323</v>
                </pt>
                <pt idx="25">
                  <v>54.54806547619048</v>
                </pt>
                <pt idx="26">
                  <v>46.73221322537112</v>
                </pt>
                <pt idx="27">
                  <v>47.86295833333334</v>
                </pt>
                <pt idx="28">
                  <v>55.20880376344086</v>
                </pt>
                <pt idx="29">
                  <v>73.58690277777778</v>
                </pt>
                <pt idx="30">
                  <v>81.44088709677419</v>
                </pt>
                <pt idx="31">
                  <v>84.36354838709678</v>
                </pt>
                <pt idx="32">
                  <v>123.9021111111111</v>
                </pt>
                <pt idx="33">
                  <v>106.9322745625841</v>
                </pt>
                <pt idx="34">
                  <v>136.3800555555555</v>
                </pt>
                <pt idx="35">
                  <v>191.0686155913978</v>
                </pt>
                <pt idx="36">
                  <v>111.6220967741935</v>
                </pt>
                <pt idx="37">
                  <v>100.2914136904762</v>
                </pt>
                <pt idx="38">
                  <v>227.9203643724696</v>
                </pt>
                <pt idx="39">
                  <v>152.8328055555556</v>
                </pt>
                <pt idx="40">
                  <v>162.6584139784946</v>
                </pt>
                <pt idx="41">
                  <v>213.2331388888889</v>
                </pt>
                <pt idx="42">
                  <v>233.4777419354839</v>
                </pt>
                <pt idx="43">
                  <v>449.7688306451613</v>
                </pt>
                <pt idx="44">
                  <v>328.8001527777778</v>
                </pt>
                <pt idx="45">
                  <v>136.8978331090175</v>
                </pt>
                <pt idx="46">
                  <v>145.0578055555555</v>
                </pt>
                <pt idx="47">
                  <v>248.8820698924731</v>
                </pt>
                <pt idx="48">
                  <v>99.76288978494622</v>
                </pt>
                <pt idx="49">
                  <v>100.6489285714286</v>
                </pt>
                <pt idx="50">
                  <v>89.79561403508772</v>
                </pt>
                <pt idx="51">
                  <v>83.65112499999999</v>
                </pt>
                <pt idx="52">
                  <v>66.15174731182796</v>
                </pt>
                <pt idx="53">
                  <v>91.42315277777777</v>
                </pt>
                <pt idx="54">
                  <v>65.24004032258064</v>
                </pt>
                <pt idx="55">
                  <v>86.29373655913979</v>
                </pt>
                <pt idx="56">
                  <v>85.48412500000001</v>
                </pt>
                <pt idx="57">
                  <v>56.92581426648721</v>
                </pt>
                <pt idx="58">
                  <v>81.48604166666667</v>
                </pt>
                <pt idx="59">
                  <v>70.87973118279569</v>
                </pt>
                <pt idx="60">
                  <v>78.21481182795699</v>
                </pt>
                <pt idx="61">
                  <v>54.72224137931035</v>
                </pt>
                <pt idx="62">
                  <v>61.0408636977058</v>
                </pt>
                <pt idx="63">
                  <v>60.47670833333333</v>
                </pt>
                <pt idx="64">
                  <v>58.12298387096774</v>
                </pt>
                <pt idx="65">
                  <v>66.79098611111111</v>
                </pt>
                <pt idx="66">
                  <v>62.84170698924731</v>
                </pt>
                <pt idx="67">
                  <v>72.61426075268818</v>
                </pt>
                <pt idx="68">
                  <v>70.41183333333333</v>
                </pt>
                <pt idx="69">
                  <v>76.32612382234186</v>
                </pt>
                <pt idx="70">
                  <v>95.28269444444443</v>
                </pt>
                <pt idx="71">
                  <v>92.72815860215054</v>
                </pt>
                <pt idx="72">
                  <v>100.1237365591398</v>
                </pt>
                <pt idx="73">
                  <v>117.9355505952381</v>
                </pt>
                <pt idx="74">
                  <v>82.84686531986532</v>
                </pt>
                <pt idx="75">
                  <v>75.80665277777778</v>
                </pt>
                <pt idx="76">
                  <v>63.08255376344086</v>
                </pt>
                <pt idx="77">
                  <v>56.44824999999999</v>
                </pt>
                <pt idx="78">
                  <v>79.95969086021506</v>
                </pt>
                <pt idx="79">
                  <v>75.31549731182795</v>
                </pt>
                <pt idx="80">
                  <v>83.28893055555555</v>
                </pt>
                <pt idx="81">
                  <v>82.36807537012113</v>
                </pt>
                <pt idx="82">
                  <v>93.69557291666666</v>
                </pt>
                <pt idx="83">
                  <v>82.08152889784947</v>
                </pt>
              </numCache>
            </numRef>
          </val>
          <smooth val="1"/>
        </ser>
        <dLbls>
          <showLegendKey val="0"/>
          <showVal val="0"/>
          <showCatName val="0"/>
          <showSerName val="0"/>
          <showPercent val="0"/>
          <showBubbleSize val="0"/>
        </dLbls>
        <smooth val="0"/>
        <axId val="10"/>
        <axId val="100"/>
      </lineChart>
      <catAx>
        <axId val="10"/>
        <scaling>
          <orientation val="minMax"/>
        </scaling>
        <delete val="1"/>
        <axPos val="b"/>
        <title>
          <tx>
            <rich>
              <a:bodyPr xmlns:a="http://schemas.openxmlformats.org/drawingml/2006/main"/>
              <a:lstStyle xmlns:a="http://schemas.openxmlformats.org/drawingml/2006/main"/>
              <a:p xmlns:a="http://schemas.openxmlformats.org/drawingml/2006/main">
                <a:pPr>
                  <a:defRPr/>
                </a:pPr>
                <a:r>
                  <a:rPr lang="en-GB"/>
                  <a:t>Month</a:t>
                </a:r>
              </a:p>
            </rich>
          </tx>
          <overlay val="1"/>
        </title>
        <majorTickMark val="none"/>
        <minorTickMark val="none"/>
        <tickLblPos val="nextTo"/>
        <crossAx val="100"/>
        <crosses val="autoZero"/>
        <auto val="1"/>
        <lblAlgn val="ctr"/>
        <lblOffset val="100"/>
        <noMultiLvlLbl val="1"/>
      </catAx>
      <valAx>
        <axId val="100"/>
        <scaling>
          <orientation val="minMax"/>
        </scaling>
        <delete val="1"/>
        <axPos val="l"/>
        <majorGridlines/>
        <title>
          <tx>
            <rich>
              <a:bodyPr xmlns:a="http://schemas.openxmlformats.org/drawingml/2006/main"/>
              <a:lstStyle xmlns:a="http://schemas.openxmlformats.org/drawingml/2006/main"/>
              <a:p xmlns:a="http://schemas.openxmlformats.org/drawingml/2006/main">
                <a:pPr>
                  <a:defRPr/>
                </a:pPr>
                <a:r>
                  <a:rPr lang="en-GB"/>
                  <a:t>EUR/MWh</a:t>
                </a:r>
              </a:p>
            </rich>
          </tx>
          <overlay val="1"/>
        </title>
        <numFmt formatCode="General" sourceLinked="1"/>
        <majorTickMark val="none"/>
        <minorTickMark val="none"/>
        <tickLblPos val="nextTo"/>
        <crossAx val="10"/>
        <crosses val="autoZero"/>
        <crossBetween val="between"/>
      </valAx>
    </plotArea>
    <legend>
      <legendPos val="r"/>
      <overlay val="1"/>
    </legend>
    <plotVisOnly val="1"/>
    <dispBlanksAs val="gap"/>
  </chart>
</chartSpace>
</file>

<file path=xl/charts/chart6.xml><?xml version="1.0" encoding="utf-8"?>
<chartSpace xmlns="http://schemas.openxmlformats.org/drawingml/2006/chart">
  <chart>
    <title>
      <tx>
        <rich>
          <a:bodyPr xmlns:a="http://schemas.openxmlformats.org/drawingml/2006/main"/>
          <a:lstStyle xmlns:a="http://schemas.openxmlformats.org/drawingml/2006/main"/>
          <a:p xmlns:a="http://schemas.openxmlformats.org/drawingml/2006/main">
            <a:pPr>
              <a:defRPr/>
            </a:pPr>
            <a:r>
              <a:rPr lang="en-GB"/>
              <a:t>DK1 De-seasonalised Price Series (Primary)</a:t>
            </a:r>
          </a:p>
        </rich>
      </tx>
      <overlay val="1"/>
    </title>
    <plotArea>
      <layout/>
      <lineChart>
        <grouping val="standard"/>
        <varyColors val="1"/>
        <ser>
          <idx val="0"/>
          <order val="0"/>
          <tx>
            <strRef>
              <f>'Electricity Price Data'!$E$1</f>
              <strCache>
                <ptCount val="1"/>
                <pt idx="0">
                  <v>DK1 De-seasonalised Price (EUR/MWh)</v>
                </pt>
              </strCache>
            </strRef>
          </tx>
          <spPr>
            <a:ln xmlns:a="http://schemas.openxmlformats.org/drawingml/2006/main">
              <a:solidFill>
                <a:srgbClr val="2E75B6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val>
            <numRef>
              <f>'Electricity Price Data'!$E$2:$E$85</f>
              <numCache>
                <formatCode>General</formatCode>
                <ptCount val="84"/>
                <pt idx="0">
                  <v>-25.23473886328725</v>
                </pt>
                <pt idx="1">
                  <v>-30.1002282723434</v>
                </pt>
                <pt idx="2">
                  <v>-48.89935882635881</v>
                </pt>
                <pt idx="3">
                  <v>-31.76058531746028</v>
                </pt>
                <pt idx="4">
                  <v>-30.62264976958527</v>
                </pt>
                <pt idx="5">
                  <v>-47.45487301587301</v>
                </pt>
                <pt idx="6">
                  <v>-50.9138133640553</v>
                </pt>
                <pt idx="7">
                  <v>-82.75412634408602</v>
                </pt>
                <pt idx="8">
                  <v>-74.75671428571428</v>
                </pt>
                <pt idx="9">
                  <v>-37.87848634877907</v>
                </pt>
                <pt idx="10">
                  <v>-47.38835962301585</v>
                </pt>
                <pt idx="11">
                  <v>-73.29023329493089</v>
                </pt>
                <pt idx="12">
                  <v>-50.53584101382489</v>
                </pt>
                <pt idx="13">
                  <v>-55.32911476659628</v>
                </pt>
                <pt idx="14">
                  <v>-64.20589054025895</v>
                </pt>
                <pt idx="15">
                  <v>-56.29522420634917</v>
                </pt>
                <pt idx="16">
                  <v>-51.99817396313366</v>
                </pt>
                <pt idx="17">
                  <v>-54.05781746031745</v>
                </pt>
                <pt idx="18">
                  <v>-65.11155529953916</v>
                </pt>
                <pt idx="19">
                  <v>-86.08053763440859</v>
                </pt>
                <pt idx="20">
                  <v>-71.60053373015873</v>
                </pt>
                <pt idx="21">
                  <v>-50.41113776196884</v>
                </pt>
                <pt idx="22">
                  <v>-65.37884573412697</v>
                </pt>
                <pt idx="23">
                  <v>-72.82108006912443</v>
                </pt>
                <pt idx="24">
                  <v>-25.32527649769585</v>
                </pt>
                <pt idx="25">
                  <v>-25.65268362948625</v>
                </pt>
                <pt idx="26">
                  <v>-37.37817124201334</v>
                </pt>
                <pt idx="27">
                  <v>-22.86189087301584</v>
                </pt>
                <pt idx="28">
                  <v>-13.74459869431645</v>
                </pt>
                <pt idx="29">
                  <v>-6.614275793650791</v>
                </pt>
                <pt idx="30">
                  <v>-9.731877880184328</v>
                </pt>
                <pt idx="31">
                  <v>-37.83106182795699</v>
                </pt>
                <pt idx="32">
                  <v>15.22818849206351</v>
                </pt>
                <pt idx="33">
                  <v>40.81392280330708</v>
                </pt>
                <pt idx="34">
                  <v>52.66415426587304</v>
                </pt>
                <pt idx="35">
                  <v>82.01711885560675</v>
                </pt>
                <pt idx="36">
                  <v>42.46426651305684</v>
                </pt>
                <pt idx="37">
                  <v>40.20655744194231</v>
                </pt>
                <pt idx="38">
                  <v>153.3172268686479</v>
                </pt>
                <pt idx="39">
                  <v>92.80847023809527</v>
                </pt>
                <pt idx="40">
                  <v>103.8058717357911</v>
                </pt>
                <pt idx="41">
                  <v>134.0961547619048</v>
                </pt>
                <pt idx="42">
                  <v>185.3070468509984</v>
                </pt>
                <pt idx="43">
                  <v>336.1305241935484</v>
                </pt>
                <pt idx="44">
                  <v>232.6840773809524</v>
                </pt>
                <pt idx="45">
                  <v>60.90583397423573</v>
                </pt>
                <pt idx="46">
                  <v>50.57077926587303</v>
                </pt>
                <pt idx="47">
                  <v>142.3334091781874</v>
                </pt>
                <pt idx="48">
                  <v>37.0114573732719</v>
                </pt>
                <pt idx="49">
                  <v>45.22194434670422</v>
                </pt>
                <pt idx="50">
                  <v>16.60629569455887</v>
                </pt>
                <pt idx="51">
                  <v>25.44197023809528</v>
                </pt>
                <pt idx="52">
                  <v>5.913613671274945</v>
                </pt>
                <pt idx="53">
                  <v>12.16133531746033</v>
                </pt>
                <pt idx="54">
                  <v>-24.91982142857142</v>
                </pt>
                <pt idx="55">
                  <v>-34.65271505376343</v>
                </pt>
                <pt idx="56">
                  <v>-25.39613095238094</v>
                </pt>
                <pt idx="57">
                  <v>-16.12012834070369</v>
                </pt>
                <pt idx="58">
                  <v>-0.9788596230158504</v>
                </pt>
                <pt idx="59">
                  <v>-37.84969566052227</v>
                </pt>
                <pt idx="60">
                  <v>-0.8154512288786435</v>
                </pt>
                <pt idx="61">
                  <v>-14.28024982406754</v>
                </pt>
                <pt idx="62">
                  <v>-21.28132913675017</v>
                </pt>
                <pt idx="63">
                  <v>-11.66421031746028</v>
                </pt>
                <pt idx="64">
                  <v>-9.535311059907855</v>
                </pt>
                <pt idx="65">
                  <v>-16.58105357142856</v>
                </pt>
                <pt idx="66">
                  <v>-27.70077572964669</v>
                </pt>
                <pt idx="67">
                  <v>-47.66602150537634</v>
                </pt>
                <pt idx="68">
                  <v>-38.42199206349206</v>
                </pt>
                <pt idx="69">
                  <v>0.4940843107094963</v>
                </pt>
                <pt idx="70">
                  <v>6.771168154761924</v>
                </pt>
                <pt idx="71">
                  <v>-15.49477630568356</v>
                </pt>
                <pt idx="72">
                  <v>22.4355837173579</v>
                </pt>
                <pt idx="73">
                  <v>39.93377470384708</v>
                </pt>
                <pt idx="74">
                  <v>1.841227182174563</v>
                </pt>
                <pt idx="75">
                  <v>4.331470238095278</v>
                </pt>
                <pt idx="76">
                  <v>-3.818751920122907</v>
                </pt>
                <pt idx="77">
                  <v>-21.54947023809523</v>
                </pt>
                <pt idx="78">
                  <v>-6.929203149001538</v>
                </pt>
                <pt idx="79">
                  <v>-47.14606182795697</v>
                </pt>
                <pt idx="80">
                  <v>-37.73689484126983</v>
                </pt>
                <pt idx="81">
                  <v>2.1959113631994</v>
                </pt>
                <pt idx="82">
                  <v>3.739963293650817</v>
                </pt>
                <pt idx="83">
                  <v>-24.89474270353303</v>
                </pt>
              </numCache>
            </numRef>
          </val>
          <smooth val="1"/>
        </ser>
        <dLbls>
          <showLegendKey val="0"/>
          <showVal val="0"/>
          <showCatName val="0"/>
          <showSerName val="0"/>
          <showPercent val="0"/>
          <showBubbleSize val="0"/>
        </dLbls>
        <smooth val="0"/>
        <axId val="10"/>
        <axId val="100"/>
      </lineChart>
      <catAx>
        <axId val="10"/>
        <scaling>
          <orientation val="minMax"/>
        </scaling>
        <delete val="1"/>
        <axPos val="b"/>
        <title>
          <tx>
            <rich>
              <a:bodyPr xmlns:a="http://schemas.openxmlformats.org/drawingml/2006/main"/>
              <a:lstStyle xmlns:a="http://schemas.openxmlformats.org/drawingml/2006/main"/>
              <a:p xmlns:a="http://schemas.openxmlformats.org/drawingml/2006/main">
                <a:pPr>
                  <a:defRPr/>
                </a:pPr>
                <a:r>
                  <a:rPr lang="en-GB"/>
                  <a:t>Month</a:t>
                </a:r>
              </a:p>
            </rich>
          </tx>
          <overlay val="1"/>
        </title>
        <majorTickMark val="none"/>
        <minorTickMark val="none"/>
        <tickLblPos val="nextTo"/>
        <crossAx val="100"/>
        <crosses val="autoZero"/>
        <auto val="1"/>
        <lblAlgn val="ctr"/>
        <lblOffset val="100"/>
        <noMultiLvlLbl val="1"/>
      </catAx>
      <valAx>
        <axId val="100"/>
        <scaling>
          <orientation val="minMax"/>
        </scaling>
        <delete val="1"/>
        <axPos val="l"/>
        <majorGridlines/>
        <title>
          <tx>
            <rich>
              <a:bodyPr xmlns:a="http://schemas.openxmlformats.org/drawingml/2006/main"/>
              <a:lstStyle xmlns:a="http://schemas.openxmlformats.org/drawingml/2006/main"/>
              <a:p xmlns:a="http://schemas.openxmlformats.org/drawingml/2006/main">
                <a:pPr>
                  <a:defRPr/>
                </a:pPr>
                <a:r>
                  <a:rPr lang="en-GB"/>
                  <a:t>EUR/MWh</a:t>
                </a:r>
              </a:p>
            </rich>
          </tx>
          <overlay val="1"/>
        </title>
        <numFmt formatCode="General" sourceLinked="1"/>
        <majorTickMark val="none"/>
        <minorTickMark val="none"/>
        <tickLblPos val="nextTo"/>
        <crossAx val="10"/>
        <crosses val="autoZero"/>
        <crossBetween val="between"/>
      </valAx>
    </plotArea>
    <legend>
      <legendPos val="r"/>
      <overlay val="0"/>
      <txPr>
        <a:bodyPr xmlns:a="http://schemas.openxmlformats.org/drawingml/2006/main"/>
        <a:lstStyle xmlns:a="http://schemas.openxmlformats.org/drawingml/2006/main"/>
        <a:p xmlns:a="http://schemas.openxmlformats.org/drawingml/2006/main">
          <a:pPr rtl="0">
            <a:defRPr/>
          </a:pPr>
          <a:r>
            <a:t>None</a:t>
          </a:r>
          <a:endParaRPr lang="en-DK"/>
        </a:p>
      </txPr>
    </legend>
    <plotVisOnly val="1"/>
    <dispBlanksAs val="gap"/>
  </chart>
</chartSpace>
</file>

<file path=xl/charts/chart7.xml><?xml version="1.0" encoding="utf-8"?>
<chartSpace xmlns="http://schemas.openxmlformats.org/drawingml/2006/chart">
  <chart>
    <title>
      <tx>
        <rich>
          <a:bodyPr xmlns:a="http://schemas.openxmlformats.org/drawingml/2006/main"/>
          <a:lstStyle xmlns:a="http://schemas.openxmlformats.org/drawingml/2006/main"/>
          <a:p xmlns:a="http://schemas.openxmlformats.org/drawingml/2006/main">
            <a:pPr>
              <a:defRPr/>
            </a:pPr>
            <a:r>
              <a:rPr lang="en-GB"/>
              <a:t>Monthly Spot Prices - DK1 (Primary) and DK2 (Robustness)</a:t>
            </a:r>
          </a:p>
        </rich>
      </tx>
      <overlay val="1"/>
    </title>
    <plotArea>
      <layout/>
      <lineChart>
        <grouping val="standard"/>
        <varyColors val="1"/>
        <ser>
          <idx val="0"/>
          <order val="0"/>
          <tx>
            <strRef>
              <f>'Electricity Price Data'!$B$1</f>
              <strCache>
                <ptCount val="1"/>
                <pt idx="0">
                  <v>DK1 Spot Price (EUR/MWh) — Primary</v>
                </pt>
              </strCache>
            </strRef>
          </tx>
          <spPr>
            <a:ln xmlns:a="http://schemas.openxmlformats.org/drawingml/2006/main">
              <a:solidFill>
                <a:srgbClr val="2E75B6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val>
            <numRef>
              <f>'Electricity Price Data'!$B$2:$B$85</f>
              <numCache>
                <formatCode>General</formatCode>
                <ptCount val="84"/>
                <pt idx="0">
                  <v>50.29564516129032</v>
                </pt>
                <pt idx="1">
                  <v>42.81395833333333</v>
                </pt>
                <pt idx="2">
                  <v>33.60825910931175</v>
                </pt>
                <pt idx="3">
                  <v>39.06841666666666</v>
                </pt>
                <pt idx="4">
                  <v>37.42951612903226</v>
                </pt>
                <pt idx="5">
                  <v>32.87922222222223</v>
                </pt>
                <pt idx="6">
                  <v>38.81731182795698</v>
                </pt>
                <pt idx="7">
                  <v>37.86569892473118</v>
                </pt>
                <pt idx="8">
                  <v>35.37886111111111</v>
                </pt>
                <pt idx="9">
                  <v>38.34740242261103</v>
                </pt>
                <pt idx="10">
                  <v>41.74506944444445</v>
                </pt>
                <pt idx="11">
                  <v>34.04197580645161</v>
                </pt>
                <pt idx="12">
                  <v>24.99454301075269</v>
                </pt>
                <pt idx="13">
                  <v>17.58507183908046</v>
                </pt>
                <pt idx="14">
                  <v>18.30172739541161</v>
                </pt>
                <pt idx="15">
                  <v>14.53377777777778</v>
                </pt>
                <pt idx="16">
                  <v>16.05399193548387</v>
                </pt>
                <pt idx="17">
                  <v>26.27627777777777</v>
                </pt>
                <pt idx="18">
                  <v>24.61956989247312</v>
                </pt>
                <pt idx="19">
                  <v>34.5392876344086</v>
                </pt>
                <pt idx="20">
                  <v>38.53504166666666</v>
                </pt>
                <pt idx="21">
                  <v>25.81475100942126</v>
                </pt>
                <pt idx="22">
                  <v>23.75458333333333</v>
                </pt>
                <pt idx="23">
                  <v>34.51112903225806</v>
                </pt>
                <pt idx="24">
                  <v>50.20510752688172</v>
                </pt>
                <pt idx="25">
                  <v>47.26150297619048</v>
                </pt>
                <pt idx="26">
                  <v>45.12944669365721</v>
                </pt>
                <pt idx="27">
                  <v>47.96711111111111</v>
                </pt>
                <pt idx="28">
                  <v>54.30756720430108</v>
                </pt>
                <pt idx="29">
                  <v>73.71981944444444</v>
                </pt>
                <pt idx="30">
                  <v>79.99924731182796</v>
                </pt>
                <pt idx="31">
                  <v>82.78876344086021</v>
                </pt>
                <pt idx="32">
                  <v>125.3637638888889</v>
                </pt>
                <pt idx="33">
                  <v>117.0398115746972</v>
                </pt>
                <pt idx="34">
                  <v>141.7975833333333</v>
                </pt>
                <pt idx="35">
                  <v>189.3493279569892</v>
                </pt>
                <pt idx="36">
                  <v>117.9946505376344</v>
                </pt>
                <pt idx="37">
                  <v>113.120744047619</v>
                </pt>
                <pt idx="38">
                  <v>235.8248448043185</v>
                </pt>
                <pt idx="39">
                  <v>163.6374722222222</v>
                </pt>
                <pt idx="40">
                  <v>171.8580376344086</v>
                </pt>
                <pt idx="41">
                  <v>214.43025</v>
                </pt>
                <pt idx="42">
                  <v>275.0381720430107</v>
                </pt>
                <pt idx="43">
                  <v>456.7503494623656</v>
                </pt>
                <pt idx="44">
                  <v>342.8196527777778</v>
                </pt>
                <pt idx="45">
                  <v>137.1317227456258</v>
                </pt>
                <pt idx="46">
                  <v>139.7042083333333</v>
                </pt>
                <pt idx="47">
                  <v>249.6656182795699</v>
                </pt>
                <pt idx="48">
                  <v>112.5418413978495</v>
                </pt>
                <pt idx="49">
                  <v>118.136130952381</v>
                </pt>
                <pt idx="50">
                  <v>99.11391363022942</v>
                </pt>
                <pt idx="51">
                  <v>96.27097222222223</v>
                </pt>
                <pt idx="52">
                  <v>73.96577956989248</v>
                </pt>
                <pt idx="53">
                  <v>92.49543055555556</v>
                </pt>
                <pt idx="54">
                  <v>64.81130376344086</v>
                </pt>
                <pt idx="55">
                  <v>85.96711021505376</v>
                </pt>
                <pt idx="56">
                  <v>84.73944444444444</v>
                </pt>
                <pt idx="57">
                  <v>60.10576043068641</v>
                </pt>
                <pt idx="58">
                  <v>88.15456944444445</v>
                </pt>
                <pt idx="59">
                  <v>69.48251344086022</v>
                </pt>
                <pt idx="60">
                  <v>74.71493279569893</v>
                </pt>
                <pt idx="61">
                  <v>58.63393678160919</v>
                </pt>
                <pt idx="62">
                  <v>61.22628879892038</v>
                </pt>
                <pt idx="63">
                  <v>59.16479166666667</v>
                </pt>
                <pt idx="64">
                  <v>58.51685483870968</v>
                </pt>
                <pt idx="65">
                  <v>63.75304166666667</v>
                </pt>
                <pt idx="66">
                  <v>62.03034946236559</v>
                </pt>
                <pt idx="67">
                  <v>72.95380376344086</v>
                </pt>
                <pt idx="68">
                  <v>71.71358333333333</v>
                </pt>
                <pt idx="69">
                  <v>76.7199730820996</v>
                </pt>
                <pt idx="70">
                  <v>95.90459722222222</v>
                </pt>
                <pt idx="71">
                  <v>91.83743279569893</v>
                </pt>
                <pt idx="72">
                  <v>97.96596774193547</v>
                </pt>
                <pt idx="73">
                  <v>112.8479613095238</v>
                </pt>
                <pt idx="74">
                  <v>84.34884511784512</v>
                </pt>
                <pt idx="75">
                  <v>75.16047222222223</v>
                </pt>
                <pt idx="76">
                  <v>64.23341397849462</v>
                </pt>
                <pt idx="77">
                  <v>58.784625</v>
                </pt>
                <pt idx="78">
                  <v>82.80192204301075</v>
                </pt>
                <pt idx="79">
                  <v>73.47376344086022</v>
                </pt>
                <pt idx="80">
                  <v>72.39868055555556</v>
                </pt>
                <pt idx="81">
                  <v>78.4218001345895</v>
                </pt>
                <pt idx="82">
                  <v>92.87339236111112</v>
                </pt>
                <pt idx="83">
                  <v>82.43746639784946</v>
                </pt>
              </numCache>
            </numRef>
          </val>
          <smooth val="1"/>
        </ser>
        <ser>
          <idx val="1"/>
          <order val="1"/>
          <tx>
            <strRef>
              <f>'Electricity Price Data'!$C$1</f>
              <strCache>
                <ptCount val="1"/>
                <pt idx="0">
                  <v>DK2 Spot Price (EUR/MWh) — Robustness</v>
                </pt>
              </strCache>
            </strRef>
          </tx>
          <spPr>
            <a:ln xmlns:a="http://schemas.openxmlformats.org/drawingml/2006/main">
              <a:solidFill>
                <a:srgbClr val="9DC3E6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val>
            <numRef>
              <f>'Electricity Price Data'!$C$2:$C$85</f>
              <numCache>
                <formatCode>General</formatCode>
                <ptCount val="84"/>
                <pt idx="0">
                  <v>51.65502688172042</v>
                </pt>
                <pt idx="1">
                  <v>43.93294642857143</v>
                </pt>
                <pt idx="2">
                  <v>35.66735492577597</v>
                </pt>
                <pt idx="3">
                  <v>39.89209722222223</v>
                </pt>
                <pt idx="4">
                  <v>38.15139784946236</v>
                </pt>
                <pt idx="5">
                  <v>33.62223611111111</v>
                </pt>
                <pt idx="6">
                  <v>39.0001747311828</v>
                </pt>
                <pt idx="7">
                  <v>39.49317204301075</v>
                </pt>
                <pt idx="8">
                  <v>37.32134722222222</v>
                </pt>
                <pt idx="9">
                  <v>41.59935397039031</v>
                </pt>
                <pt idx="10">
                  <v>42.69644444444445</v>
                </pt>
                <pt idx="11">
                  <v>35.34711021505376</v>
                </pt>
                <pt idx="12">
                  <v>27.38524193548387</v>
                </pt>
                <pt idx="13">
                  <v>18.81699712643678</v>
                </pt>
                <pt idx="14">
                  <v>20.05249662618084</v>
                </pt>
                <pt idx="15">
                  <v>17.35486111111111</v>
                </pt>
                <pt idx="16">
                  <v>19.04407258064516</v>
                </pt>
                <pt idx="17">
                  <v>29.82329166666667</v>
                </pt>
                <pt idx="18">
                  <v>25.88668010752688</v>
                </pt>
                <pt idx="19">
                  <v>40.92381720430107</v>
                </pt>
                <pt idx="20">
                  <v>39.51423611111111</v>
                </pt>
                <pt idx="21">
                  <v>26.93351278600269</v>
                </pt>
                <pt idx="22">
                  <v>35.71134722222222</v>
                </pt>
                <pt idx="23">
                  <v>39.25715053763441</v>
                </pt>
                <pt idx="24">
                  <v>50.85895161290323</v>
                </pt>
                <pt idx="25">
                  <v>54.54806547619048</v>
                </pt>
                <pt idx="26">
                  <v>46.73221322537112</v>
                </pt>
                <pt idx="27">
                  <v>47.86295833333334</v>
                </pt>
                <pt idx="28">
                  <v>55.20880376344086</v>
                </pt>
                <pt idx="29">
                  <v>73.58690277777778</v>
                </pt>
                <pt idx="30">
                  <v>81.44088709677419</v>
                </pt>
                <pt idx="31">
                  <v>84.36354838709678</v>
                </pt>
                <pt idx="32">
                  <v>123.9021111111111</v>
                </pt>
                <pt idx="33">
                  <v>106.9322745625841</v>
                </pt>
                <pt idx="34">
                  <v>136.3800555555555</v>
                </pt>
                <pt idx="35">
                  <v>191.0686155913978</v>
                </pt>
                <pt idx="36">
                  <v>111.6220967741935</v>
                </pt>
                <pt idx="37">
                  <v>100.2914136904762</v>
                </pt>
                <pt idx="38">
                  <v>227.9203643724696</v>
                </pt>
                <pt idx="39">
                  <v>152.8328055555556</v>
                </pt>
                <pt idx="40">
                  <v>162.6584139784946</v>
                </pt>
                <pt idx="41">
                  <v>213.2331388888889</v>
                </pt>
                <pt idx="42">
                  <v>233.4777419354839</v>
                </pt>
                <pt idx="43">
                  <v>449.7688306451613</v>
                </pt>
                <pt idx="44">
                  <v>328.8001527777778</v>
                </pt>
                <pt idx="45">
                  <v>136.8978331090175</v>
                </pt>
                <pt idx="46">
                  <v>145.0578055555555</v>
                </pt>
                <pt idx="47">
                  <v>248.8820698924731</v>
                </pt>
                <pt idx="48">
                  <v>99.76288978494622</v>
                </pt>
                <pt idx="49">
                  <v>100.6489285714286</v>
                </pt>
                <pt idx="50">
                  <v>89.79561403508772</v>
                </pt>
                <pt idx="51">
                  <v>83.65112499999999</v>
                </pt>
                <pt idx="52">
                  <v>66.15174731182796</v>
                </pt>
                <pt idx="53">
                  <v>91.42315277777777</v>
                </pt>
                <pt idx="54">
                  <v>65.24004032258064</v>
                </pt>
                <pt idx="55">
                  <v>86.29373655913979</v>
                </pt>
                <pt idx="56">
                  <v>85.48412500000001</v>
                </pt>
                <pt idx="57">
                  <v>56.92581426648721</v>
                </pt>
                <pt idx="58">
                  <v>81.48604166666667</v>
                </pt>
                <pt idx="59">
                  <v>70.87973118279569</v>
                </pt>
                <pt idx="60">
                  <v>78.21481182795699</v>
                </pt>
                <pt idx="61">
                  <v>54.72224137931035</v>
                </pt>
                <pt idx="62">
                  <v>61.0408636977058</v>
                </pt>
                <pt idx="63">
                  <v>60.47670833333333</v>
                </pt>
                <pt idx="64">
                  <v>58.12298387096774</v>
                </pt>
                <pt idx="65">
                  <v>66.79098611111111</v>
                </pt>
                <pt idx="66">
                  <v>62.84170698924731</v>
                </pt>
                <pt idx="67">
                  <v>72.61426075268818</v>
                </pt>
                <pt idx="68">
                  <v>70.41183333333333</v>
                </pt>
                <pt idx="69">
                  <v>76.32612382234186</v>
                </pt>
                <pt idx="70">
                  <v>95.28269444444443</v>
                </pt>
                <pt idx="71">
                  <v>92.72815860215054</v>
                </pt>
                <pt idx="72">
                  <v>100.1237365591398</v>
                </pt>
                <pt idx="73">
                  <v>117.9355505952381</v>
                </pt>
                <pt idx="74">
                  <v>82.84686531986532</v>
                </pt>
                <pt idx="75">
                  <v>75.80665277777778</v>
                </pt>
                <pt idx="76">
                  <v>63.08255376344086</v>
                </pt>
                <pt idx="77">
                  <v>56.44824999999999</v>
                </pt>
                <pt idx="78">
                  <v>79.95969086021506</v>
                </pt>
                <pt idx="79">
                  <v>75.31549731182795</v>
                </pt>
                <pt idx="80">
                  <v>83.28893055555555</v>
                </pt>
                <pt idx="81">
                  <v>82.36807537012113</v>
                </pt>
                <pt idx="82">
                  <v>93.69557291666666</v>
                </pt>
                <pt idx="83">
                  <v>82.08152889784947</v>
                </pt>
              </numCache>
            </numRef>
          </val>
          <smooth val="1"/>
        </ser>
        <dLbls>
          <showLegendKey val="0"/>
          <showVal val="0"/>
          <showCatName val="0"/>
          <showSerName val="0"/>
          <showPercent val="0"/>
          <showBubbleSize val="0"/>
        </dLbls>
        <smooth val="0"/>
        <axId val="10"/>
        <axId val="100"/>
      </lineChart>
      <catAx>
        <axId val="10"/>
        <scaling>
          <orientation val="minMax"/>
        </scaling>
        <delete val="1"/>
        <axPos val="b"/>
        <title>
          <tx>
            <rich>
              <a:bodyPr xmlns:a="http://schemas.openxmlformats.org/drawingml/2006/main"/>
              <a:lstStyle xmlns:a="http://schemas.openxmlformats.org/drawingml/2006/main"/>
              <a:p xmlns:a="http://schemas.openxmlformats.org/drawingml/2006/main">
                <a:pPr>
                  <a:defRPr/>
                </a:pPr>
                <a:r>
                  <a:rPr lang="en-GB"/>
                  <a:t>Month</a:t>
                </a:r>
              </a:p>
            </rich>
          </tx>
          <overlay val="1"/>
        </title>
        <majorTickMark val="none"/>
        <minorTickMark val="none"/>
        <tickLblPos val="nextTo"/>
        <crossAx val="100"/>
        <crosses val="autoZero"/>
        <auto val="1"/>
        <lblAlgn val="ctr"/>
        <lblOffset val="100"/>
        <noMultiLvlLbl val="1"/>
      </catAx>
      <valAx>
        <axId val="100"/>
        <scaling>
          <orientation val="minMax"/>
        </scaling>
        <delete val="1"/>
        <axPos val="l"/>
        <majorGridlines/>
        <title>
          <tx>
            <rich>
              <a:bodyPr xmlns:a="http://schemas.openxmlformats.org/drawingml/2006/main"/>
              <a:lstStyle xmlns:a="http://schemas.openxmlformats.org/drawingml/2006/main"/>
              <a:p xmlns:a="http://schemas.openxmlformats.org/drawingml/2006/main">
                <a:pPr>
                  <a:defRPr/>
                </a:pPr>
                <a:r>
                  <a:rPr lang="en-GB"/>
                  <a:t>EUR/MWh</a:t>
                </a:r>
              </a:p>
            </rich>
          </tx>
          <overlay val="1"/>
        </title>
        <numFmt formatCode="General" sourceLinked="1"/>
        <majorTickMark val="none"/>
        <minorTickMark val="none"/>
        <tickLblPos val="nextTo"/>
        <crossAx val="10"/>
        <crosses val="autoZero"/>
        <crossBetween val="between"/>
      </valAx>
    </plotArea>
    <legend>
      <legendPos val="r"/>
      <overlay val="1"/>
    </legend>
    <plotVisOnly val="1"/>
    <dispBlanksAs val="gap"/>
  </chart>
</chartSpace>
</file>

<file path=xl/charts/chart8.xml><?xml version="1.0" encoding="utf-8"?>
<chartSpace xmlns="http://schemas.openxmlformats.org/drawingml/2006/chart">
  <chart>
    <title>
      <tx>
        <rich>
          <a:bodyPr xmlns:a="http://schemas.openxmlformats.org/drawingml/2006/main"/>
          <a:lstStyle xmlns:a="http://schemas.openxmlformats.org/drawingml/2006/main"/>
          <a:p xmlns:a="http://schemas.openxmlformats.org/drawingml/2006/main">
            <a:pPr>
              <a:defRPr/>
            </a:pPr>
            <a:r>
              <a:rPr lang="en-GB"/>
              <a:t>DK1 De-seasonalised Price Series (Primary)</a:t>
            </a:r>
          </a:p>
        </rich>
      </tx>
      <overlay val="1"/>
    </title>
    <plotArea>
      <layout/>
      <lineChart>
        <grouping val="standard"/>
        <varyColors val="1"/>
        <ser>
          <idx val="0"/>
          <order val="0"/>
          <tx>
            <strRef>
              <f>'Electricity Price Data'!$E$1</f>
              <strCache>
                <ptCount val="1"/>
                <pt idx="0">
                  <v>DK1 De-seasonalised Price (EUR/MWh)</v>
                </pt>
              </strCache>
            </strRef>
          </tx>
          <spPr>
            <a:ln xmlns:a="http://schemas.openxmlformats.org/drawingml/2006/main">
              <a:solidFill>
                <a:srgbClr val="2E75B6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val>
            <numRef>
              <f>'Electricity Price Data'!$E$2:$E$85</f>
              <numCache>
                <formatCode>General</formatCode>
                <ptCount val="84"/>
                <pt idx="0">
                  <v>-25.23473886328725</v>
                </pt>
                <pt idx="1">
                  <v>-30.1002282723434</v>
                </pt>
                <pt idx="2">
                  <v>-48.89935882635881</v>
                </pt>
                <pt idx="3">
                  <v>-31.76058531746028</v>
                </pt>
                <pt idx="4">
                  <v>-30.62264976958527</v>
                </pt>
                <pt idx="5">
                  <v>-47.45487301587301</v>
                </pt>
                <pt idx="6">
                  <v>-50.9138133640553</v>
                </pt>
                <pt idx="7">
                  <v>-82.75412634408602</v>
                </pt>
                <pt idx="8">
                  <v>-74.75671428571428</v>
                </pt>
                <pt idx="9">
                  <v>-37.87848634877907</v>
                </pt>
                <pt idx="10">
                  <v>-47.38835962301585</v>
                </pt>
                <pt idx="11">
                  <v>-73.29023329493089</v>
                </pt>
                <pt idx="12">
                  <v>-50.53584101382489</v>
                </pt>
                <pt idx="13">
                  <v>-55.32911476659628</v>
                </pt>
                <pt idx="14">
                  <v>-64.20589054025895</v>
                </pt>
                <pt idx="15">
                  <v>-56.29522420634917</v>
                </pt>
                <pt idx="16">
                  <v>-51.99817396313366</v>
                </pt>
                <pt idx="17">
                  <v>-54.05781746031745</v>
                </pt>
                <pt idx="18">
                  <v>-65.11155529953916</v>
                </pt>
                <pt idx="19">
                  <v>-86.08053763440859</v>
                </pt>
                <pt idx="20">
                  <v>-71.60053373015873</v>
                </pt>
                <pt idx="21">
                  <v>-50.41113776196884</v>
                </pt>
                <pt idx="22">
                  <v>-65.37884573412697</v>
                </pt>
                <pt idx="23">
                  <v>-72.82108006912443</v>
                </pt>
                <pt idx="24">
                  <v>-25.32527649769585</v>
                </pt>
                <pt idx="25">
                  <v>-25.65268362948625</v>
                </pt>
                <pt idx="26">
                  <v>-37.37817124201334</v>
                </pt>
                <pt idx="27">
                  <v>-22.86189087301584</v>
                </pt>
                <pt idx="28">
                  <v>-13.74459869431645</v>
                </pt>
                <pt idx="29">
                  <v>-6.614275793650791</v>
                </pt>
                <pt idx="30">
                  <v>-9.731877880184328</v>
                </pt>
                <pt idx="31">
                  <v>-37.83106182795699</v>
                </pt>
                <pt idx="32">
                  <v>15.22818849206351</v>
                </pt>
                <pt idx="33">
                  <v>40.81392280330708</v>
                </pt>
                <pt idx="34">
                  <v>52.66415426587304</v>
                </pt>
                <pt idx="35">
                  <v>82.01711885560675</v>
                </pt>
                <pt idx="36">
                  <v>42.46426651305684</v>
                </pt>
                <pt idx="37">
                  <v>40.20655744194231</v>
                </pt>
                <pt idx="38">
                  <v>153.3172268686479</v>
                </pt>
                <pt idx="39">
                  <v>92.80847023809527</v>
                </pt>
                <pt idx="40">
                  <v>103.8058717357911</v>
                </pt>
                <pt idx="41">
                  <v>134.0961547619048</v>
                </pt>
                <pt idx="42">
                  <v>185.3070468509984</v>
                </pt>
                <pt idx="43">
                  <v>336.1305241935484</v>
                </pt>
                <pt idx="44">
                  <v>232.6840773809524</v>
                </pt>
                <pt idx="45">
                  <v>60.90583397423573</v>
                </pt>
                <pt idx="46">
                  <v>50.57077926587303</v>
                </pt>
                <pt idx="47">
                  <v>142.3334091781874</v>
                </pt>
                <pt idx="48">
                  <v>37.0114573732719</v>
                </pt>
                <pt idx="49">
                  <v>45.22194434670422</v>
                </pt>
                <pt idx="50">
                  <v>16.60629569455887</v>
                </pt>
                <pt idx="51">
                  <v>25.44197023809528</v>
                </pt>
                <pt idx="52">
                  <v>5.913613671274945</v>
                </pt>
                <pt idx="53">
                  <v>12.16133531746033</v>
                </pt>
                <pt idx="54">
                  <v>-24.91982142857142</v>
                </pt>
                <pt idx="55">
                  <v>-34.65271505376343</v>
                </pt>
                <pt idx="56">
                  <v>-25.39613095238094</v>
                </pt>
                <pt idx="57">
                  <v>-16.12012834070369</v>
                </pt>
                <pt idx="58">
                  <v>-0.9788596230158504</v>
                </pt>
                <pt idx="59">
                  <v>-37.84969566052227</v>
                </pt>
                <pt idx="60">
                  <v>-0.8154512288786435</v>
                </pt>
                <pt idx="61">
                  <v>-14.28024982406754</v>
                </pt>
                <pt idx="62">
                  <v>-21.28132913675017</v>
                </pt>
                <pt idx="63">
                  <v>-11.66421031746028</v>
                </pt>
                <pt idx="64">
                  <v>-9.535311059907855</v>
                </pt>
                <pt idx="65">
                  <v>-16.58105357142856</v>
                </pt>
                <pt idx="66">
                  <v>-27.70077572964669</v>
                </pt>
                <pt idx="67">
                  <v>-47.66602150537634</v>
                </pt>
                <pt idx="68">
                  <v>-38.42199206349206</v>
                </pt>
                <pt idx="69">
                  <v>0.4940843107094963</v>
                </pt>
                <pt idx="70">
                  <v>6.771168154761924</v>
                </pt>
                <pt idx="71">
                  <v>-15.49477630568356</v>
                </pt>
                <pt idx="72">
                  <v>22.4355837173579</v>
                </pt>
                <pt idx="73">
                  <v>39.93377470384708</v>
                </pt>
                <pt idx="74">
                  <v>1.841227182174563</v>
                </pt>
                <pt idx="75">
                  <v>4.331470238095278</v>
                </pt>
                <pt idx="76">
                  <v>-3.818751920122907</v>
                </pt>
                <pt idx="77">
                  <v>-21.54947023809523</v>
                </pt>
                <pt idx="78">
                  <v>-6.929203149001538</v>
                </pt>
                <pt idx="79">
                  <v>-47.14606182795697</v>
                </pt>
                <pt idx="80">
                  <v>-37.73689484126983</v>
                </pt>
                <pt idx="81">
                  <v>2.1959113631994</v>
                </pt>
                <pt idx="82">
                  <v>3.739963293650817</v>
                </pt>
                <pt idx="83">
                  <v>-24.89474270353303</v>
                </pt>
              </numCache>
            </numRef>
          </val>
          <smooth val="1"/>
        </ser>
        <dLbls>
          <showLegendKey val="0"/>
          <showVal val="0"/>
          <showCatName val="0"/>
          <showSerName val="0"/>
          <showPercent val="0"/>
          <showBubbleSize val="0"/>
        </dLbls>
        <smooth val="0"/>
        <axId val="10"/>
        <axId val="100"/>
      </lineChart>
      <catAx>
        <axId val="10"/>
        <scaling>
          <orientation val="minMax"/>
        </scaling>
        <delete val="1"/>
        <axPos val="b"/>
        <title>
          <tx>
            <rich>
              <a:bodyPr xmlns:a="http://schemas.openxmlformats.org/drawingml/2006/main"/>
              <a:lstStyle xmlns:a="http://schemas.openxmlformats.org/drawingml/2006/main"/>
              <a:p xmlns:a="http://schemas.openxmlformats.org/drawingml/2006/main">
                <a:pPr>
                  <a:defRPr/>
                </a:pPr>
                <a:r>
                  <a:rPr lang="en-GB"/>
                  <a:t>Month</a:t>
                </a:r>
              </a:p>
            </rich>
          </tx>
          <overlay val="1"/>
        </title>
        <majorTickMark val="none"/>
        <minorTickMark val="none"/>
        <tickLblPos val="nextTo"/>
        <crossAx val="100"/>
        <crosses val="autoZero"/>
        <auto val="1"/>
        <lblAlgn val="ctr"/>
        <lblOffset val="100"/>
        <noMultiLvlLbl val="1"/>
      </catAx>
      <valAx>
        <axId val="100"/>
        <scaling>
          <orientation val="minMax"/>
        </scaling>
        <delete val="1"/>
        <axPos val="l"/>
        <majorGridlines/>
        <title>
          <tx>
            <rich>
              <a:bodyPr xmlns:a="http://schemas.openxmlformats.org/drawingml/2006/main"/>
              <a:lstStyle xmlns:a="http://schemas.openxmlformats.org/drawingml/2006/main"/>
              <a:p xmlns:a="http://schemas.openxmlformats.org/drawingml/2006/main">
                <a:pPr>
                  <a:defRPr/>
                </a:pPr>
                <a:r>
                  <a:rPr lang="en-GB"/>
                  <a:t>EUR/MWh</a:t>
                </a:r>
              </a:p>
            </rich>
          </tx>
          <overlay val="1"/>
        </title>
        <numFmt formatCode="General" sourceLinked="1"/>
        <majorTickMark val="none"/>
        <minorTickMark val="none"/>
        <tickLblPos val="nextTo"/>
        <crossAx val="10"/>
        <crosses val="autoZero"/>
        <crossBetween val="between"/>
      </valAx>
    </plotArea>
    <legend>
      <legendPos val="r"/>
      <overlay val="0"/>
      <txPr>
        <a:bodyPr xmlns:a="http://schemas.openxmlformats.org/drawingml/2006/main"/>
        <a:lstStyle xmlns:a="http://schemas.openxmlformats.org/drawingml/2006/main"/>
        <a:p xmlns:a="http://schemas.openxmlformats.org/drawingml/2006/main">
          <a:pPr rtl="0">
            <a:defRPr/>
          </a:pPr>
          <a:r>
            <a:t>None</a:t>
          </a:r>
          <a:endParaRPr lang="en-DK"/>
        </a:p>
      </txPr>
    </legend>
    <plotVisOnly val="1"/>
    <dispBlanksAs val="gap"/>
  </chart>
</chartSpace>
</file>

<file path=xl/charts/chart9.xml><?xml version="1.0" encoding="utf-8"?>
<chartSpace xmlns="http://schemas.openxmlformats.org/drawingml/2006/chart">
  <chart>
    <title>
      <tx>
        <rich>
          <a:bodyPr xmlns:a="http://schemas.openxmlformats.org/drawingml/2006/main"/>
          <a:lstStyle xmlns:a="http://schemas.openxmlformats.org/drawingml/2006/main"/>
          <a:p xmlns:a="http://schemas.openxmlformats.org/drawingml/2006/main">
            <a:pPr>
              <a:defRPr/>
            </a:pPr>
            <a:r>
              <a:rPr lang="en-GB"/>
              <a:t>Monthly Spot Prices - DK1 (Primary) and DK2 (Robustness)</a:t>
            </a:r>
          </a:p>
        </rich>
      </tx>
      <overlay val="1"/>
    </title>
    <plotArea>
      <layout/>
      <lineChart>
        <grouping val="standard"/>
        <varyColors val="1"/>
        <ser>
          <idx val="0"/>
          <order val="0"/>
          <tx>
            <strRef>
              <f>'Electricity Price Data'!$B$1</f>
              <strCache>
                <ptCount val="1"/>
                <pt idx="0">
                  <v>DK1 Spot Price (EUR/MWh) — Primary</v>
                </pt>
              </strCache>
            </strRef>
          </tx>
          <spPr>
            <a:ln xmlns:a="http://schemas.openxmlformats.org/drawingml/2006/main">
              <a:solidFill>
                <a:srgbClr val="2E75B6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val>
            <numRef>
              <f>'Electricity Price Data'!$B$2:$B$85</f>
              <numCache>
                <formatCode>General</formatCode>
                <ptCount val="84"/>
                <pt idx="0">
                  <v>50.29564516129032</v>
                </pt>
                <pt idx="1">
                  <v>42.81395833333333</v>
                </pt>
                <pt idx="2">
                  <v>33.60825910931175</v>
                </pt>
                <pt idx="3">
                  <v>39.06841666666666</v>
                </pt>
                <pt idx="4">
                  <v>37.42951612903226</v>
                </pt>
                <pt idx="5">
                  <v>32.87922222222223</v>
                </pt>
                <pt idx="6">
                  <v>38.81731182795698</v>
                </pt>
                <pt idx="7">
                  <v>37.86569892473118</v>
                </pt>
                <pt idx="8">
                  <v>35.37886111111111</v>
                </pt>
                <pt idx="9">
                  <v>38.34740242261103</v>
                </pt>
                <pt idx="10">
                  <v>41.74506944444445</v>
                </pt>
                <pt idx="11">
                  <v>34.04197580645161</v>
                </pt>
                <pt idx="12">
                  <v>24.99454301075269</v>
                </pt>
                <pt idx="13">
                  <v>17.58507183908046</v>
                </pt>
                <pt idx="14">
                  <v>18.30172739541161</v>
                </pt>
                <pt idx="15">
                  <v>14.53377777777778</v>
                </pt>
                <pt idx="16">
                  <v>16.05399193548387</v>
                </pt>
                <pt idx="17">
                  <v>26.27627777777777</v>
                </pt>
                <pt idx="18">
                  <v>24.61956989247312</v>
                </pt>
                <pt idx="19">
                  <v>34.5392876344086</v>
                </pt>
                <pt idx="20">
                  <v>38.53504166666666</v>
                </pt>
                <pt idx="21">
                  <v>25.81475100942126</v>
                </pt>
                <pt idx="22">
                  <v>23.75458333333333</v>
                </pt>
                <pt idx="23">
                  <v>34.51112903225806</v>
                </pt>
                <pt idx="24">
                  <v>50.20510752688172</v>
                </pt>
                <pt idx="25">
                  <v>47.26150297619048</v>
                </pt>
                <pt idx="26">
                  <v>45.12944669365721</v>
                </pt>
                <pt idx="27">
                  <v>47.96711111111111</v>
                </pt>
                <pt idx="28">
                  <v>54.30756720430108</v>
                </pt>
                <pt idx="29">
                  <v>73.71981944444444</v>
                </pt>
                <pt idx="30">
                  <v>79.99924731182796</v>
                </pt>
                <pt idx="31">
                  <v>82.78876344086021</v>
                </pt>
                <pt idx="32">
                  <v>125.3637638888889</v>
                </pt>
                <pt idx="33">
                  <v>117.0398115746972</v>
                </pt>
                <pt idx="34">
                  <v>141.7975833333333</v>
                </pt>
                <pt idx="35">
                  <v>189.3493279569892</v>
                </pt>
                <pt idx="36">
                  <v>117.9946505376344</v>
                </pt>
                <pt idx="37">
                  <v>113.120744047619</v>
                </pt>
                <pt idx="38">
                  <v>235.8248448043185</v>
                </pt>
                <pt idx="39">
                  <v>163.6374722222222</v>
                </pt>
                <pt idx="40">
                  <v>171.8580376344086</v>
                </pt>
                <pt idx="41">
                  <v>214.43025</v>
                </pt>
                <pt idx="42">
                  <v>275.0381720430107</v>
                </pt>
                <pt idx="43">
                  <v>456.7503494623656</v>
                </pt>
                <pt idx="44">
                  <v>342.8196527777778</v>
                </pt>
                <pt idx="45">
                  <v>137.1317227456258</v>
                </pt>
                <pt idx="46">
                  <v>139.7042083333333</v>
                </pt>
                <pt idx="47">
                  <v>249.6656182795699</v>
                </pt>
                <pt idx="48">
                  <v>112.5418413978495</v>
                </pt>
                <pt idx="49">
                  <v>118.136130952381</v>
                </pt>
                <pt idx="50">
                  <v>99.11391363022942</v>
                </pt>
                <pt idx="51">
                  <v>96.27097222222223</v>
                </pt>
                <pt idx="52">
                  <v>73.96577956989248</v>
                </pt>
                <pt idx="53">
                  <v>92.49543055555556</v>
                </pt>
                <pt idx="54">
                  <v>64.81130376344086</v>
                </pt>
                <pt idx="55">
                  <v>85.96711021505376</v>
                </pt>
                <pt idx="56">
                  <v>84.73944444444444</v>
                </pt>
                <pt idx="57">
                  <v>60.10576043068641</v>
                </pt>
                <pt idx="58">
                  <v>88.15456944444445</v>
                </pt>
                <pt idx="59">
                  <v>69.48251344086022</v>
                </pt>
                <pt idx="60">
                  <v>74.71493279569893</v>
                </pt>
                <pt idx="61">
                  <v>58.63393678160919</v>
                </pt>
                <pt idx="62">
                  <v>61.22628879892038</v>
                </pt>
                <pt idx="63">
                  <v>59.16479166666667</v>
                </pt>
                <pt idx="64">
                  <v>58.51685483870968</v>
                </pt>
                <pt idx="65">
                  <v>63.75304166666667</v>
                </pt>
                <pt idx="66">
                  <v>62.03034946236559</v>
                </pt>
                <pt idx="67">
                  <v>72.95380376344086</v>
                </pt>
                <pt idx="68">
                  <v>71.71358333333333</v>
                </pt>
                <pt idx="69">
                  <v>76.7199730820996</v>
                </pt>
                <pt idx="70">
                  <v>95.90459722222222</v>
                </pt>
                <pt idx="71">
                  <v>91.83743279569893</v>
                </pt>
                <pt idx="72">
                  <v>97.96596774193547</v>
                </pt>
                <pt idx="73">
                  <v>112.8479613095238</v>
                </pt>
                <pt idx="74">
                  <v>84.34884511784512</v>
                </pt>
                <pt idx="75">
                  <v>75.16047222222223</v>
                </pt>
                <pt idx="76">
                  <v>64.23341397849462</v>
                </pt>
                <pt idx="77">
                  <v>58.784625</v>
                </pt>
                <pt idx="78">
                  <v>82.80192204301075</v>
                </pt>
                <pt idx="79">
                  <v>73.47376344086022</v>
                </pt>
                <pt idx="80">
                  <v>72.39868055555556</v>
                </pt>
                <pt idx="81">
                  <v>78.4218001345895</v>
                </pt>
                <pt idx="82">
                  <v>92.87339236111112</v>
                </pt>
                <pt idx="83">
                  <v>82.43746639784946</v>
                </pt>
              </numCache>
            </numRef>
          </val>
          <smooth val="1"/>
        </ser>
        <ser>
          <idx val="1"/>
          <order val="1"/>
          <tx>
            <strRef>
              <f>'Electricity Price Data'!$C$1</f>
              <strCache>
                <ptCount val="1"/>
                <pt idx="0">
                  <v>DK2 Spot Price (EUR/MWh) — Robustness</v>
                </pt>
              </strCache>
            </strRef>
          </tx>
          <spPr>
            <a:ln xmlns:a="http://schemas.openxmlformats.org/drawingml/2006/main">
              <a:solidFill>
                <a:srgbClr val="9DC3E6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val>
            <numRef>
              <f>'Electricity Price Data'!$C$2:$C$85</f>
              <numCache>
                <formatCode>General</formatCode>
                <ptCount val="84"/>
                <pt idx="0">
                  <v>51.65502688172042</v>
                </pt>
                <pt idx="1">
                  <v>43.93294642857143</v>
                </pt>
                <pt idx="2">
                  <v>35.66735492577597</v>
                </pt>
                <pt idx="3">
                  <v>39.89209722222223</v>
                </pt>
                <pt idx="4">
                  <v>38.15139784946236</v>
                </pt>
                <pt idx="5">
                  <v>33.62223611111111</v>
                </pt>
                <pt idx="6">
                  <v>39.0001747311828</v>
                </pt>
                <pt idx="7">
                  <v>39.49317204301075</v>
                </pt>
                <pt idx="8">
                  <v>37.32134722222222</v>
                </pt>
                <pt idx="9">
                  <v>41.59935397039031</v>
                </pt>
                <pt idx="10">
                  <v>42.69644444444445</v>
                </pt>
                <pt idx="11">
                  <v>35.34711021505376</v>
                </pt>
                <pt idx="12">
                  <v>27.38524193548387</v>
                </pt>
                <pt idx="13">
                  <v>18.81699712643678</v>
                </pt>
                <pt idx="14">
                  <v>20.05249662618084</v>
                </pt>
                <pt idx="15">
                  <v>17.35486111111111</v>
                </pt>
                <pt idx="16">
                  <v>19.04407258064516</v>
                </pt>
                <pt idx="17">
                  <v>29.82329166666667</v>
                </pt>
                <pt idx="18">
                  <v>25.88668010752688</v>
                </pt>
                <pt idx="19">
                  <v>40.92381720430107</v>
                </pt>
                <pt idx="20">
                  <v>39.51423611111111</v>
                </pt>
                <pt idx="21">
                  <v>26.93351278600269</v>
                </pt>
                <pt idx="22">
                  <v>35.71134722222222</v>
                </pt>
                <pt idx="23">
                  <v>39.25715053763441</v>
                </pt>
                <pt idx="24">
                  <v>50.85895161290323</v>
                </pt>
                <pt idx="25">
                  <v>54.54806547619048</v>
                </pt>
                <pt idx="26">
                  <v>46.73221322537112</v>
                </pt>
                <pt idx="27">
                  <v>47.86295833333334</v>
                </pt>
                <pt idx="28">
                  <v>55.20880376344086</v>
                </pt>
                <pt idx="29">
                  <v>73.58690277777778</v>
                </pt>
                <pt idx="30">
                  <v>81.44088709677419</v>
                </pt>
                <pt idx="31">
                  <v>84.36354838709678</v>
                </pt>
                <pt idx="32">
                  <v>123.9021111111111</v>
                </pt>
                <pt idx="33">
                  <v>106.9322745625841</v>
                </pt>
                <pt idx="34">
                  <v>136.3800555555555</v>
                </pt>
                <pt idx="35">
                  <v>191.0686155913978</v>
                </pt>
                <pt idx="36">
                  <v>111.6220967741935</v>
                </pt>
                <pt idx="37">
                  <v>100.2914136904762</v>
                </pt>
                <pt idx="38">
                  <v>227.9203643724696</v>
                </pt>
                <pt idx="39">
                  <v>152.8328055555556</v>
                </pt>
                <pt idx="40">
                  <v>162.6584139784946</v>
                </pt>
                <pt idx="41">
                  <v>213.2331388888889</v>
                </pt>
                <pt idx="42">
                  <v>233.4777419354839</v>
                </pt>
                <pt idx="43">
                  <v>449.7688306451613</v>
                </pt>
                <pt idx="44">
                  <v>328.8001527777778</v>
                </pt>
                <pt idx="45">
                  <v>136.8978331090175</v>
                </pt>
                <pt idx="46">
                  <v>145.0578055555555</v>
                </pt>
                <pt idx="47">
                  <v>248.8820698924731</v>
                </pt>
                <pt idx="48">
                  <v>99.76288978494622</v>
                </pt>
                <pt idx="49">
                  <v>100.6489285714286</v>
                </pt>
                <pt idx="50">
                  <v>89.79561403508772</v>
                </pt>
                <pt idx="51">
                  <v>83.65112499999999</v>
                </pt>
                <pt idx="52">
                  <v>66.15174731182796</v>
                </pt>
                <pt idx="53">
                  <v>91.42315277777777</v>
                </pt>
                <pt idx="54">
                  <v>65.24004032258064</v>
                </pt>
                <pt idx="55">
                  <v>86.29373655913979</v>
                </pt>
                <pt idx="56">
                  <v>85.48412500000001</v>
                </pt>
                <pt idx="57">
                  <v>56.92581426648721</v>
                </pt>
                <pt idx="58">
                  <v>81.48604166666667</v>
                </pt>
                <pt idx="59">
                  <v>70.87973118279569</v>
                </pt>
                <pt idx="60">
                  <v>78.21481182795699</v>
                </pt>
                <pt idx="61">
                  <v>54.72224137931035</v>
                </pt>
                <pt idx="62">
                  <v>61.0408636977058</v>
                </pt>
                <pt idx="63">
                  <v>60.47670833333333</v>
                </pt>
                <pt idx="64">
                  <v>58.12298387096774</v>
                </pt>
                <pt idx="65">
                  <v>66.79098611111111</v>
                </pt>
                <pt idx="66">
                  <v>62.84170698924731</v>
                </pt>
                <pt idx="67">
                  <v>72.61426075268818</v>
                </pt>
                <pt idx="68">
                  <v>70.41183333333333</v>
                </pt>
                <pt idx="69">
                  <v>76.32612382234186</v>
                </pt>
                <pt idx="70">
                  <v>95.28269444444443</v>
                </pt>
                <pt idx="71">
                  <v>92.72815860215054</v>
                </pt>
                <pt idx="72">
                  <v>100.1237365591398</v>
                </pt>
                <pt idx="73">
                  <v>117.9355505952381</v>
                </pt>
                <pt idx="74">
                  <v>82.84686531986532</v>
                </pt>
                <pt idx="75">
                  <v>75.80665277777778</v>
                </pt>
                <pt idx="76">
                  <v>63.08255376344086</v>
                </pt>
                <pt idx="77">
                  <v>56.44824999999999</v>
                </pt>
                <pt idx="78">
                  <v>79.95969086021506</v>
                </pt>
                <pt idx="79">
                  <v>75.31549731182795</v>
                </pt>
                <pt idx="80">
                  <v>83.28893055555555</v>
                </pt>
                <pt idx="81">
                  <v>82.36807537012113</v>
                </pt>
                <pt idx="82">
                  <v>93.69557291666666</v>
                </pt>
                <pt idx="83">
                  <v>82.08152889784947</v>
                </pt>
              </numCache>
            </numRef>
          </val>
          <smooth val="1"/>
        </ser>
        <dLbls>
          <showLegendKey val="0"/>
          <showVal val="0"/>
          <showCatName val="0"/>
          <showSerName val="0"/>
          <showPercent val="0"/>
          <showBubbleSize val="0"/>
        </dLbls>
        <smooth val="0"/>
        <axId val="10"/>
        <axId val="100"/>
      </lineChart>
      <catAx>
        <axId val="10"/>
        <scaling>
          <orientation val="minMax"/>
        </scaling>
        <delete val="1"/>
        <axPos val="b"/>
        <title>
          <tx>
            <rich>
              <a:bodyPr xmlns:a="http://schemas.openxmlformats.org/drawingml/2006/main"/>
              <a:lstStyle xmlns:a="http://schemas.openxmlformats.org/drawingml/2006/main"/>
              <a:p xmlns:a="http://schemas.openxmlformats.org/drawingml/2006/main">
                <a:pPr>
                  <a:defRPr/>
                </a:pPr>
                <a:r>
                  <a:rPr lang="en-GB"/>
                  <a:t>Month</a:t>
                </a:r>
              </a:p>
            </rich>
          </tx>
          <overlay val="1"/>
        </title>
        <majorTickMark val="none"/>
        <minorTickMark val="none"/>
        <tickLblPos val="nextTo"/>
        <crossAx val="100"/>
        <crosses val="autoZero"/>
        <auto val="1"/>
        <lblAlgn val="ctr"/>
        <lblOffset val="100"/>
        <noMultiLvlLbl val="1"/>
      </catAx>
      <valAx>
        <axId val="100"/>
        <scaling>
          <orientation val="minMax"/>
        </scaling>
        <delete val="1"/>
        <axPos val="l"/>
        <majorGridlines/>
        <title>
          <tx>
            <rich>
              <a:bodyPr xmlns:a="http://schemas.openxmlformats.org/drawingml/2006/main"/>
              <a:lstStyle xmlns:a="http://schemas.openxmlformats.org/drawingml/2006/main"/>
              <a:p xmlns:a="http://schemas.openxmlformats.org/drawingml/2006/main">
                <a:pPr>
                  <a:defRPr/>
                </a:pPr>
                <a:r>
                  <a:rPr lang="en-GB"/>
                  <a:t>EUR/MWh</a:t>
                </a:r>
              </a:p>
            </rich>
          </tx>
          <overlay val="1"/>
        </title>
        <numFmt formatCode="General" sourceLinked="1"/>
        <majorTickMark val="none"/>
        <minorTickMark val="none"/>
        <tickLblPos val="nextTo"/>
        <crossAx val="10"/>
        <crosses val="autoZero"/>
        <crossBetween val="between"/>
      </valAx>
    </plotArea>
    <legend>
      <legendPos val="r"/>
      <overlay val="1"/>
    </legend>
    <plotVisOnly val="1"/>
    <dispBlanksAs val="gap"/>
  </chart>
</chartSpace>
</file>

<file path=xl/charts/chart10.xml><?xml version="1.0" encoding="utf-8"?>
<chartSpace xmlns="http://schemas.openxmlformats.org/drawingml/2006/chart">
  <chart>
    <title>
      <tx>
        <rich>
          <a:bodyPr xmlns:a="http://schemas.openxmlformats.org/drawingml/2006/main"/>
          <a:lstStyle xmlns:a="http://schemas.openxmlformats.org/drawingml/2006/main"/>
          <a:p xmlns:a="http://schemas.openxmlformats.org/drawingml/2006/main">
            <a:pPr>
              <a:defRPr/>
            </a:pPr>
            <a:r>
              <a:rPr lang="en-GB"/>
              <a:t>DK1 De-seasonalised Price Series (Primary)</a:t>
            </a:r>
          </a:p>
        </rich>
      </tx>
      <overlay val="1"/>
    </title>
    <plotArea>
      <layout/>
      <lineChart>
        <grouping val="standard"/>
        <varyColors val="1"/>
        <ser>
          <idx val="0"/>
          <order val="0"/>
          <tx>
            <strRef>
              <f>'Electricity Price Data'!$E$1</f>
              <strCache>
                <ptCount val="1"/>
                <pt idx="0">
                  <v>DK1 De-seasonalised Price (EUR/MWh)</v>
                </pt>
              </strCache>
            </strRef>
          </tx>
          <spPr>
            <a:ln xmlns:a="http://schemas.openxmlformats.org/drawingml/2006/main">
              <a:solidFill>
                <a:srgbClr val="2E75B6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val>
            <numRef>
              <f>'Electricity Price Data'!$E$2:$E$85</f>
              <numCache>
                <formatCode>General</formatCode>
                <ptCount val="84"/>
                <pt idx="0">
                  <v>-25.23473886328725</v>
                </pt>
                <pt idx="1">
                  <v>-30.1002282723434</v>
                </pt>
                <pt idx="2">
                  <v>-48.89935882635881</v>
                </pt>
                <pt idx="3">
                  <v>-31.76058531746028</v>
                </pt>
                <pt idx="4">
                  <v>-30.62264976958527</v>
                </pt>
                <pt idx="5">
                  <v>-47.45487301587301</v>
                </pt>
                <pt idx="6">
                  <v>-50.9138133640553</v>
                </pt>
                <pt idx="7">
                  <v>-82.75412634408602</v>
                </pt>
                <pt idx="8">
                  <v>-74.75671428571428</v>
                </pt>
                <pt idx="9">
                  <v>-37.87848634877907</v>
                </pt>
                <pt idx="10">
                  <v>-47.38835962301585</v>
                </pt>
                <pt idx="11">
                  <v>-73.29023329493089</v>
                </pt>
                <pt idx="12">
                  <v>-50.53584101382489</v>
                </pt>
                <pt idx="13">
                  <v>-55.32911476659628</v>
                </pt>
                <pt idx="14">
                  <v>-64.20589054025895</v>
                </pt>
                <pt idx="15">
                  <v>-56.29522420634917</v>
                </pt>
                <pt idx="16">
                  <v>-51.99817396313366</v>
                </pt>
                <pt idx="17">
                  <v>-54.05781746031745</v>
                </pt>
                <pt idx="18">
                  <v>-65.11155529953916</v>
                </pt>
                <pt idx="19">
                  <v>-86.08053763440859</v>
                </pt>
                <pt idx="20">
                  <v>-71.60053373015873</v>
                </pt>
                <pt idx="21">
                  <v>-50.41113776196884</v>
                </pt>
                <pt idx="22">
                  <v>-65.37884573412697</v>
                </pt>
                <pt idx="23">
                  <v>-72.82108006912443</v>
                </pt>
                <pt idx="24">
                  <v>-25.32527649769585</v>
                </pt>
                <pt idx="25">
                  <v>-25.65268362948625</v>
                </pt>
                <pt idx="26">
                  <v>-37.37817124201334</v>
                </pt>
                <pt idx="27">
                  <v>-22.86189087301584</v>
                </pt>
                <pt idx="28">
                  <v>-13.74459869431645</v>
                </pt>
                <pt idx="29">
                  <v>-6.614275793650791</v>
                </pt>
                <pt idx="30">
                  <v>-9.731877880184328</v>
                </pt>
                <pt idx="31">
                  <v>-37.83106182795699</v>
                </pt>
                <pt idx="32">
                  <v>15.22818849206351</v>
                </pt>
                <pt idx="33">
                  <v>40.81392280330708</v>
                </pt>
                <pt idx="34">
                  <v>52.66415426587304</v>
                </pt>
                <pt idx="35">
                  <v>82.01711885560675</v>
                </pt>
                <pt idx="36">
                  <v>42.46426651305684</v>
                </pt>
                <pt idx="37">
                  <v>40.20655744194231</v>
                </pt>
                <pt idx="38">
                  <v>153.3172268686479</v>
                </pt>
                <pt idx="39">
                  <v>92.80847023809527</v>
                </pt>
                <pt idx="40">
                  <v>103.8058717357911</v>
                </pt>
                <pt idx="41">
                  <v>134.0961547619048</v>
                </pt>
                <pt idx="42">
                  <v>185.3070468509984</v>
                </pt>
                <pt idx="43">
                  <v>336.1305241935484</v>
                </pt>
                <pt idx="44">
                  <v>232.6840773809524</v>
                </pt>
                <pt idx="45">
                  <v>60.90583397423573</v>
                </pt>
                <pt idx="46">
                  <v>50.57077926587303</v>
                </pt>
                <pt idx="47">
                  <v>142.3334091781874</v>
                </pt>
                <pt idx="48">
                  <v>37.0114573732719</v>
                </pt>
                <pt idx="49">
                  <v>45.22194434670422</v>
                </pt>
                <pt idx="50">
                  <v>16.60629569455887</v>
                </pt>
                <pt idx="51">
                  <v>25.44197023809528</v>
                </pt>
                <pt idx="52">
                  <v>5.913613671274945</v>
                </pt>
                <pt idx="53">
                  <v>12.16133531746033</v>
                </pt>
                <pt idx="54">
                  <v>-24.91982142857142</v>
                </pt>
                <pt idx="55">
                  <v>-34.65271505376343</v>
                </pt>
                <pt idx="56">
                  <v>-25.39613095238094</v>
                </pt>
                <pt idx="57">
                  <v>-16.12012834070369</v>
                </pt>
                <pt idx="58">
                  <v>-0.9788596230158504</v>
                </pt>
                <pt idx="59">
                  <v>-37.84969566052227</v>
                </pt>
                <pt idx="60">
                  <v>-0.8154512288786435</v>
                </pt>
                <pt idx="61">
                  <v>-14.28024982406754</v>
                </pt>
                <pt idx="62">
                  <v>-21.28132913675017</v>
                </pt>
                <pt idx="63">
                  <v>-11.66421031746028</v>
                </pt>
                <pt idx="64">
                  <v>-9.535311059907855</v>
                </pt>
                <pt idx="65">
                  <v>-16.58105357142856</v>
                </pt>
                <pt idx="66">
                  <v>-27.70077572964669</v>
                </pt>
                <pt idx="67">
                  <v>-47.66602150537634</v>
                </pt>
                <pt idx="68">
                  <v>-38.42199206349206</v>
                </pt>
                <pt idx="69">
                  <v>0.4940843107094963</v>
                </pt>
                <pt idx="70">
                  <v>6.771168154761924</v>
                </pt>
                <pt idx="71">
                  <v>-15.49477630568356</v>
                </pt>
                <pt idx="72">
                  <v>22.4355837173579</v>
                </pt>
                <pt idx="73">
                  <v>39.93377470384708</v>
                </pt>
                <pt idx="74">
                  <v>1.841227182174563</v>
                </pt>
                <pt idx="75">
                  <v>4.331470238095278</v>
                </pt>
                <pt idx="76">
                  <v>-3.818751920122907</v>
                </pt>
                <pt idx="77">
                  <v>-21.54947023809523</v>
                </pt>
                <pt idx="78">
                  <v>-6.929203149001538</v>
                </pt>
                <pt idx="79">
                  <v>-47.14606182795697</v>
                </pt>
                <pt idx="80">
                  <v>-37.73689484126983</v>
                </pt>
                <pt idx="81">
                  <v>2.1959113631994</v>
                </pt>
                <pt idx="82">
                  <v>3.739963293650817</v>
                </pt>
                <pt idx="83">
                  <v>-24.89474270353303</v>
                </pt>
              </numCache>
            </numRef>
          </val>
          <smooth val="1"/>
        </ser>
        <dLbls>
          <showLegendKey val="0"/>
          <showVal val="0"/>
          <showCatName val="0"/>
          <showSerName val="0"/>
          <showPercent val="0"/>
          <showBubbleSize val="0"/>
        </dLbls>
        <smooth val="0"/>
        <axId val="10"/>
        <axId val="100"/>
      </lineChart>
      <catAx>
        <axId val="10"/>
        <scaling>
          <orientation val="minMax"/>
        </scaling>
        <delete val="1"/>
        <axPos val="b"/>
        <title>
          <tx>
            <rich>
              <a:bodyPr xmlns:a="http://schemas.openxmlformats.org/drawingml/2006/main"/>
              <a:lstStyle xmlns:a="http://schemas.openxmlformats.org/drawingml/2006/main"/>
              <a:p xmlns:a="http://schemas.openxmlformats.org/drawingml/2006/main">
                <a:pPr>
                  <a:defRPr/>
                </a:pPr>
                <a:r>
                  <a:rPr lang="en-GB"/>
                  <a:t>Month</a:t>
                </a:r>
              </a:p>
            </rich>
          </tx>
          <overlay val="1"/>
        </title>
        <majorTickMark val="none"/>
        <minorTickMark val="none"/>
        <tickLblPos val="nextTo"/>
        <crossAx val="100"/>
        <crosses val="autoZero"/>
        <auto val="1"/>
        <lblAlgn val="ctr"/>
        <lblOffset val="100"/>
        <noMultiLvlLbl val="1"/>
      </catAx>
      <valAx>
        <axId val="100"/>
        <scaling>
          <orientation val="minMax"/>
        </scaling>
        <delete val="1"/>
        <axPos val="l"/>
        <majorGridlines/>
        <title>
          <tx>
            <rich>
              <a:bodyPr xmlns:a="http://schemas.openxmlformats.org/drawingml/2006/main"/>
              <a:lstStyle xmlns:a="http://schemas.openxmlformats.org/drawingml/2006/main"/>
              <a:p xmlns:a="http://schemas.openxmlformats.org/drawingml/2006/main">
                <a:pPr>
                  <a:defRPr/>
                </a:pPr>
                <a:r>
                  <a:rPr lang="en-GB"/>
                  <a:t>EUR/MWh</a:t>
                </a:r>
              </a:p>
            </rich>
          </tx>
          <overlay val="1"/>
        </title>
        <numFmt formatCode="General" sourceLinked="1"/>
        <majorTickMark val="none"/>
        <minorTickMark val="none"/>
        <tickLblPos val="nextTo"/>
        <crossAx val="10"/>
        <crosses val="autoZero"/>
        <crossBetween val="between"/>
      </valAx>
    </plotArea>
    <legend>
      <legendPos val="r"/>
      <overlay val="0"/>
      <txPr>
        <a:bodyPr xmlns:a="http://schemas.openxmlformats.org/drawingml/2006/main"/>
        <a:lstStyle xmlns:a="http://schemas.openxmlformats.org/drawingml/2006/main"/>
        <a:p xmlns:a="http://schemas.openxmlformats.org/drawingml/2006/main">
          <a:pPr rtl="0">
            <a:defRPr/>
          </a:pPr>
          <a:r>
            <a:t>None</a:t>
          </a:r>
          <a:endParaRPr lang="en-DK"/>
        </a:p>
      </txPr>
    </legend>
    <plotVisOnly val="1"/>
    <dispBlanksAs val="gap"/>
  </chart>
</chartSpace>
</file>

<file path=xl/charts/chart11.xml><?xml version="1.0" encoding="utf-8"?>
<chartSpace xmlns="http://schemas.openxmlformats.org/drawingml/2006/chart">
  <chart>
    <title>
      <tx>
        <rich>
          <a:bodyPr xmlns:a="http://schemas.openxmlformats.org/drawingml/2006/main"/>
          <a:lstStyle xmlns:a="http://schemas.openxmlformats.org/drawingml/2006/main"/>
          <a:p xmlns:a="http://schemas.openxmlformats.org/drawingml/2006/main">
            <a:pPr>
              <a:defRPr/>
            </a:pPr>
            <a:r>
              <a:rPr lang="en-GB"/>
              <a:t>Monthly Spot Prices - DK1 (Primary) and DK2 (Robustness)</a:t>
            </a:r>
          </a:p>
        </rich>
      </tx>
      <overlay val="1"/>
    </title>
    <plotArea>
      <layout/>
      <lineChart>
        <grouping val="standard"/>
        <varyColors val="1"/>
        <ser>
          <idx val="0"/>
          <order val="0"/>
          <tx>
            <strRef>
              <f>'Electricity Price Data'!$B$1</f>
              <strCache>
                <ptCount val="1"/>
                <pt idx="0">
                  <v>DK1 Spot Price (EUR/MWh) — Primary</v>
                </pt>
              </strCache>
            </strRef>
          </tx>
          <spPr>
            <a:ln xmlns:a="http://schemas.openxmlformats.org/drawingml/2006/main">
              <a:solidFill>
                <a:srgbClr val="2E75B6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val>
            <numRef>
              <f>'Electricity Price Data'!$B$2:$B$85</f>
              <numCache>
                <formatCode>General</formatCode>
                <ptCount val="84"/>
                <pt idx="0">
                  <v>50.29564516129032</v>
                </pt>
                <pt idx="1">
                  <v>42.81395833333333</v>
                </pt>
                <pt idx="2">
                  <v>33.60825910931175</v>
                </pt>
                <pt idx="3">
                  <v>39.06841666666666</v>
                </pt>
                <pt idx="4">
                  <v>37.42951612903226</v>
                </pt>
                <pt idx="5">
                  <v>32.87922222222223</v>
                </pt>
                <pt idx="6">
                  <v>38.81731182795698</v>
                </pt>
                <pt idx="7">
                  <v>37.86569892473118</v>
                </pt>
                <pt idx="8">
                  <v>35.37886111111111</v>
                </pt>
                <pt idx="9">
                  <v>38.34740242261103</v>
                </pt>
                <pt idx="10">
                  <v>41.74506944444445</v>
                </pt>
                <pt idx="11">
                  <v>34.04197580645161</v>
                </pt>
                <pt idx="12">
                  <v>24.99454301075269</v>
                </pt>
                <pt idx="13">
                  <v>17.58507183908046</v>
                </pt>
                <pt idx="14">
                  <v>18.30172739541161</v>
                </pt>
                <pt idx="15">
                  <v>14.53377777777778</v>
                </pt>
                <pt idx="16">
                  <v>16.05399193548387</v>
                </pt>
                <pt idx="17">
                  <v>26.27627777777777</v>
                </pt>
                <pt idx="18">
                  <v>24.61956989247312</v>
                </pt>
                <pt idx="19">
                  <v>34.5392876344086</v>
                </pt>
                <pt idx="20">
                  <v>38.53504166666666</v>
                </pt>
                <pt idx="21">
                  <v>25.81475100942126</v>
                </pt>
                <pt idx="22">
                  <v>23.75458333333333</v>
                </pt>
                <pt idx="23">
                  <v>34.51112903225806</v>
                </pt>
                <pt idx="24">
                  <v>50.20510752688172</v>
                </pt>
                <pt idx="25">
                  <v>47.26150297619048</v>
                </pt>
                <pt idx="26">
                  <v>45.12944669365721</v>
                </pt>
                <pt idx="27">
                  <v>47.96711111111111</v>
                </pt>
                <pt idx="28">
                  <v>54.30756720430108</v>
                </pt>
                <pt idx="29">
                  <v>73.71981944444444</v>
                </pt>
                <pt idx="30">
                  <v>79.99924731182796</v>
                </pt>
                <pt idx="31">
                  <v>82.78876344086021</v>
                </pt>
                <pt idx="32">
                  <v>125.3637638888889</v>
                </pt>
                <pt idx="33">
                  <v>117.0398115746972</v>
                </pt>
                <pt idx="34">
                  <v>141.7975833333333</v>
                </pt>
                <pt idx="35">
                  <v>189.3493279569892</v>
                </pt>
                <pt idx="36">
                  <v>117.9946505376344</v>
                </pt>
                <pt idx="37">
                  <v>113.120744047619</v>
                </pt>
                <pt idx="38">
                  <v>235.8248448043185</v>
                </pt>
                <pt idx="39">
                  <v>163.6374722222222</v>
                </pt>
                <pt idx="40">
                  <v>171.8580376344086</v>
                </pt>
                <pt idx="41">
                  <v>214.43025</v>
                </pt>
                <pt idx="42">
                  <v>275.0381720430107</v>
                </pt>
                <pt idx="43">
                  <v>456.7503494623656</v>
                </pt>
                <pt idx="44">
                  <v>342.8196527777778</v>
                </pt>
                <pt idx="45">
                  <v>137.1317227456258</v>
                </pt>
                <pt idx="46">
                  <v>139.7042083333333</v>
                </pt>
                <pt idx="47">
                  <v>249.6656182795699</v>
                </pt>
                <pt idx="48">
                  <v>112.5418413978495</v>
                </pt>
                <pt idx="49">
                  <v>118.136130952381</v>
                </pt>
                <pt idx="50">
                  <v>99.11391363022942</v>
                </pt>
                <pt idx="51">
                  <v>96.27097222222223</v>
                </pt>
                <pt idx="52">
                  <v>73.96577956989248</v>
                </pt>
                <pt idx="53">
                  <v>92.49543055555556</v>
                </pt>
                <pt idx="54">
                  <v>64.81130376344086</v>
                </pt>
                <pt idx="55">
                  <v>85.96711021505376</v>
                </pt>
                <pt idx="56">
                  <v>84.73944444444444</v>
                </pt>
                <pt idx="57">
                  <v>60.10576043068641</v>
                </pt>
                <pt idx="58">
                  <v>88.15456944444445</v>
                </pt>
                <pt idx="59">
                  <v>69.48251344086022</v>
                </pt>
                <pt idx="60">
                  <v>74.71493279569893</v>
                </pt>
                <pt idx="61">
                  <v>58.63393678160919</v>
                </pt>
                <pt idx="62">
                  <v>61.22628879892038</v>
                </pt>
                <pt idx="63">
                  <v>59.16479166666667</v>
                </pt>
                <pt idx="64">
                  <v>58.51685483870968</v>
                </pt>
                <pt idx="65">
                  <v>63.75304166666667</v>
                </pt>
                <pt idx="66">
                  <v>62.03034946236559</v>
                </pt>
                <pt idx="67">
                  <v>72.95380376344086</v>
                </pt>
                <pt idx="68">
                  <v>71.71358333333333</v>
                </pt>
                <pt idx="69">
                  <v>76.7199730820996</v>
                </pt>
                <pt idx="70">
                  <v>95.90459722222222</v>
                </pt>
                <pt idx="71">
                  <v>91.83743279569893</v>
                </pt>
                <pt idx="72">
                  <v>97.96596774193547</v>
                </pt>
                <pt idx="73">
                  <v>112.8479613095238</v>
                </pt>
                <pt idx="74">
                  <v>84.34884511784512</v>
                </pt>
                <pt idx="75">
                  <v>75.16047222222223</v>
                </pt>
                <pt idx="76">
                  <v>64.23341397849462</v>
                </pt>
                <pt idx="77">
                  <v>58.784625</v>
                </pt>
                <pt idx="78">
                  <v>82.80192204301075</v>
                </pt>
                <pt idx="79">
                  <v>73.47376344086022</v>
                </pt>
                <pt idx="80">
                  <v>72.39868055555556</v>
                </pt>
                <pt idx="81">
                  <v>78.4218001345895</v>
                </pt>
                <pt idx="82">
                  <v>92.87339236111112</v>
                </pt>
                <pt idx="83">
                  <v>82.43746639784946</v>
                </pt>
              </numCache>
            </numRef>
          </val>
          <smooth val="1"/>
        </ser>
        <ser>
          <idx val="1"/>
          <order val="1"/>
          <tx>
            <strRef>
              <f>'Electricity Price Data'!$C$1</f>
              <strCache>
                <ptCount val="1"/>
                <pt idx="0">
                  <v>DK2 Spot Price (EUR/MWh) — Robustness</v>
                </pt>
              </strCache>
            </strRef>
          </tx>
          <spPr>
            <a:ln xmlns:a="http://schemas.openxmlformats.org/drawingml/2006/main">
              <a:solidFill>
                <a:srgbClr val="9DC3E6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val>
            <numRef>
              <f>'Electricity Price Data'!$C$2:$C$85</f>
              <numCache>
                <formatCode>General</formatCode>
                <ptCount val="84"/>
                <pt idx="0">
                  <v>51.65502688172042</v>
                </pt>
                <pt idx="1">
                  <v>43.93294642857143</v>
                </pt>
                <pt idx="2">
                  <v>35.66735492577597</v>
                </pt>
                <pt idx="3">
                  <v>39.89209722222223</v>
                </pt>
                <pt idx="4">
                  <v>38.15139784946236</v>
                </pt>
                <pt idx="5">
                  <v>33.62223611111111</v>
                </pt>
                <pt idx="6">
                  <v>39.0001747311828</v>
                </pt>
                <pt idx="7">
                  <v>39.49317204301075</v>
                </pt>
                <pt idx="8">
                  <v>37.32134722222222</v>
                </pt>
                <pt idx="9">
                  <v>41.59935397039031</v>
                </pt>
                <pt idx="10">
                  <v>42.69644444444445</v>
                </pt>
                <pt idx="11">
                  <v>35.34711021505376</v>
                </pt>
                <pt idx="12">
                  <v>27.38524193548387</v>
                </pt>
                <pt idx="13">
                  <v>18.81699712643678</v>
                </pt>
                <pt idx="14">
                  <v>20.05249662618084</v>
                </pt>
                <pt idx="15">
                  <v>17.35486111111111</v>
                </pt>
                <pt idx="16">
                  <v>19.04407258064516</v>
                </pt>
                <pt idx="17">
                  <v>29.82329166666667</v>
                </pt>
                <pt idx="18">
                  <v>25.88668010752688</v>
                </pt>
                <pt idx="19">
                  <v>40.92381720430107</v>
                </pt>
                <pt idx="20">
                  <v>39.51423611111111</v>
                </pt>
                <pt idx="21">
                  <v>26.93351278600269</v>
                </pt>
                <pt idx="22">
                  <v>35.71134722222222</v>
                </pt>
                <pt idx="23">
                  <v>39.25715053763441</v>
                </pt>
                <pt idx="24">
                  <v>50.85895161290323</v>
                </pt>
                <pt idx="25">
                  <v>54.54806547619048</v>
                </pt>
                <pt idx="26">
                  <v>46.73221322537112</v>
                </pt>
                <pt idx="27">
                  <v>47.86295833333334</v>
                </pt>
                <pt idx="28">
                  <v>55.20880376344086</v>
                </pt>
                <pt idx="29">
                  <v>73.58690277777778</v>
                </pt>
                <pt idx="30">
                  <v>81.44088709677419</v>
                </pt>
                <pt idx="31">
                  <v>84.36354838709678</v>
                </pt>
                <pt idx="32">
                  <v>123.9021111111111</v>
                </pt>
                <pt idx="33">
                  <v>106.9322745625841</v>
                </pt>
                <pt idx="34">
                  <v>136.3800555555555</v>
                </pt>
                <pt idx="35">
                  <v>191.0686155913978</v>
                </pt>
                <pt idx="36">
                  <v>111.6220967741935</v>
                </pt>
                <pt idx="37">
                  <v>100.2914136904762</v>
                </pt>
                <pt idx="38">
                  <v>227.9203643724696</v>
                </pt>
                <pt idx="39">
                  <v>152.8328055555556</v>
                </pt>
                <pt idx="40">
                  <v>162.6584139784946</v>
                </pt>
                <pt idx="41">
                  <v>213.2331388888889</v>
                </pt>
                <pt idx="42">
                  <v>233.4777419354839</v>
                </pt>
                <pt idx="43">
                  <v>449.7688306451613</v>
                </pt>
                <pt idx="44">
                  <v>328.8001527777778</v>
                </pt>
                <pt idx="45">
                  <v>136.8978331090175</v>
                </pt>
                <pt idx="46">
                  <v>145.0578055555555</v>
                </pt>
                <pt idx="47">
                  <v>248.8820698924731</v>
                </pt>
                <pt idx="48">
                  <v>99.76288978494622</v>
                </pt>
                <pt idx="49">
                  <v>100.6489285714286</v>
                </pt>
                <pt idx="50">
                  <v>89.79561403508772</v>
                </pt>
                <pt idx="51">
                  <v>83.65112499999999</v>
                </pt>
                <pt idx="52">
                  <v>66.15174731182796</v>
                </pt>
                <pt idx="53">
                  <v>91.42315277777777</v>
                </pt>
                <pt idx="54">
                  <v>65.24004032258064</v>
                </pt>
                <pt idx="55">
                  <v>86.29373655913979</v>
                </pt>
                <pt idx="56">
                  <v>85.48412500000001</v>
                </pt>
                <pt idx="57">
                  <v>56.92581426648721</v>
                </pt>
                <pt idx="58">
                  <v>81.48604166666667</v>
                </pt>
                <pt idx="59">
                  <v>70.87973118279569</v>
                </pt>
                <pt idx="60">
                  <v>78.21481182795699</v>
                </pt>
                <pt idx="61">
                  <v>54.72224137931035</v>
                </pt>
                <pt idx="62">
                  <v>61.0408636977058</v>
                </pt>
                <pt idx="63">
                  <v>60.47670833333333</v>
                </pt>
                <pt idx="64">
                  <v>58.12298387096774</v>
                </pt>
                <pt idx="65">
                  <v>66.79098611111111</v>
                </pt>
                <pt idx="66">
                  <v>62.84170698924731</v>
                </pt>
                <pt idx="67">
                  <v>72.61426075268818</v>
                </pt>
                <pt idx="68">
                  <v>70.41183333333333</v>
                </pt>
                <pt idx="69">
                  <v>76.32612382234186</v>
                </pt>
                <pt idx="70">
                  <v>95.28269444444443</v>
                </pt>
                <pt idx="71">
                  <v>92.72815860215054</v>
                </pt>
                <pt idx="72">
                  <v>100.1237365591398</v>
                </pt>
                <pt idx="73">
                  <v>117.9355505952381</v>
                </pt>
                <pt idx="74">
                  <v>82.84686531986532</v>
                </pt>
                <pt idx="75">
                  <v>75.80665277777778</v>
                </pt>
                <pt idx="76">
                  <v>63.08255376344086</v>
                </pt>
                <pt idx="77">
                  <v>56.44824999999999</v>
                </pt>
                <pt idx="78">
                  <v>79.95969086021506</v>
                </pt>
                <pt idx="79">
                  <v>75.31549731182795</v>
                </pt>
                <pt idx="80">
                  <v>83.28893055555555</v>
                </pt>
                <pt idx="81">
                  <v>82.36807537012113</v>
                </pt>
                <pt idx="82">
                  <v>93.69557291666666</v>
                </pt>
                <pt idx="83">
                  <v>82.08152889784947</v>
                </pt>
              </numCache>
            </numRef>
          </val>
          <smooth val="1"/>
        </ser>
        <dLbls>
          <showLegendKey val="0"/>
          <showVal val="0"/>
          <showCatName val="0"/>
          <showSerName val="0"/>
          <showPercent val="0"/>
          <showBubbleSize val="0"/>
        </dLbls>
        <smooth val="0"/>
        <axId val="10"/>
        <axId val="100"/>
      </lineChart>
      <catAx>
        <axId val="10"/>
        <scaling>
          <orientation val="minMax"/>
        </scaling>
        <delete val="1"/>
        <axPos val="b"/>
        <title>
          <tx>
            <rich>
              <a:bodyPr xmlns:a="http://schemas.openxmlformats.org/drawingml/2006/main"/>
              <a:lstStyle xmlns:a="http://schemas.openxmlformats.org/drawingml/2006/main"/>
              <a:p xmlns:a="http://schemas.openxmlformats.org/drawingml/2006/main">
                <a:pPr>
                  <a:defRPr/>
                </a:pPr>
                <a:r>
                  <a:rPr lang="en-GB"/>
                  <a:t>Month</a:t>
                </a:r>
              </a:p>
            </rich>
          </tx>
          <overlay val="1"/>
        </title>
        <majorTickMark val="none"/>
        <minorTickMark val="none"/>
        <tickLblPos val="nextTo"/>
        <crossAx val="100"/>
        <crosses val="autoZero"/>
        <auto val="1"/>
        <lblAlgn val="ctr"/>
        <lblOffset val="100"/>
        <noMultiLvlLbl val="1"/>
      </catAx>
      <valAx>
        <axId val="100"/>
        <scaling>
          <orientation val="minMax"/>
        </scaling>
        <delete val="1"/>
        <axPos val="l"/>
        <majorGridlines/>
        <title>
          <tx>
            <rich>
              <a:bodyPr xmlns:a="http://schemas.openxmlformats.org/drawingml/2006/main"/>
              <a:lstStyle xmlns:a="http://schemas.openxmlformats.org/drawingml/2006/main"/>
              <a:p xmlns:a="http://schemas.openxmlformats.org/drawingml/2006/main">
                <a:pPr>
                  <a:defRPr/>
                </a:pPr>
                <a:r>
                  <a:rPr lang="en-GB"/>
                  <a:t>EUR/MWh</a:t>
                </a:r>
              </a:p>
            </rich>
          </tx>
          <overlay val="1"/>
        </title>
        <numFmt formatCode="General" sourceLinked="1"/>
        <majorTickMark val="none"/>
        <minorTickMark val="none"/>
        <tickLblPos val="nextTo"/>
        <crossAx val="10"/>
        <crosses val="autoZero"/>
        <crossBetween val="between"/>
      </valAx>
    </plotArea>
    <legend>
      <legendPos val="r"/>
      <overlay val="1"/>
    </legend>
    <plotVisOnly val="1"/>
    <dispBlanksAs val="gap"/>
  </chart>
</chartSpace>
</file>

<file path=xl/charts/chart12.xml><?xml version="1.0" encoding="utf-8"?>
<chartSpace xmlns="http://schemas.openxmlformats.org/drawingml/2006/chart">
  <chart>
    <title>
      <tx>
        <rich>
          <a:bodyPr xmlns:a="http://schemas.openxmlformats.org/drawingml/2006/main"/>
          <a:lstStyle xmlns:a="http://schemas.openxmlformats.org/drawingml/2006/main"/>
          <a:p xmlns:a="http://schemas.openxmlformats.org/drawingml/2006/main">
            <a:pPr>
              <a:defRPr/>
            </a:pPr>
            <a:r>
              <a:rPr lang="en-GB"/>
              <a:t>DK1 De-seasonalised Price Series (Primary)</a:t>
            </a:r>
          </a:p>
        </rich>
      </tx>
      <overlay val="1"/>
    </title>
    <plotArea>
      <layout/>
      <lineChart>
        <grouping val="standard"/>
        <varyColors val="1"/>
        <ser>
          <idx val="0"/>
          <order val="0"/>
          <tx>
            <strRef>
              <f>'Electricity Price Data'!$E$1</f>
              <strCache>
                <ptCount val="1"/>
                <pt idx="0">
                  <v>DK1 De-seasonalised Price (EUR/MWh)</v>
                </pt>
              </strCache>
            </strRef>
          </tx>
          <spPr>
            <a:ln xmlns:a="http://schemas.openxmlformats.org/drawingml/2006/main">
              <a:solidFill>
                <a:srgbClr val="2E75B6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val>
            <numRef>
              <f>'Electricity Price Data'!$E$2:$E$85</f>
              <numCache>
                <formatCode>General</formatCode>
                <ptCount val="84"/>
                <pt idx="0">
                  <v>-25.23473886328725</v>
                </pt>
                <pt idx="1">
                  <v>-30.1002282723434</v>
                </pt>
                <pt idx="2">
                  <v>-48.89935882635881</v>
                </pt>
                <pt idx="3">
                  <v>-31.76058531746028</v>
                </pt>
                <pt idx="4">
                  <v>-30.62264976958527</v>
                </pt>
                <pt idx="5">
                  <v>-47.45487301587301</v>
                </pt>
                <pt idx="6">
                  <v>-50.9138133640553</v>
                </pt>
                <pt idx="7">
                  <v>-82.75412634408602</v>
                </pt>
                <pt idx="8">
                  <v>-74.75671428571428</v>
                </pt>
                <pt idx="9">
                  <v>-37.87848634877907</v>
                </pt>
                <pt idx="10">
                  <v>-47.38835962301585</v>
                </pt>
                <pt idx="11">
                  <v>-73.29023329493089</v>
                </pt>
                <pt idx="12">
                  <v>-50.53584101382489</v>
                </pt>
                <pt idx="13">
                  <v>-55.32911476659628</v>
                </pt>
                <pt idx="14">
                  <v>-64.20589054025895</v>
                </pt>
                <pt idx="15">
                  <v>-56.29522420634917</v>
                </pt>
                <pt idx="16">
                  <v>-51.99817396313366</v>
                </pt>
                <pt idx="17">
                  <v>-54.05781746031745</v>
                </pt>
                <pt idx="18">
                  <v>-65.11155529953916</v>
                </pt>
                <pt idx="19">
                  <v>-86.08053763440859</v>
                </pt>
                <pt idx="20">
                  <v>-71.60053373015873</v>
                </pt>
                <pt idx="21">
                  <v>-50.41113776196884</v>
                </pt>
                <pt idx="22">
                  <v>-65.37884573412697</v>
                </pt>
                <pt idx="23">
                  <v>-72.82108006912443</v>
                </pt>
                <pt idx="24">
                  <v>-25.32527649769585</v>
                </pt>
                <pt idx="25">
                  <v>-25.65268362948625</v>
                </pt>
                <pt idx="26">
                  <v>-37.37817124201334</v>
                </pt>
                <pt idx="27">
                  <v>-22.86189087301584</v>
                </pt>
                <pt idx="28">
                  <v>-13.74459869431645</v>
                </pt>
                <pt idx="29">
                  <v>-6.614275793650791</v>
                </pt>
                <pt idx="30">
                  <v>-9.731877880184328</v>
                </pt>
                <pt idx="31">
                  <v>-37.83106182795699</v>
                </pt>
                <pt idx="32">
                  <v>15.22818849206351</v>
                </pt>
                <pt idx="33">
                  <v>40.81392280330708</v>
                </pt>
                <pt idx="34">
                  <v>52.66415426587304</v>
                </pt>
                <pt idx="35">
                  <v>82.01711885560675</v>
                </pt>
                <pt idx="36">
                  <v>42.46426651305684</v>
                </pt>
                <pt idx="37">
                  <v>40.20655744194231</v>
                </pt>
                <pt idx="38">
                  <v>153.3172268686479</v>
                </pt>
                <pt idx="39">
                  <v>92.80847023809527</v>
                </pt>
                <pt idx="40">
                  <v>103.8058717357911</v>
                </pt>
                <pt idx="41">
                  <v>134.0961547619048</v>
                </pt>
                <pt idx="42">
                  <v>185.3070468509984</v>
                </pt>
                <pt idx="43">
                  <v>336.1305241935484</v>
                </pt>
                <pt idx="44">
                  <v>232.6840773809524</v>
                </pt>
                <pt idx="45">
                  <v>60.90583397423573</v>
                </pt>
                <pt idx="46">
                  <v>50.57077926587303</v>
                </pt>
                <pt idx="47">
                  <v>142.3334091781874</v>
                </pt>
                <pt idx="48">
                  <v>37.0114573732719</v>
                </pt>
                <pt idx="49">
                  <v>45.22194434670422</v>
                </pt>
                <pt idx="50">
                  <v>16.60629569455887</v>
                </pt>
                <pt idx="51">
                  <v>25.44197023809528</v>
                </pt>
                <pt idx="52">
                  <v>5.913613671274945</v>
                </pt>
                <pt idx="53">
                  <v>12.16133531746033</v>
                </pt>
                <pt idx="54">
                  <v>-24.91982142857142</v>
                </pt>
                <pt idx="55">
                  <v>-34.65271505376343</v>
                </pt>
                <pt idx="56">
                  <v>-25.39613095238094</v>
                </pt>
                <pt idx="57">
                  <v>-16.12012834070369</v>
                </pt>
                <pt idx="58">
                  <v>-0.9788596230158504</v>
                </pt>
                <pt idx="59">
                  <v>-37.84969566052227</v>
                </pt>
                <pt idx="60">
                  <v>-0.8154512288786435</v>
                </pt>
                <pt idx="61">
                  <v>-14.28024982406754</v>
                </pt>
                <pt idx="62">
                  <v>-21.28132913675017</v>
                </pt>
                <pt idx="63">
                  <v>-11.66421031746028</v>
                </pt>
                <pt idx="64">
                  <v>-9.535311059907855</v>
                </pt>
                <pt idx="65">
                  <v>-16.58105357142856</v>
                </pt>
                <pt idx="66">
                  <v>-27.70077572964669</v>
                </pt>
                <pt idx="67">
                  <v>-47.66602150537634</v>
                </pt>
                <pt idx="68">
                  <v>-38.42199206349206</v>
                </pt>
                <pt idx="69">
                  <v>0.4940843107094963</v>
                </pt>
                <pt idx="70">
                  <v>6.771168154761924</v>
                </pt>
                <pt idx="71">
                  <v>-15.49477630568356</v>
                </pt>
                <pt idx="72">
                  <v>22.4355837173579</v>
                </pt>
                <pt idx="73">
                  <v>39.93377470384708</v>
                </pt>
                <pt idx="74">
                  <v>1.841227182174563</v>
                </pt>
                <pt idx="75">
                  <v>4.331470238095278</v>
                </pt>
                <pt idx="76">
                  <v>-3.818751920122907</v>
                </pt>
                <pt idx="77">
                  <v>-21.54947023809523</v>
                </pt>
                <pt idx="78">
                  <v>-6.929203149001538</v>
                </pt>
                <pt idx="79">
                  <v>-47.14606182795697</v>
                </pt>
                <pt idx="80">
                  <v>-37.73689484126983</v>
                </pt>
                <pt idx="81">
                  <v>2.1959113631994</v>
                </pt>
                <pt idx="82">
                  <v>3.739963293650817</v>
                </pt>
                <pt idx="83">
                  <v>-24.89474270353303</v>
                </pt>
              </numCache>
            </numRef>
          </val>
          <smooth val="1"/>
        </ser>
        <dLbls>
          <showLegendKey val="0"/>
          <showVal val="0"/>
          <showCatName val="0"/>
          <showSerName val="0"/>
          <showPercent val="0"/>
          <showBubbleSize val="0"/>
        </dLbls>
        <smooth val="0"/>
        <axId val="10"/>
        <axId val="100"/>
      </lineChart>
      <catAx>
        <axId val="10"/>
        <scaling>
          <orientation val="minMax"/>
        </scaling>
        <delete val="1"/>
        <axPos val="b"/>
        <title>
          <tx>
            <rich>
              <a:bodyPr xmlns:a="http://schemas.openxmlformats.org/drawingml/2006/main"/>
              <a:lstStyle xmlns:a="http://schemas.openxmlformats.org/drawingml/2006/main"/>
              <a:p xmlns:a="http://schemas.openxmlformats.org/drawingml/2006/main">
                <a:pPr>
                  <a:defRPr/>
                </a:pPr>
                <a:r>
                  <a:rPr lang="en-GB"/>
                  <a:t>Month</a:t>
                </a:r>
              </a:p>
            </rich>
          </tx>
          <overlay val="1"/>
        </title>
        <majorTickMark val="none"/>
        <minorTickMark val="none"/>
        <tickLblPos val="nextTo"/>
        <crossAx val="100"/>
        <crosses val="autoZero"/>
        <auto val="1"/>
        <lblAlgn val="ctr"/>
        <lblOffset val="100"/>
        <noMultiLvlLbl val="1"/>
      </catAx>
      <valAx>
        <axId val="100"/>
        <scaling>
          <orientation val="minMax"/>
        </scaling>
        <delete val="1"/>
        <axPos val="l"/>
        <majorGridlines/>
        <title>
          <tx>
            <rich>
              <a:bodyPr xmlns:a="http://schemas.openxmlformats.org/drawingml/2006/main"/>
              <a:lstStyle xmlns:a="http://schemas.openxmlformats.org/drawingml/2006/main"/>
              <a:p xmlns:a="http://schemas.openxmlformats.org/drawingml/2006/main">
                <a:pPr>
                  <a:defRPr/>
                </a:pPr>
                <a:r>
                  <a:rPr lang="en-GB"/>
                  <a:t>EUR/MWh</a:t>
                </a:r>
              </a:p>
            </rich>
          </tx>
          <overlay val="1"/>
        </title>
        <numFmt formatCode="General" sourceLinked="1"/>
        <majorTickMark val="none"/>
        <minorTickMark val="none"/>
        <tickLblPos val="nextTo"/>
        <crossAx val="10"/>
        <crosses val="autoZero"/>
        <crossBetween val="between"/>
      </valAx>
    </plotArea>
    <legend>
      <legendPos val="r"/>
      <overlay val="0"/>
      <txPr>
        <a:bodyPr xmlns:a="http://schemas.openxmlformats.org/drawingml/2006/main"/>
        <a:lstStyle xmlns:a="http://schemas.openxmlformats.org/drawingml/2006/main"/>
        <a:p xmlns:a="http://schemas.openxmlformats.org/drawingml/2006/main">
          <a:pPr rtl="0">
            <a:defRPr/>
          </a:pPr>
          <a:r>
            <a:t>None</a:t>
          </a:r>
          <a:endParaRPr lang="en-DK"/>
        </a:p>
      </txPr>
    </legend>
    <plotVisOnly val="1"/>
    <dispBlanksAs val="gap"/>
  </chart>
</chartSpace>
</file>

<file path=xl/charts/chart13.xml><?xml version="1.0" encoding="utf-8"?>
<chartSpace xmlns="http://schemas.openxmlformats.org/drawingml/2006/chart">
  <chart>
    <title>
      <tx>
        <rich>
          <a:bodyPr xmlns:a="http://schemas.openxmlformats.org/drawingml/2006/main"/>
          <a:lstStyle xmlns:a="http://schemas.openxmlformats.org/drawingml/2006/main"/>
          <a:p xmlns:a="http://schemas.openxmlformats.org/drawingml/2006/main">
            <a:pPr>
              <a:defRPr/>
            </a:pPr>
            <a:r>
              <a:rPr lang="en-GB"/>
              <a:t>Monthly Spot Prices - DK1 (Primary) and DK2 (Robustness)</a:t>
            </a:r>
          </a:p>
        </rich>
      </tx>
      <overlay val="1"/>
    </title>
    <plotArea>
      <layout/>
      <lineChart>
        <grouping val="standard"/>
        <varyColors val="1"/>
        <ser>
          <idx val="0"/>
          <order val="0"/>
          <tx>
            <strRef>
              <f>'Electricity Price Data'!$B$1</f>
              <strCache>
                <ptCount val="1"/>
                <pt idx="0">
                  <v>DK1 Spot Price (EUR/MWh) — Primary</v>
                </pt>
              </strCache>
            </strRef>
          </tx>
          <spPr>
            <a:ln xmlns:a="http://schemas.openxmlformats.org/drawingml/2006/main">
              <a:solidFill>
                <a:srgbClr val="2E75B6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val>
            <numRef>
              <f>'Electricity Price Data'!$B$2:$B$85</f>
              <numCache>
                <formatCode>General</formatCode>
                <ptCount val="84"/>
                <pt idx="0">
                  <v>50.29564516129032</v>
                </pt>
                <pt idx="1">
                  <v>42.81395833333333</v>
                </pt>
                <pt idx="2">
                  <v>33.60825910931175</v>
                </pt>
                <pt idx="3">
                  <v>39.06841666666666</v>
                </pt>
                <pt idx="4">
                  <v>37.42951612903226</v>
                </pt>
                <pt idx="5">
                  <v>32.87922222222223</v>
                </pt>
                <pt idx="6">
                  <v>38.81731182795698</v>
                </pt>
                <pt idx="7">
                  <v>37.86569892473118</v>
                </pt>
                <pt idx="8">
                  <v>35.37886111111111</v>
                </pt>
                <pt idx="9">
                  <v>38.34740242261103</v>
                </pt>
                <pt idx="10">
                  <v>41.74506944444445</v>
                </pt>
                <pt idx="11">
                  <v>34.04197580645161</v>
                </pt>
                <pt idx="12">
                  <v>24.99454301075269</v>
                </pt>
                <pt idx="13">
                  <v>17.58507183908046</v>
                </pt>
                <pt idx="14">
                  <v>18.30172739541161</v>
                </pt>
                <pt idx="15">
                  <v>14.53377777777778</v>
                </pt>
                <pt idx="16">
                  <v>16.05399193548387</v>
                </pt>
                <pt idx="17">
                  <v>26.27627777777777</v>
                </pt>
                <pt idx="18">
                  <v>24.61956989247312</v>
                </pt>
                <pt idx="19">
                  <v>34.5392876344086</v>
                </pt>
                <pt idx="20">
                  <v>38.53504166666666</v>
                </pt>
                <pt idx="21">
                  <v>25.81475100942126</v>
                </pt>
                <pt idx="22">
                  <v>23.75458333333333</v>
                </pt>
                <pt idx="23">
                  <v>34.51112903225806</v>
                </pt>
                <pt idx="24">
                  <v>50.20510752688172</v>
                </pt>
                <pt idx="25">
                  <v>47.26150297619048</v>
                </pt>
                <pt idx="26">
                  <v>45.12944669365721</v>
                </pt>
                <pt idx="27">
                  <v>47.96711111111111</v>
                </pt>
                <pt idx="28">
                  <v>54.30756720430108</v>
                </pt>
                <pt idx="29">
                  <v>73.71981944444444</v>
                </pt>
                <pt idx="30">
                  <v>79.99924731182796</v>
                </pt>
                <pt idx="31">
                  <v>82.78876344086021</v>
                </pt>
                <pt idx="32">
                  <v>125.3637638888889</v>
                </pt>
                <pt idx="33">
                  <v>117.0398115746972</v>
                </pt>
                <pt idx="34">
                  <v>141.7975833333333</v>
                </pt>
                <pt idx="35">
                  <v>189.3493279569892</v>
                </pt>
                <pt idx="36">
                  <v>117.9946505376344</v>
                </pt>
                <pt idx="37">
                  <v>113.120744047619</v>
                </pt>
                <pt idx="38">
                  <v>235.8248448043185</v>
                </pt>
                <pt idx="39">
                  <v>163.6374722222222</v>
                </pt>
                <pt idx="40">
                  <v>171.8580376344086</v>
                </pt>
                <pt idx="41">
                  <v>214.43025</v>
                </pt>
                <pt idx="42">
                  <v>275.0381720430107</v>
                </pt>
                <pt idx="43">
                  <v>456.7503494623656</v>
                </pt>
                <pt idx="44">
                  <v>342.8196527777778</v>
                </pt>
                <pt idx="45">
                  <v>137.1317227456258</v>
                </pt>
                <pt idx="46">
                  <v>139.7042083333333</v>
                </pt>
                <pt idx="47">
                  <v>249.6656182795699</v>
                </pt>
                <pt idx="48">
                  <v>112.5418413978495</v>
                </pt>
                <pt idx="49">
                  <v>118.136130952381</v>
                </pt>
                <pt idx="50">
                  <v>99.11391363022942</v>
                </pt>
                <pt idx="51">
                  <v>96.27097222222223</v>
                </pt>
                <pt idx="52">
                  <v>73.96577956989248</v>
                </pt>
                <pt idx="53">
                  <v>92.49543055555556</v>
                </pt>
                <pt idx="54">
                  <v>64.81130376344086</v>
                </pt>
                <pt idx="55">
                  <v>85.96711021505376</v>
                </pt>
                <pt idx="56">
                  <v>84.73944444444444</v>
                </pt>
                <pt idx="57">
                  <v>60.10576043068641</v>
                </pt>
                <pt idx="58">
                  <v>88.15456944444445</v>
                </pt>
                <pt idx="59">
                  <v>69.48251344086022</v>
                </pt>
                <pt idx="60">
                  <v>74.71493279569893</v>
                </pt>
                <pt idx="61">
                  <v>58.63393678160919</v>
                </pt>
                <pt idx="62">
                  <v>61.22628879892038</v>
                </pt>
                <pt idx="63">
                  <v>59.16479166666667</v>
                </pt>
                <pt idx="64">
                  <v>58.51685483870968</v>
                </pt>
                <pt idx="65">
                  <v>63.75304166666667</v>
                </pt>
                <pt idx="66">
                  <v>62.03034946236559</v>
                </pt>
                <pt idx="67">
                  <v>72.95380376344086</v>
                </pt>
                <pt idx="68">
                  <v>71.71358333333333</v>
                </pt>
                <pt idx="69">
                  <v>76.7199730820996</v>
                </pt>
                <pt idx="70">
                  <v>95.90459722222222</v>
                </pt>
                <pt idx="71">
                  <v>91.83743279569893</v>
                </pt>
                <pt idx="72">
                  <v>97.96596774193547</v>
                </pt>
                <pt idx="73">
                  <v>112.8479613095238</v>
                </pt>
                <pt idx="74">
                  <v>84.34884511784512</v>
                </pt>
                <pt idx="75">
                  <v>75.16047222222223</v>
                </pt>
                <pt idx="76">
                  <v>64.23341397849462</v>
                </pt>
                <pt idx="77">
                  <v>58.784625</v>
                </pt>
                <pt idx="78">
                  <v>82.80192204301075</v>
                </pt>
                <pt idx="79">
                  <v>73.47376344086022</v>
                </pt>
                <pt idx="80">
                  <v>72.39868055555556</v>
                </pt>
                <pt idx="81">
                  <v>78.4218001345895</v>
                </pt>
                <pt idx="82">
                  <v>92.87339236111112</v>
                </pt>
                <pt idx="83">
                  <v>82.43746639784946</v>
                </pt>
              </numCache>
            </numRef>
          </val>
          <smooth val="1"/>
        </ser>
        <ser>
          <idx val="1"/>
          <order val="1"/>
          <tx>
            <strRef>
              <f>'Electricity Price Data'!$C$1</f>
              <strCache>
                <ptCount val="1"/>
                <pt idx="0">
                  <v>DK2 Spot Price (EUR/MWh) — Robustness</v>
                </pt>
              </strCache>
            </strRef>
          </tx>
          <spPr>
            <a:ln xmlns:a="http://schemas.openxmlformats.org/drawingml/2006/main">
              <a:solidFill>
                <a:srgbClr val="9DC3E6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val>
            <numRef>
              <f>'Electricity Price Data'!$C$2:$C$85</f>
              <numCache>
                <formatCode>General</formatCode>
                <ptCount val="84"/>
                <pt idx="0">
                  <v>51.65502688172042</v>
                </pt>
                <pt idx="1">
                  <v>43.93294642857143</v>
                </pt>
                <pt idx="2">
                  <v>35.66735492577597</v>
                </pt>
                <pt idx="3">
                  <v>39.89209722222223</v>
                </pt>
                <pt idx="4">
                  <v>38.15139784946236</v>
                </pt>
                <pt idx="5">
                  <v>33.62223611111111</v>
                </pt>
                <pt idx="6">
                  <v>39.0001747311828</v>
                </pt>
                <pt idx="7">
                  <v>39.49317204301075</v>
                </pt>
                <pt idx="8">
                  <v>37.32134722222222</v>
                </pt>
                <pt idx="9">
                  <v>41.59935397039031</v>
                </pt>
                <pt idx="10">
                  <v>42.69644444444445</v>
                </pt>
                <pt idx="11">
                  <v>35.34711021505376</v>
                </pt>
                <pt idx="12">
                  <v>27.38524193548387</v>
                </pt>
                <pt idx="13">
                  <v>18.81699712643678</v>
                </pt>
                <pt idx="14">
                  <v>20.05249662618084</v>
                </pt>
                <pt idx="15">
                  <v>17.35486111111111</v>
                </pt>
                <pt idx="16">
                  <v>19.04407258064516</v>
                </pt>
                <pt idx="17">
                  <v>29.82329166666667</v>
                </pt>
                <pt idx="18">
                  <v>25.88668010752688</v>
                </pt>
                <pt idx="19">
                  <v>40.92381720430107</v>
                </pt>
                <pt idx="20">
                  <v>39.51423611111111</v>
                </pt>
                <pt idx="21">
                  <v>26.93351278600269</v>
                </pt>
                <pt idx="22">
                  <v>35.71134722222222</v>
                </pt>
                <pt idx="23">
                  <v>39.25715053763441</v>
                </pt>
                <pt idx="24">
                  <v>50.85895161290323</v>
                </pt>
                <pt idx="25">
                  <v>54.54806547619048</v>
                </pt>
                <pt idx="26">
                  <v>46.73221322537112</v>
                </pt>
                <pt idx="27">
                  <v>47.86295833333334</v>
                </pt>
                <pt idx="28">
                  <v>55.20880376344086</v>
                </pt>
                <pt idx="29">
                  <v>73.58690277777778</v>
                </pt>
                <pt idx="30">
                  <v>81.44088709677419</v>
                </pt>
                <pt idx="31">
                  <v>84.36354838709678</v>
                </pt>
                <pt idx="32">
                  <v>123.9021111111111</v>
                </pt>
                <pt idx="33">
                  <v>106.9322745625841</v>
                </pt>
                <pt idx="34">
                  <v>136.3800555555555</v>
                </pt>
                <pt idx="35">
                  <v>191.0686155913978</v>
                </pt>
                <pt idx="36">
                  <v>111.6220967741935</v>
                </pt>
                <pt idx="37">
                  <v>100.2914136904762</v>
                </pt>
                <pt idx="38">
                  <v>227.9203643724696</v>
                </pt>
                <pt idx="39">
                  <v>152.8328055555556</v>
                </pt>
                <pt idx="40">
                  <v>162.6584139784946</v>
                </pt>
                <pt idx="41">
                  <v>213.2331388888889</v>
                </pt>
                <pt idx="42">
                  <v>233.4777419354839</v>
                </pt>
                <pt idx="43">
                  <v>449.7688306451613</v>
                </pt>
                <pt idx="44">
                  <v>328.8001527777778</v>
                </pt>
                <pt idx="45">
                  <v>136.8978331090175</v>
                </pt>
                <pt idx="46">
                  <v>145.0578055555555</v>
                </pt>
                <pt idx="47">
                  <v>248.8820698924731</v>
                </pt>
                <pt idx="48">
                  <v>99.76288978494622</v>
                </pt>
                <pt idx="49">
                  <v>100.6489285714286</v>
                </pt>
                <pt idx="50">
                  <v>89.79561403508772</v>
                </pt>
                <pt idx="51">
                  <v>83.65112499999999</v>
                </pt>
                <pt idx="52">
                  <v>66.15174731182796</v>
                </pt>
                <pt idx="53">
                  <v>91.42315277777777</v>
                </pt>
                <pt idx="54">
                  <v>65.24004032258064</v>
                </pt>
                <pt idx="55">
                  <v>86.29373655913979</v>
                </pt>
                <pt idx="56">
                  <v>85.48412500000001</v>
                </pt>
                <pt idx="57">
                  <v>56.92581426648721</v>
                </pt>
                <pt idx="58">
                  <v>81.48604166666667</v>
                </pt>
                <pt idx="59">
                  <v>70.87973118279569</v>
                </pt>
                <pt idx="60">
                  <v>78.21481182795699</v>
                </pt>
                <pt idx="61">
                  <v>54.72224137931035</v>
                </pt>
                <pt idx="62">
                  <v>61.0408636977058</v>
                </pt>
                <pt idx="63">
                  <v>60.47670833333333</v>
                </pt>
                <pt idx="64">
                  <v>58.12298387096774</v>
                </pt>
                <pt idx="65">
                  <v>66.79098611111111</v>
                </pt>
                <pt idx="66">
                  <v>62.84170698924731</v>
                </pt>
                <pt idx="67">
                  <v>72.61426075268818</v>
                </pt>
                <pt idx="68">
                  <v>70.41183333333333</v>
                </pt>
                <pt idx="69">
                  <v>76.32612382234186</v>
                </pt>
                <pt idx="70">
                  <v>95.28269444444443</v>
                </pt>
                <pt idx="71">
                  <v>92.72815860215054</v>
                </pt>
                <pt idx="72">
                  <v>100.1237365591398</v>
                </pt>
                <pt idx="73">
                  <v>117.9355505952381</v>
                </pt>
                <pt idx="74">
                  <v>82.84686531986532</v>
                </pt>
                <pt idx="75">
                  <v>75.80665277777778</v>
                </pt>
                <pt idx="76">
                  <v>63.08255376344086</v>
                </pt>
                <pt idx="77">
                  <v>56.44824999999999</v>
                </pt>
                <pt idx="78">
                  <v>79.95969086021506</v>
                </pt>
                <pt idx="79">
                  <v>75.31549731182795</v>
                </pt>
                <pt idx="80">
                  <v>83.28893055555555</v>
                </pt>
                <pt idx="81">
                  <v>82.36807537012113</v>
                </pt>
                <pt idx="82">
                  <v>93.69557291666666</v>
                </pt>
                <pt idx="83">
                  <v>82.08152889784947</v>
                </pt>
              </numCache>
            </numRef>
          </val>
          <smooth val="1"/>
        </ser>
        <dLbls>
          <showLegendKey val="0"/>
          <showVal val="0"/>
          <showCatName val="0"/>
          <showSerName val="0"/>
          <showPercent val="0"/>
          <showBubbleSize val="0"/>
        </dLbls>
        <smooth val="0"/>
        <axId val="10"/>
        <axId val="100"/>
      </lineChart>
      <catAx>
        <axId val="10"/>
        <scaling>
          <orientation val="minMax"/>
        </scaling>
        <delete val="1"/>
        <axPos val="b"/>
        <title>
          <tx>
            <rich>
              <a:bodyPr xmlns:a="http://schemas.openxmlformats.org/drawingml/2006/main"/>
              <a:lstStyle xmlns:a="http://schemas.openxmlformats.org/drawingml/2006/main"/>
              <a:p xmlns:a="http://schemas.openxmlformats.org/drawingml/2006/main">
                <a:pPr>
                  <a:defRPr/>
                </a:pPr>
                <a:r>
                  <a:rPr lang="en-GB"/>
                  <a:t>Month</a:t>
                </a:r>
              </a:p>
            </rich>
          </tx>
          <overlay val="1"/>
        </title>
        <majorTickMark val="none"/>
        <minorTickMark val="none"/>
        <tickLblPos val="nextTo"/>
        <crossAx val="100"/>
        <crosses val="autoZero"/>
        <auto val="1"/>
        <lblAlgn val="ctr"/>
        <lblOffset val="100"/>
        <noMultiLvlLbl val="1"/>
      </catAx>
      <valAx>
        <axId val="100"/>
        <scaling>
          <orientation val="minMax"/>
        </scaling>
        <delete val="1"/>
        <axPos val="l"/>
        <majorGridlines/>
        <title>
          <tx>
            <rich>
              <a:bodyPr xmlns:a="http://schemas.openxmlformats.org/drawingml/2006/main"/>
              <a:lstStyle xmlns:a="http://schemas.openxmlformats.org/drawingml/2006/main"/>
              <a:p xmlns:a="http://schemas.openxmlformats.org/drawingml/2006/main">
                <a:pPr>
                  <a:defRPr/>
                </a:pPr>
                <a:r>
                  <a:rPr lang="en-GB"/>
                  <a:t>EUR/MWh</a:t>
                </a:r>
              </a:p>
            </rich>
          </tx>
          <overlay val="1"/>
        </title>
        <numFmt formatCode="General" sourceLinked="1"/>
        <majorTickMark val="none"/>
        <minorTickMark val="none"/>
        <tickLblPos val="nextTo"/>
        <crossAx val="10"/>
        <crosses val="autoZero"/>
        <crossBetween val="between"/>
      </valAx>
    </plotArea>
    <legend>
      <legendPos val="r"/>
      <overlay val="1"/>
    </legend>
    <plotVisOnly val="1"/>
    <dispBlanksAs val="gap"/>
  </chart>
</chartSpace>
</file>

<file path=xl/charts/chart14.xml><?xml version="1.0" encoding="utf-8"?>
<chartSpace xmlns="http://schemas.openxmlformats.org/drawingml/2006/chart">
  <chart>
    <title>
      <tx>
        <rich>
          <a:bodyPr xmlns:a="http://schemas.openxmlformats.org/drawingml/2006/main"/>
          <a:lstStyle xmlns:a="http://schemas.openxmlformats.org/drawingml/2006/main"/>
          <a:p xmlns:a="http://schemas.openxmlformats.org/drawingml/2006/main">
            <a:pPr>
              <a:defRPr/>
            </a:pPr>
            <a:r>
              <a:rPr lang="en-GB"/>
              <a:t>DK1 De-seasonalised Price Series (Primary)</a:t>
            </a:r>
          </a:p>
        </rich>
      </tx>
      <overlay val="1"/>
    </title>
    <plotArea>
      <layout/>
      <lineChart>
        <grouping val="standard"/>
        <varyColors val="1"/>
        <ser>
          <idx val="0"/>
          <order val="0"/>
          <tx>
            <strRef>
              <f>'Electricity Price Data'!$E$1</f>
              <strCache>
                <ptCount val="1"/>
                <pt idx="0">
                  <v>DK1 De-seasonalised Price (EUR/MWh)</v>
                </pt>
              </strCache>
            </strRef>
          </tx>
          <spPr>
            <a:ln xmlns:a="http://schemas.openxmlformats.org/drawingml/2006/main">
              <a:solidFill>
                <a:srgbClr val="2E75B6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val>
            <numRef>
              <f>'Electricity Price Data'!$E$2:$E$85</f>
              <numCache>
                <formatCode>General</formatCode>
                <ptCount val="84"/>
                <pt idx="0">
                  <v>-25.23473886328725</v>
                </pt>
                <pt idx="1">
                  <v>-30.1002282723434</v>
                </pt>
                <pt idx="2">
                  <v>-48.89935882635881</v>
                </pt>
                <pt idx="3">
                  <v>-31.76058531746028</v>
                </pt>
                <pt idx="4">
                  <v>-30.62264976958527</v>
                </pt>
                <pt idx="5">
                  <v>-47.45487301587301</v>
                </pt>
                <pt idx="6">
                  <v>-50.9138133640553</v>
                </pt>
                <pt idx="7">
                  <v>-82.75412634408602</v>
                </pt>
                <pt idx="8">
                  <v>-74.75671428571428</v>
                </pt>
                <pt idx="9">
                  <v>-37.87848634877907</v>
                </pt>
                <pt idx="10">
                  <v>-47.38835962301585</v>
                </pt>
                <pt idx="11">
                  <v>-73.29023329493089</v>
                </pt>
                <pt idx="12">
                  <v>-50.53584101382489</v>
                </pt>
                <pt idx="13">
                  <v>-55.32911476659628</v>
                </pt>
                <pt idx="14">
                  <v>-64.20589054025895</v>
                </pt>
                <pt idx="15">
                  <v>-56.29522420634917</v>
                </pt>
                <pt idx="16">
                  <v>-51.99817396313366</v>
                </pt>
                <pt idx="17">
                  <v>-54.05781746031745</v>
                </pt>
                <pt idx="18">
                  <v>-65.11155529953916</v>
                </pt>
                <pt idx="19">
                  <v>-86.08053763440859</v>
                </pt>
                <pt idx="20">
                  <v>-71.60053373015873</v>
                </pt>
                <pt idx="21">
                  <v>-50.41113776196884</v>
                </pt>
                <pt idx="22">
                  <v>-65.37884573412697</v>
                </pt>
                <pt idx="23">
                  <v>-72.82108006912443</v>
                </pt>
                <pt idx="24">
                  <v>-25.32527649769585</v>
                </pt>
                <pt idx="25">
                  <v>-25.65268362948625</v>
                </pt>
                <pt idx="26">
                  <v>-37.37817124201334</v>
                </pt>
                <pt idx="27">
                  <v>-22.86189087301584</v>
                </pt>
                <pt idx="28">
                  <v>-13.74459869431645</v>
                </pt>
                <pt idx="29">
                  <v>-6.614275793650791</v>
                </pt>
                <pt idx="30">
                  <v>-9.731877880184328</v>
                </pt>
                <pt idx="31">
                  <v>-37.83106182795699</v>
                </pt>
                <pt idx="32">
                  <v>15.22818849206351</v>
                </pt>
                <pt idx="33">
                  <v>40.81392280330708</v>
                </pt>
                <pt idx="34">
                  <v>52.66415426587304</v>
                </pt>
                <pt idx="35">
                  <v>82.01711885560675</v>
                </pt>
                <pt idx="36">
                  <v>42.46426651305684</v>
                </pt>
                <pt idx="37">
                  <v>40.20655744194231</v>
                </pt>
                <pt idx="38">
                  <v>153.3172268686479</v>
                </pt>
                <pt idx="39">
                  <v>92.80847023809527</v>
                </pt>
                <pt idx="40">
                  <v>103.8058717357911</v>
                </pt>
                <pt idx="41">
                  <v>134.0961547619048</v>
                </pt>
                <pt idx="42">
                  <v>185.3070468509984</v>
                </pt>
                <pt idx="43">
                  <v>336.1305241935484</v>
                </pt>
                <pt idx="44">
                  <v>232.6840773809524</v>
                </pt>
                <pt idx="45">
                  <v>60.90583397423573</v>
                </pt>
                <pt idx="46">
                  <v>50.57077926587303</v>
                </pt>
                <pt idx="47">
                  <v>142.3334091781874</v>
                </pt>
                <pt idx="48">
                  <v>37.0114573732719</v>
                </pt>
                <pt idx="49">
                  <v>45.22194434670422</v>
                </pt>
                <pt idx="50">
                  <v>16.60629569455887</v>
                </pt>
                <pt idx="51">
                  <v>25.44197023809528</v>
                </pt>
                <pt idx="52">
                  <v>5.913613671274945</v>
                </pt>
                <pt idx="53">
                  <v>12.16133531746033</v>
                </pt>
                <pt idx="54">
                  <v>-24.91982142857142</v>
                </pt>
                <pt idx="55">
                  <v>-34.65271505376343</v>
                </pt>
                <pt idx="56">
                  <v>-25.39613095238094</v>
                </pt>
                <pt idx="57">
                  <v>-16.12012834070369</v>
                </pt>
                <pt idx="58">
                  <v>-0.9788596230158504</v>
                </pt>
                <pt idx="59">
                  <v>-37.84969566052227</v>
                </pt>
                <pt idx="60">
                  <v>-0.8154512288786435</v>
                </pt>
                <pt idx="61">
                  <v>-14.28024982406754</v>
                </pt>
                <pt idx="62">
                  <v>-21.28132913675017</v>
                </pt>
                <pt idx="63">
                  <v>-11.66421031746028</v>
                </pt>
                <pt idx="64">
                  <v>-9.535311059907855</v>
                </pt>
                <pt idx="65">
                  <v>-16.58105357142856</v>
                </pt>
                <pt idx="66">
                  <v>-27.70077572964669</v>
                </pt>
                <pt idx="67">
                  <v>-47.66602150537634</v>
                </pt>
                <pt idx="68">
                  <v>-38.42199206349206</v>
                </pt>
                <pt idx="69">
                  <v>0.4940843107094963</v>
                </pt>
                <pt idx="70">
                  <v>6.771168154761924</v>
                </pt>
                <pt idx="71">
                  <v>-15.49477630568356</v>
                </pt>
                <pt idx="72">
                  <v>22.4355837173579</v>
                </pt>
                <pt idx="73">
                  <v>39.93377470384708</v>
                </pt>
                <pt idx="74">
                  <v>1.841227182174563</v>
                </pt>
                <pt idx="75">
                  <v>4.331470238095278</v>
                </pt>
                <pt idx="76">
                  <v>-3.818751920122907</v>
                </pt>
                <pt idx="77">
                  <v>-21.54947023809523</v>
                </pt>
                <pt idx="78">
                  <v>-6.929203149001538</v>
                </pt>
                <pt idx="79">
                  <v>-47.14606182795697</v>
                </pt>
                <pt idx="80">
                  <v>-37.73689484126983</v>
                </pt>
                <pt idx="81">
                  <v>2.1959113631994</v>
                </pt>
                <pt idx="82">
                  <v>3.739963293650817</v>
                </pt>
                <pt idx="83">
                  <v>-24.89474270353303</v>
                </pt>
              </numCache>
            </numRef>
          </val>
          <smooth val="1"/>
        </ser>
        <dLbls>
          <showLegendKey val="0"/>
          <showVal val="0"/>
          <showCatName val="0"/>
          <showSerName val="0"/>
          <showPercent val="0"/>
          <showBubbleSize val="0"/>
        </dLbls>
        <smooth val="0"/>
        <axId val="10"/>
        <axId val="100"/>
      </lineChart>
      <catAx>
        <axId val="10"/>
        <scaling>
          <orientation val="minMax"/>
        </scaling>
        <delete val="1"/>
        <axPos val="b"/>
        <title>
          <tx>
            <rich>
              <a:bodyPr xmlns:a="http://schemas.openxmlformats.org/drawingml/2006/main"/>
              <a:lstStyle xmlns:a="http://schemas.openxmlformats.org/drawingml/2006/main"/>
              <a:p xmlns:a="http://schemas.openxmlformats.org/drawingml/2006/main">
                <a:pPr>
                  <a:defRPr/>
                </a:pPr>
                <a:r>
                  <a:rPr lang="en-GB"/>
                  <a:t>Month</a:t>
                </a:r>
              </a:p>
            </rich>
          </tx>
          <overlay val="1"/>
        </title>
        <majorTickMark val="none"/>
        <minorTickMark val="none"/>
        <tickLblPos val="nextTo"/>
        <crossAx val="100"/>
        <crosses val="autoZero"/>
        <auto val="1"/>
        <lblAlgn val="ctr"/>
        <lblOffset val="100"/>
        <noMultiLvlLbl val="1"/>
      </catAx>
      <valAx>
        <axId val="100"/>
        <scaling>
          <orientation val="minMax"/>
        </scaling>
        <delete val="1"/>
        <axPos val="l"/>
        <majorGridlines/>
        <title>
          <tx>
            <rich>
              <a:bodyPr xmlns:a="http://schemas.openxmlformats.org/drawingml/2006/main"/>
              <a:lstStyle xmlns:a="http://schemas.openxmlformats.org/drawingml/2006/main"/>
              <a:p xmlns:a="http://schemas.openxmlformats.org/drawingml/2006/main">
                <a:pPr>
                  <a:defRPr/>
                </a:pPr>
                <a:r>
                  <a:rPr lang="en-GB"/>
                  <a:t>EUR/MWh</a:t>
                </a:r>
              </a:p>
            </rich>
          </tx>
          <overlay val="1"/>
        </title>
        <numFmt formatCode="General" sourceLinked="1"/>
        <majorTickMark val="none"/>
        <minorTickMark val="none"/>
        <tickLblPos val="nextTo"/>
        <crossAx val="10"/>
        <crosses val="autoZero"/>
        <crossBetween val="between"/>
      </valAx>
    </plotArea>
    <legend>
      <legendPos val="r"/>
      <overlay val="0"/>
      <txPr>
        <a:bodyPr xmlns:a="http://schemas.openxmlformats.org/drawingml/2006/main"/>
        <a:lstStyle xmlns:a="http://schemas.openxmlformats.org/drawingml/2006/main"/>
        <a:p xmlns:a="http://schemas.openxmlformats.org/drawingml/2006/main">
          <a:pPr rtl="0">
            <a:defRPr/>
          </a:pPr>
          <a:r>
            <a:t>None</a:t>
          </a:r>
          <a:endParaRPr lang="en-DK"/>
        </a:p>
      </txPr>
    </legend>
    <plotVisOnly val="1"/>
    <dispBlanksAs val="gap"/>
  </chart>
</chartSpace>
</file>

<file path=xl/charts/chart15.xml><?xml version="1.0" encoding="utf-8"?>
<chartSpace xmlns="http://schemas.openxmlformats.org/drawingml/2006/chart">
  <chart>
    <title>
      <tx>
        <rich>
          <a:bodyPr xmlns:a="http://schemas.openxmlformats.org/drawingml/2006/main"/>
          <a:lstStyle xmlns:a="http://schemas.openxmlformats.org/drawingml/2006/main"/>
          <a:p xmlns:a="http://schemas.openxmlformats.org/drawingml/2006/main">
            <a:pPr>
              <a:defRPr/>
            </a:pPr>
            <a:r>
              <a:rPr lang="en-GB"/>
              <a:t>Monthly Spot Prices - DK1 (Primary) and DK2 (Robustness)</a:t>
            </a:r>
          </a:p>
        </rich>
      </tx>
      <overlay val="1"/>
    </title>
    <plotArea>
      <layout/>
      <lineChart>
        <grouping val="standard"/>
        <varyColors val="1"/>
        <ser>
          <idx val="0"/>
          <order val="0"/>
          <tx>
            <strRef>
              <f>'Electricity Price Data'!$B$1</f>
              <strCache>
                <ptCount val="1"/>
                <pt idx="0">
                  <v>DK1 Spot Price (EUR/MWh) — Primary</v>
                </pt>
              </strCache>
            </strRef>
          </tx>
          <spPr>
            <a:ln xmlns:a="http://schemas.openxmlformats.org/drawingml/2006/main">
              <a:solidFill>
                <a:srgbClr val="2E75B6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val>
            <numRef>
              <f>'Electricity Price Data'!$B$2:$B$85</f>
              <numCache>
                <formatCode>General</formatCode>
                <ptCount val="84"/>
                <pt idx="0">
                  <v>50.29564516129032</v>
                </pt>
                <pt idx="1">
                  <v>42.81395833333333</v>
                </pt>
                <pt idx="2">
                  <v>33.60825910931175</v>
                </pt>
                <pt idx="3">
                  <v>39.06841666666666</v>
                </pt>
                <pt idx="4">
                  <v>37.42951612903226</v>
                </pt>
                <pt idx="5">
                  <v>32.87922222222223</v>
                </pt>
                <pt idx="6">
                  <v>38.81731182795698</v>
                </pt>
                <pt idx="7">
                  <v>37.86569892473118</v>
                </pt>
                <pt idx="8">
                  <v>35.37886111111111</v>
                </pt>
                <pt idx="9">
                  <v>38.34740242261103</v>
                </pt>
                <pt idx="10">
                  <v>41.74506944444445</v>
                </pt>
                <pt idx="11">
                  <v>34.04197580645161</v>
                </pt>
                <pt idx="12">
                  <v>24.99454301075269</v>
                </pt>
                <pt idx="13">
                  <v>17.58507183908046</v>
                </pt>
                <pt idx="14">
                  <v>18.30172739541161</v>
                </pt>
                <pt idx="15">
                  <v>14.53377777777778</v>
                </pt>
                <pt idx="16">
                  <v>16.05399193548387</v>
                </pt>
                <pt idx="17">
                  <v>26.27627777777777</v>
                </pt>
                <pt idx="18">
                  <v>24.61956989247312</v>
                </pt>
                <pt idx="19">
                  <v>34.5392876344086</v>
                </pt>
                <pt idx="20">
                  <v>38.53504166666666</v>
                </pt>
                <pt idx="21">
                  <v>25.81475100942126</v>
                </pt>
                <pt idx="22">
                  <v>23.75458333333333</v>
                </pt>
                <pt idx="23">
                  <v>34.51112903225806</v>
                </pt>
                <pt idx="24">
                  <v>50.20510752688172</v>
                </pt>
                <pt idx="25">
                  <v>47.26150297619048</v>
                </pt>
                <pt idx="26">
                  <v>45.12944669365721</v>
                </pt>
                <pt idx="27">
                  <v>47.96711111111111</v>
                </pt>
                <pt idx="28">
                  <v>54.30756720430108</v>
                </pt>
                <pt idx="29">
                  <v>73.71981944444444</v>
                </pt>
                <pt idx="30">
                  <v>79.99924731182796</v>
                </pt>
                <pt idx="31">
                  <v>82.78876344086021</v>
                </pt>
                <pt idx="32">
                  <v>125.3637638888889</v>
                </pt>
                <pt idx="33">
                  <v>117.0398115746972</v>
                </pt>
                <pt idx="34">
                  <v>141.7975833333333</v>
                </pt>
                <pt idx="35">
                  <v>189.3493279569892</v>
                </pt>
                <pt idx="36">
                  <v>117.9946505376344</v>
                </pt>
                <pt idx="37">
                  <v>113.120744047619</v>
                </pt>
                <pt idx="38">
                  <v>235.8248448043185</v>
                </pt>
                <pt idx="39">
                  <v>163.6374722222222</v>
                </pt>
                <pt idx="40">
                  <v>171.8580376344086</v>
                </pt>
                <pt idx="41">
                  <v>214.43025</v>
                </pt>
                <pt idx="42">
                  <v>275.0381720430107</v>
                </pt>
                <pt idx="43">
                  <v>456.7503494623656</v>
                </pt>
                <pt idx="44">
                  <v>342.8196527777778</v>
                </pt>
                <pt idx="45">
                  <v>137.1317227456258</v>
                </pt>
                <pt idx="46">
                  <v>139.7042083333333</v>
                </pt>
                <pt idx="47">
                  <v>249.6656182795699</v>
                </pt>
                <pt idx="48">
                  <v>112.5418413978495</v>
                </pt>
                <pt idx="49">
                  <v>118.136130952381</v>
                </pt>
                <pt idx="50">
                  <v>99.11391363022942</v>
                </pt>
                <pt idx="51">
                  <v>96.27097222222223</v>
                </pt>
                <pt idx="52">
                  <v>73.96577956989248</v>
                </pt>
                <pt idx="53">
                  <v>92.49543055555556</v>
                </pt>
                <pt idx="54">
                  <v>64.81130376344086</v>
                </pt>
                <pt idx="55">
                  <v>85.96711021505376</v>
                </pt>
                <pt idx="56">
                  <v>84.73944444444444</v>
                </pt>
                <pt idx="57">
                  <v>60.10576043068641</v>
                </pt>
                <pt idx="58">
                  <v>88.15456944444445</v>
                </pt>
                <pt idx="59">
                  <v>69.48251344086022</v>
                </pt>
                <pt idx="60">
                  <v>74.71493279569893</v>
                </pt>
                <pt idx="61">
                  <v>58.63393678160919</v>
                </pt>
                <pt idx="62">
                  <v>61.22628879892038</v>
                </pt>
                <pt idx="63">
                  <v>59.16479166666667</v>
                </pt>
                <pt idx="64">
                  <v>58.51685483870968</v>
                </pt>
                <pt idx="65">
                  <v>63.75304166666667</v>
                </pt>
                <pt idx="66">
                  <v>62.03034946236559</v>
                </pt>
                <pt idx="67">
                  <v>72.95380376344086</v>
                </pt>
                <pt idx="68">
                  <v>71.71358333333333</v>
                </pt>
                <pt idx="69">
                  <v>76.7199730820996</v>
                </pt>
                <pt idx="70">
                  <v>95.90459722222222</v>
                </pt>
                <pt idx="71">
                  <v>91.83743279569893</v>
                </pt>
                <pt idx="72">
                  <v>97.96596774193547</v>
                </pt>
                <pt idx="73">
                  <v>112.8479613095238</v>
                </pt>
                <pt idx="74">
                  <v>84.34884511784512</v>
                </pt>
                <pt idx="75">
                  <v>75.16047222222223</v>
                </pt>
                <pt idx="76">
                  <v>64.23341397849462</v>
                </pt>
                <pt idx="77">
                  <v>58.784625</v>
                </pt>
                <pt idx="78">
                  <v>82.80192204301075</v>
                </pt>
                <pt idx="79">
                  <v>73.47376344086022</v>
                </pt>
                <pt idx="80">
                  <v>72.39868055555556</v>
                </pt>
                <pt idx="81">
                  <v>78.4218001345895</v>
                </pt>
                <pt idx="82">
                  <v>92.87339236111112</v>
                </pt>
                <pt idx="83">
                  <v>82.43746639784946</v>
                </pt>
              </numCache>
            </numRef>
          </val>
          <smooth val="1"/>
        </ser>
        <ser>
          <idx val="1"/>
          <order val="1"/>
          <tx>
            <strRef>
              <f>'Electricity Price Data'!$C$1</f>
              <strCache>
                <ptCount val="1"/>
                <pt idx="0">
                  <v>DK2 Spot Price (EUR/MWh) — Robustness</v>
                </pt>
              </strCache>
            </strRef>
          </tx>
          <spPr>
            <a:ln xmlns:a="http://schemas.openxmlformats.org/drawingml/2006/main">
              <a:solidFill>
                <a:srgbClr val="9DC3E6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val>
            <numRef>
              <f>'Electricity Price Data'!$C$2:$C$85</f>
              <numCache>
                <formatCode>General</formatCode>
                <ptCount val="84"/>
                <pt idx="0">
                  <v>51.65502688172042</v>
                </pt>
                <pt idx="1">
                  <v>43.93294642857143</v>
                </pt>
                <pt idx="2">
                  <v>35.66735492577597</v>
                </pt>
                <pt idx="3">
                  <v>39.89209722222223</v>
                </pt>
                <pt idx="4">
                  <v>38.15139784946236</v>
                </pt>
                <pt idx="5">
                  <v>33.62223611111111</v>
                </pt>
                <pt idx="6">
                  <v>39.0001747311828</v>
                </pt>
                <pt idx="7">
                  <v>39.49317204301075</v>
                </pt>
                <pt idx="8">
                  <v>37.32134722222222</v>
                </pt>
                <pt idx="9">
                  <v>41.59935397039031</v>
                </pt>
                <pt idx="10">
                  <v>42.69644444444445</v>
                </pt>
                <pt idx="11">
                  <v>35.34711021505376</v>
                </pt>
                <pt idx="12">
                  <v>27.38524193548387</v>
                </pt>
                <pt idx="13">
                  <v>18.81699712643678</v>
                </pt>
                <pt idx="14">
                  <v>20.05249662618084</v>
                </pt>
                <pt idx="15">
                  <v>17.35486111111111</v>
                </pt>
                <pt idx="16">
                  <v>19.04407258064516</v>
                </pt>
                <pt idx="17">
                  <v>29.82329166666667</v>
                </pt>
                <pt idx="18">
                  <v>25.88668010752688</v>
                </pt>
                <pt idx="19">
                  <v>40.92381720430107</v>
                </pt>
                <pt idx="20">
                  <v>39.51423611111111</v>
                </pt>
                <pt idx="21">
                  <v>26.93351278600269</v>
                </pt>
                <pt idx="22">
                  <v>35.71134722222222</v>
                </pt>
                <pt idx="23">
                  <v>39.25715053763441</v>
                </pt>
                <pt idx="24">
                  <v>50.85895161290323</v>
                </pt>
                <pt idx="25">
                  <v>54.54806547619048</v>
                </pt>
                <pt idx="26">
                  <v>46.73221322537112</v>
                </pt>
                <pt idx="27">
                  <v>47.86295833333334</v>
                </pt>
                <pt idx="28">
                  <v>55.20880376344086</v>
                </pt>
                <pt idx="29">
                  <v>73.58690277777778</v>
                </pt>
                <pt idx="30">
                  <v>81.44088709677419</v>
                </pt>
                <pt idx="31">
                  <v>84.36354838709678</v>
                </pt>
                <pt idx="32">
                  <v>123.9021111111111</v>
                </pt>
                <pt idx="33">
                  <v>106.9322745625841</v>
                </pt>
                <pt idx="34">
                  <v>136.3800555555555</v>
                </pt>
                <pt idx="35">
                  <v>191.0686155913978</v>
                </pt>
                <pt idx="36">
                  <v>111.6220967741935</v>
                </pt>
                <pt idx="37">
                  <v>100.2914136904762</v>
                </pt>
                <pt idx="38">
                  <v>227.9203643724696</v>
                </pt>
                <pt idx="39">
                  <v>152.8328055555556</v>
                </pt>
                <pt idx="40">
                  <v>162.6584139784946</v>
                </pt>
                <pt idx="41">
                  <v>213.2331388888889</v>
                </pt>
                <pt idx="42">
                  <v>233.4777419354839</v>
                </pt>
                <pt idx="43">
                  <v>449.7688306451613</v>
                </pt>
                <pt idx="44">
                  <v>328.8001527777778</v>
                </pt>
                <pt idx="45">
                  <v>136.8978331090175</v>
                </pt>
                <pt idx="46">
                  <v>145.0578055555555</v>
                </pt>
                <pt idx="47">
                  <v>248.8820698924731</v>
                </pt>
                <pt idx="48">
                  <v>99.76288978494622</v>
                </pt>
                <pt idx="49">
                  <v>100.6489285714286</v>
                </pt>
                <pt idx="50">
                  <v>89.79561403508772</v>
                </pt>
                <pt idx="51">
                  <v>83.65112499999999</v>
                </pt>
                <pt idx="52">
                  <v>66.15174731182796</v>
                </pt>
                <pt idx="53">
                  <v>91.42315277777777</v>
                </pt>
                <pt idx="54">
                  <v>65.24004032258064</v>
                </pt>
                <pt idx="55">
                  <v>86.29373655913979</v>
                </pt>
                <pt idx="56">
                  <v>85.48412500000001</v>
                </pt>
                <pt idx="57">
                  <v>56.92581426648721</v>
                </pt>
                <pt idx="58">
                  <v>81.48604166666667</v>
                </pt>
                <pt idx="59">
                  <v>70.87973118279569</v>
                </pt>
                <pt idx="60">
                  <v>78.21481182795699</v>
                </pt>
                <pt idx="61">
                  <v>54.72224137931035</v>
                </pt>
                <pt idx="62">
                  <v>61.0408636977058</v>
                </pt>
                <pt idx="63">
                  <v>60.47670833333333</v>
                </pt>
                <pt idx="64">
                  <v>58.12298387096774</v>
                </pt>
                <pt idx="65">
                  <v>66.79098611111111</v>
                </pt>
                <pt idx="66">
                  <v>62.84170698924731</v>
                </pt>
                <pt idx="67">
                  <v>72.61426075268818</v>
                </pt>
                <pt idx="68">
                  <v>70.41183333333333</v>
                </pt>
                <pt idx="69">
                  <v>76.32612382234186</v>
                </pt>
                <pt idx="70">
                  <v>95.28269444444443</v>
                </pt>
                <pt idx="71">
                  <v>92.72815860215054</v>
                </pt>
                <pt idx="72">
                  <v>100.1237365591398</v>
                </pt>
                <pt idx="73">
                  <v>117.9355505952381</v>
                </pt>
                <pt idx="74">
                  <v>82.84686531986532</v>
                </pt>
                <pt idx="75">
                  <v>75.80665277777778</v>
                </pt>
                <pt idx="76">
                  <v>63.08255376344086</v>
                </pt>
                <pt idx="77">
                  <v>56.44824999999999</v>
                </pt>
                <pt idx="78">
                  <v>79.95969086021506</v>
                </pt>
                <pt idx="79">
                  <v>75.31549731182795</v>
                </pt>
                <pt idx="80">
                  <v>83.28893055555555</v>
                </pt>
                <pt idx="81">
                  <v>82.36807537012113</v>
                </pt>
                <pt idx="82">
                  <v>93.69557291666666</v>
                </pt>
                <pt idx="83">
                  <v>82.08152889784947</v>
                </pt>
              </numCache>
            </numRef>
          </val>
          <smooth val="1"/>
        </ser>
        <dLbls>
          <showLegendKey val="0"/>
          <showVal val="0"/>
          <showCatName val="0"/>
          <showSerName val="0"/>
          <showPercent val="0"/>
          <showBubbleSize val="0"/>
        </dLbls>
        <smooth val="0"/>
        <axId val="10"/>
        <axId val="100"/>
      </lineChart>
      <catAx>
        <axId val="10"/>
        <scaling>
          <orientation val="minMax"/>
        </scaling>
        <delete val="1"/>
        <axPos val="b"/>
        <title>
          <tx>
            <rich>
              <a:bodyPr xmlns:a="http://schemas.openxmlformats.org/drawingml/2006/main"/>
              <a:lstStyle xmlns:a="http://schemas.openxmlformats.org/drawingml/2006/main"/>
              <a:p xmlns:a="http://schemas.openxmlformats.org/drawingml/2006/main">
                <a:pPr>
                  <a:defRPr/>
                </a:pPr>
                <a:r>
                  <a:rPr lang="en-GB"/>
                  <a:t>Month</a:t>
                </a:r>
              </a:p>
            </rich>
          </tx>
          <overlay val="1"/>
        </title>
        <majorTickMark val="none"/>
        <minorTickMark val="none"/>
        <tickLblPos val="nextTo"/>
        <crossAx val="100"/>
        <crosses val="autoZero"/>
        <auto val="1"/>
        <lblAlgn val="ctr"/>
        <lblOffset val="100"/>
        <noMultiLvlLbl val="1"/>
      </catAx>
      <valAx>
        <axId val="100"/>
        <scaling>
          <orientation val="minMax"/>
        </scaling>
        <delete val="1"/>
        <axPos val="l"/>
        <majorGridlines/>
        <title>
          <tx>
            <rich>
              <a:bodyPr xmlns:a="http://schemas.openxmlformats.org/drawingml/2006/main"/>
              <a:lstStyle xmlns:a="http://schemas.openxmlformats.org/drawingml/2006/main"/>
              <a:p xmlns:a="http://schemas.openxmlformats.org/drawingml/2006/main">
                <a:pPr>
                  <a:defRPr/>
                </a:pPr>
                <a:r>
                  <a:rPr lang="en-GB"/>
                  <a:t>EUR/MWh</a:t>
                </a:r>
              </a:p>
            </rich>
          </tx>
          <overlay val="1"/>
        </title>
        <numFmt formatCode="General" sourceLinked="1"/>
        <majorTickMark val="none"/>
        <minorTickMark val="none"/>
        <tickLblPos val="nextTo"/>
        <crossAx val="10"/>
        <crosses val="autoZero"/>
        <crossBetween val="between"/>
      </valAx>
    </plotArea>
    <legend>
      <legendPos val="r"/>
      <overlay val="1"/>
    </legend>
    <plotVisOnly val="1"/>
    <dispBlanksAs val="gap"/>
  </chart>
</chartSpace>
</file>

<file path=xl/charts/chart16.xml><?xml version="1.0" encoding="utf-8"?>
<chartSpace xmlns="http://schemas.openxmlformats.org/drawingml/2006/chart">
  <chart>
    <title>
      <tx>
        <rich>
          <a:bodyPr xmlns:a="http://schemas.openxmlformats.org/drawingml/2006/main"/>
          <a:lstStyle xmlns:a="http://schemas.openxmlformats.org/drawingml/2006/main"/>
          <a:p xmlns:a="http://schemas.openxmlformats.org/drawingml/2006/main">
            <a:pPr>
              <a:defRPr/>
            </a:pPr>
            <a:r>
              <a:rPr lang="en-GB"/>
              <a:t>DK1 De-seasonalised Price Series (Primary)</a:t>
            </a:r>
          </a:p>
        </rich>
      </tx>
      <overlay val="1"/>
    </title>
    <plotArea>
      <layout/>
      <lineChart>
        <grouping val="standard"/>
        <varyColors val="1"/>
        <ser>
          <idx val="0"/>
          <order val="0"/>
          <tx>
            <strRef>
              <f>'Electricity Price Data'!$E$1</f>
              <strCache>
                <ptCount val="1"/>
                <pt idx="0">
                  <v>DK1 De-seasonalised Price (EUR/MWh)</v>
                </pt>
              </strCache>
            </strRef>
          </tx>
          <spPr>
            <a:ln xmlns:a="http://schemas.openxmlformats.org/drawingml/2006/main">
              <a:solidFill>
                <a:srgbClr val="2E75B6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val>
            <numRef>
              <f>'Electricity Price Data'!$E$2:$E$85</f>
              <numCache>
                <formatCode>General</formatCode>
                <ptCount val="84"/>
                <pt idx="0">
                  <v>-25.23473886328725</v>
                </pt>
                <pt idx="1">
                  <v>-30.1002282723434</v>
                </pt>
                <pt idx="2">
                  <v>-48.89935882635881</v>
                </pt>
                <pt idx="3">
                  <v>-31.76058531746028</v>
                </pt>
                <pt idx="4">
                  <v>-30.62264976958527</v>
                </pt>
                <pt idx="5">
                  <v>-47.45487301587301</v>
                </pt>
                <pt idx="6">
                  <v>-50.9138133640553</v>
                </pt>
                <pt idx="7">
                  <v>-82.75412634408602</v>
                </pt>
                <pt idx="8">
                  <v>-74.75671428571428</v>
                </pt>
                <pt idx="9">
                  <v>-37.87848634877907</v>
                </pt>
                <pt idx="10">
                  <v>-47.38835962301585</v>
                </pt>
                <pt idx="11">
                  <v>-73.29023329493089</v>
                </pt>
                <pt idx="12">
                  <v>-50.53584101382489</v>
                </pt>
                <pt idx="13">
                  <v>-55.32911476659628</v>
                </pt>
                <pt idx="14">
                  <v>-64.20589054025895</v>
                </pt>
                <pt idx="15">
                  <v>-56.29522420634917</v>
                </pt>
                <pt idx="16">
                  <v>-51.99817396313366</v>
                </pt>
                <pt idx="17">
                  <v>-54.05781746031745</v>
                </pt>
                <pt idx="18">
                  <v>-65.11155529953916</v>
                </pt>
                <pt idx="19">
                  <v>-86.08053763440859</v>
                </pt>
                <pt idx="20">
                  <v>-71.60053373015873</v>
                </pt>
                <pt idx="21">
                  <v>-50.41113776196884</v>
                </pt>
                <pt idx="22">
                  <v>-65.37884573412697</v>
                </pt>
                <pt idx="23">
                  <v>-72.82108006912443</v>
                </pt>
                <pt idx="24">
                  <v>-25.32527649769585</v>
                </pt>
                <pt idx="25">
                  <v>-25.65268362948625</v>
                </pt>
                <pt idx="26">
                  <v>-37.37817124201334</v>
                </pt>
                <pt idx="27">
                  <v>-22.86189087301584</v>
                </pt>
                <pt idx="28">
                  <v>-13.74459869431645</v>
                </pt>
                <pt idx="29">
                  <v>-6.614275793650791</v>
                </pt>
                <pt idx="30">
                  <v>-9.731877880184328</v>
                </pt>
                <pt idx="31">
                  <v>-37.83106182795699</v>
                </pt>
                <pt idx="32">
                  <v>15.22818849206351</v>
                </pt>
                <pt idx="33">
                  <v>40.81392280330708</v>
                </pt>
                <pt idx="34">
                  <v>52.66415426587304</v>
                </pt>
                <pt idx="35">
                  <v>82.01711885560675</v>
                </pt>
                <pt idx="36">
                  <v>42.46426651305684</v>
                </pt>
                <pt idx="37">
                  <v>40.20655744194231</v>
                </pt>
                <pt idx="38">
                  <v>153.3172268686479</v>
                </pt>
                <pt idx="39">
                  <v>92.80847023809527</v>
                </pt>
                <pt idx="40">
                  <v>103.8058717357911</v>
                </pt>
                <pt idx="41">
                  <v>134.0961547619048</v>
                </pt>
                <pt idx="42">
                  <v>185.3070468509984</v>
                </pt>
                <pt idx="43">
                  <v>336.1305241935484</v>
                </pt>
                <pt idx="44">
                  <v>232.6840773809524</v>
                </pt>
                <pt idx="45">
                  <v>60.90583397423573</v>
                </pt>
                <pt idx="46">
                  <v>50.57077926587303</v>
                </pt>
                <pt idx="47">
                  <v>142.3334091781874</v>
                </pt>
                <pt idx="48">
                  <v>37.0114573732719</v>
                </pt>
                <pt idx="49">
                  <v>45.22194434670422</v>
                </pt>
                <pt idx="50">
                  <v>16.60629569455887</v>
                </pt>
                <pt idx="51">
                  <v>25.44197023809528</v>
                </pt>
                <pt idx="52">
                  <v>5.913613671274945</v>
                </pt>
                <pt idx="53">
                  <v>12.16133531746033</v>
                </pt>
                <pt idx="54">
                  <v>-24.91982142857142</v>
                </pt>
                <pt idx="55">
                  <v>-34.65271505376343</v>
                </pt>
                <pt idx="56">
                  <v>-25.39613095238094</v>
                </pt>
                <pt idx="57">
                  <v>-16.12012834070369</v>
                </pt>
                <pt idx="58">
                  <v>-0.9788596230158504</v>
                </pt>
                <pt idx="59">
                  <v>-37.84969566052227</v>
                </pt>
                <pt idx="60">
                  <v>-0.8154512288786435</v>
                </pt>
                <pt idx="61">
                  <v>-14.28024982406754</v>
                </pt>
                <pt idx="62">
                  <v>-21.28132913675017</v>
                </pt>
                <pt idx="63">
                  <v>-11.66421031746028</v>
                </pt>
                <pt idx="64">
                  <v>-9.535311059907855</v>
                </pt>
                <pt idx="65">
                  <v>-16.58105357142856</v>
                </pt>
                <pt idx="66">
                  <v>-27.70077572964669</v>
                </pt>
                <pt idx="67">
                  <v>-47.66602150537634</v>
                </pt>
                <pt idx="68">
                  <v>-38.42199206349206</v>
                </pt>
                <pt idx="69">
                  <v>0.4940843107094963</v>
                </pt>
                <pt idx="70">
                  <v>6.771168154761924</v>
                </pt>
                <pt idx="71">
                  <v>-15.49477630568356</v>
                </pt>
                <pt idx="72">
                  <v>22.4355837173579</v>
                </pt>
                <pt idx="73">
                  <v>39.93377470384708</v>
                </pt>
                <pt idx="74">
                  <v>1.841227182174563</v>
                </pt>
                <pt idx="75">
                  <v>4.331470238095278</v>
                </pt>
                <pt idx="76">
                  <v>-3.818751920122907</v>
                </pt>
                <pt idx="77">
                  <v>-21.54947023809523</v>
                </pt>
                <pt idx="78">
                  <v>-6.929203149001538</v>
                </pt>
                <pt idx="79">
                  <v>-47.14606182795697</v>
                </pt>
                <pt idx="80">
                  <v>-37.73689484126983</v>
                </pt>
                <pt idx="81">
                  <v>2.1959113631994</v>
                </pt>
                <pt idx="82">
                  <v>3.739963293650817</v>
                </pt>
                <pt idx="83">
                  <v>-24.89474270353303</v>
                </pt>
              </numCache>
            </numRef>
          </val>
          <smooth val="1"/>
        </ser>
        <dLbls>
          <showLegendKey val="0"/>
          <showVal val="0"/>
          <showCatName val="0"/>
          <showSerName val="0"/>
          <showPercent val="0"/>
          <showBubbleSize val="0"/>
        </dLbls>
        <smooth val="0"/>
        <axId val="10"/>
        <axId val="100"/>
      </lineChart>
      <catAx>
        <axId val="10"/>
        <scaling>
          <orientation val="minMax"/>
        </scaling>
        <delete val="1"/>
        <axPos val="b"/>
        <title>
          <tx>
            <rich>
              <a:bodyPr xmlns:a="http://schemas.openxmlformats.org/drawingml/2006/main"/>
              <a:lstStyle xmlns:a="http://schemas.openxmlformats.org/drawingml/2006/main"/>
              <a:p xmlns:a="http://schemas.openxmlformats.org/drawingml/2006/main">
                <a:pPr>
                  <a:defRPr/>
                </a:pPr>
                <a:r>
                  <a:rPr lang="en-GB"/>
                  <a:t>Month</a:t>
                </a:r>
              </a:p>
            </rich>
          </tx>
          <overlay val="1"/>
        </title>
        <majorTickMark val="none"/>
        <minorTickMark val="none"/>
        <tickLblPos val="nextTo"/>
        <crossAx val="100"/>
        <crosses val="autoZero"/>
        <auto val="1"/>
        <lblAlgn val="ctr"/>
        <lblOffset val="100"/>
        <noMultiLvlLbl val="1"/>
      </catAx>
      <valAx>
        <axId val="100"/>
        <scaling>
          <orientation val="minMax"/>
        </scaling>
        <delete val="1"/>
        <axPos val="l"/>
        <majorGridlines/>
        <title>
          <tx>
            <rich>
              <a:bodyPr xmlns:a="http://schemas.openxmlformats.org/drawingml/2006/main"/>
              <a:lstStyle xmlns:a="http://schemas.openxmlformats.org/drawingml/2006/main"/>
              <a:p xmlns:a="http://schemas.openxmlformats.org/drawingml/2006/main">
                <a:pPr>
                  <a:defRPr/>
                </a:pPr>
                <a:r>
                  <a:rPr lang="en-GB"/>
                  <a:t>EUR/MWh</a:t>
                </a:r>
              </a:p>
            </rich>
          </tx>
          <overlay val="1"/>
        </title>
        <numFmt formatCode="General" sourceLinked="1"/>
        <majorTickMark val="none"/>
        <minorTickMark val="none"/>
        <tickLblPos val="nextTo"/>
        <crossAx val="10"/>
        <crosses val="autoZero"/>
        <crossBetween val="between"/>
      </valAx>
    </plotArea>
    <legend>
      <legendPos val="r"/>
      <overlay val="0"/>
      <txPr>
        <a:bodyPr xmlns:a="http://schemas.openxmlformats.org/drawingml/2006/main"/>
        <a:lstStyle xmlns:a="http://schemas.openxmlformats.org/drawingml/2006/main"/>
        <a:p xmlns:a="http://schemas.openxmlformats.org/drawingml/2006/main">
          <a:pPr rtl="0">
            <a:defRPr/>
          </a:pPr>
          <a:r>
            <a:t>None</a:t>
          </a:r>
          <a:endParaRPr lang="en-DK"/>
        </a:p>
      </txPr>
    </legend>
    <plotVisOnly val="1"/>
    <dispBlanksAs val="gap"/>
  </chart>
</chartSpace>
</file>

<file path=xl/charts/chart17.xml><?xml version="1.0" encoding="utf-8"?>
<chartSpace xmlns="http://schemas.openxmlformats.org/drawingml/2006/chart">
  <chart>
    <title>
      <tx>
        <rich>
          <a:bodyPr xmlns:a="http://schemas.openxmlformats.org/drawingml/2006/main"/>
          <a:lstStyle xmlns:a="http://schemas.openxmlformats.org/drawingml/2006/main"/>
          <a:p xmlns:a="http://schemas.openxmlformats.org/drawingml/2006/main">
            <a:pPr>
              <a:defRPr/>
            </a:pPr>
            <a:r>
              <a:rPr lang="en-GB"/>
              <a:t>Monthly Spot Prices - DK1 (Primary) and DK2 (Robustness)</a:t>
            </a:r>
          </a:p>
        </rich>
      </tx>
      <overlay val="1"/>
    </title>
    <plotArea>
      <layout/>
      <lineChart>
        <grouping val="standard"/>
        <varyColors val="1"/>
        <ser>
          <idx val="0"/>
          <order val="0"/>
          <tx>
            <strRef>
              <f>'Electricity Price Data'!$B$1</f>
              <strCache>
                <ptCount val="1"/>
                <pt idx="0">
                  <v>DK1 Spot Price (EUR/MWh) — Primary</v>
                </pt>
              </strCache>
            </strRef>
          </tx>
          <spPr>
            <a:ln xmlns:a="http://schemas.openxmlformats.org/drawingml/2006/main">
              <a:solidFill>
                <a:srgbClr val="2E75B6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val>
            <numRef>
              <f>'Electricity Price Data'!$B$2:$B$85</f>
              <numCache>
                <formatCode>General</formatCode>
                <ptCount val="84"/>
                <pt idx="0">
                  <v>50.29564516129032</v>
                </pt>
                <pt idx="1">
                  <v>42.81395833333333</v>
                </pt>
                <pt idx="2">
                  <v>33.60825910931175</v>
                </pt>
                <pt idx="3">
                  <v>39.06841666666666</v>
                </pt>
                <pt idx="4">
                  <v>37.42951612903226</v>
                </pt>
                <pt idx="5">
                  <v>32.87922222222223</v>
                </pt>
                <pt idx="6">
                  <v>38.81731182795698</v>
                </pt>
                <pt idx="7">
                  <v>37.86569892473118</v>
                </pt>
                <pt idx="8">
                  <v>35.37886111111111</v>
                </pt>
                <pt idx="9">
                  <v>38.34740242261103</v>
                </pt>
                <pt idx="10">
                  <v>41.74506944444445</v>
                </pt>
                <pt idx="11">
                  <v>34.04197580645161</v>
                </pt>
                <pt idx="12">
                  <v>24.99454301075269</v>
                </pt>
                <pt idx="13">
                  <v>17.58507183908046</v>
                </pt>
                <pt idx="14">
                  <v>18.30172739541161</v>
                </pt>
                <pt idx="15">
                  <v>14.53377777777778</v>
                </pt>
                <pt idx="16">
                  <v>16.05399193548387</v>
                </pt>
                <pt idx="17">
                  <v>26.27627777777777</v>
                </pt>
                <pt idx="18">
                  <v>24.61956989247312</v>
                </pt>
                <pt idx="19">
                  <v>34.5392876344086</v>
                </pt>
                <pt idx="20">
                  <v>38.53504166666666</v>
                </pt>
                <pt idx="21">
                  <v>25.81475100942126</v>
                </pt>
                <pt idx="22">
                  <v>23.75458333333333</v>
                </pt>
                <pt idx="23">
                  <v>34.51112903225806</v>
                </pt>
                <pt idx="24">
                  <v>50.20510752688172</v>
                </pt>
                <pt idx="25">
                  <v>47.26150297619048</v>
                </pt>
                <pt idx="26">
                  <v>45.12944669365721</v>
                </pt>
                <pt idx="27">
                  <v>47.96711111111111</v>
                </pt>
                <pt idx="28">
                  <v>54.30756720430108</v>
                </pt>
                <pt idx="29">
                  <v>73.71981944444444</v>
                </pt>
                <pt idx="30">
                  <v>79.99924731182796</v>
                </pt>
                <pt idx="31">
                  <v>82.78876344086021</v>
                </pt>
                <pt idx="32">
                  <v>125.3637638888889</v>
                </pt>
                <pt idx="33">
                  <v>117.0398115746972</v>
                </pt>
                <pt idx="34">
                  <v>141.7975833333333</v>
                </pt>
                <pt idx="35">
                  <v>189.3493279569892</v>
                </pt>
                <pt idx="36">
                  <v>117.9946505376344</v>
                </pt>
                <pt idx="37">
                  <v>113.120744047619</v>
                </pt>
                <pt idx="38">
                  <v>235.8248448043185</v>
                </pt>
                <pt idx="39">
                  <v>163.6374722222222</v>
                </pt>
                <pt idx="40">
                  <v>171.8580376344086</v>
                </pt>
                <pt idx="41">
                  <v>214.43025</v>
                </pt>
                <pt idx="42">
                  <v>275.0381720430107</v>
                </pt>
                <pt idx="43">
                  <v>456.7503494623656</v>
                </pt>
                <pt idx="44">
                  <v>342.8196527777778</v>
                </pt>
                <pt idx="45">
                  <v>137.1317227456258</v>
                </pt>
                <pt idx="46">
                  <v>139.7042083333333</v>
                </pt>
                <pt idx="47">
                  <v>249.6656182795699</v>
                </pt>
                <pt idx="48">
                  <v>112.5418413978495</v>
                </pt>
                <pt idx="49">
                  <v>118.136130952381</v>
                </pt>
                <pt idx="50">
                  <v>99.11391363022942</v>
                </pt>
                <pt idx="51">
                  <v>96.27097222222223</v>
                </pt>
                <pt idx="52">
                  <v>73.96577956989248</v>
                </pt>
                <pt idx="53">
                  <v>92.49543055555556</v>
                </pt>
                <pt idx="54">
                  <v>64.81130376344086</v>
                </pt>
                <pt idx="55">
                  <v>85.96711021505376</v>
                </pt>
                <pt idx="56">
                  <v>84.73944444444444</v>
                </pt>
                <pt idx="57">
                  <v>60.10576043068641</v>
                </pt>
                <pt idx="58">
                  <v>88.15456944444445</v>
                </pt>
                <pt idx="59">
                  <v>69.48251344086022</v>
                </pt>
                <pt idx="60">
                  <v>74.71493279569893</v>
                </pt>
                <pt idx="61">
                  <v>58.63393678160919</v>
                </pt>
                <pt idx="62">
                  <v>61.22628879892038</v>
                </pt>
                <pt idx="63">
                  <v>59.16479166666667</v>
                </pt>
                <pt idx="64">
                  <v>58.51685483870968</v>
                </pt>
                <pt idx="65">
                  <v>63.75304166666667</v>
                </pt>
                <pt idx="66">
                  <v>62.03034946236559</v>
                </pt>
                <pt idx="67">
                  <v>72.95380376344086</v>
                </pt>
                <pt idx="68">
                  <v>71.71358333333333</v>
                </pt>
                <pt idx="69">
                  <v>76.7199730820996</v>
                </pt>
                <pt idx="70">
                  <v>95.90459722222222</v>
                </pt>
                <pt idx="71">
                  <v>91.83743279569893</v>
                </pt>
                <pt idx="72">
                  <v>97.96596774193547</v>
                </pt>
                <pt idx="73">
                  <v>112.8479613095238</v>
                </pt>
                <pt idx="74">
                  <v>84.34884511784512</v>
                </pt>
                <pt idx="75">
                  <v>75.16047222222223</v>
                </pt>
                <pt idx="76">
                  <v>64.23341397849462</v>
                </pt>
                <pt idx="77">
                  <v>58.784625</v>
                </pt>
                <pt idx="78">
                  <v>82.80192204301075</v>
                </pt>
                <pt idx="79">
                  <v>73.47376344086022</v>
                </pt>
                <pt idx="80">
                  <v>72.39868055555556</v>
                </pt>
                <pt idx="81">
                  <v>78.4218001345895</v>
                </pt>
                <pt idx="82">
                  <v>92.87339236111112</v>
                </pt>
                <pt idx="83">
                  <v>82.43746639784946</v>
                </pt>
              </numCache>
            </numRef>
          </val>
          <smooth val="1"/>
        </ser>
        <ser>
          <idx val="1"/>
          <order val="1"/>
          <tx>
            <strRef>
              <f>'Electricity Price Data'!$C$1</f>
              <strCache>
                <ptCount val="1"/>
                <pt idx="0">
                  <v>DK2 Spot Price (EUR/MWh) — Robustness</v>
                </pt>
              </strCache>
            </strRef>
          </tx>
          <spPr>
            <a:ln xmlns:a="http://schemas.openxmlformats.org/drawingml/2006/main">
              <a:solidFill>
                <a:srgbClr val="9DC3E6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val>
            <numRef>
              <f>'Electricity Price Data'!$C$2:$C$85</f>
              <numCache>
                <formatCode>General</formatCode>
                <ptCount val="84"/>
                <pt idx="0">
                  <v>51.65502688172042</v>
                </pt>
                <pt idx="1">
                  <v>43.93294642857143</v>
                </pt>
                <pt idx="2">
                  <v>35.66735492577597</v>
                </pt>
                <pt idx="3">
                  <v>39.89209722222223</v>
                </pt>
                <pt idx="4">
                  <v>38.15139784946236</v>
                </pt>
                <pt idx="5">
                  <v>33.62223611111111</v>
                </pt>
                <pt idx="6">
                  <v>39.0001747311828</v>
                </pt>
                <pt idx="7">
                  <v>39.49317204301075</v>
                </pt>
                <pt idx="8">
                  <v>37.32134722222222</v>
                </pt>
                <pt idx="9">
                  <v>41.59935397039031</v>
                </pt>
                <pt idx="10">
                  <v>42.69644444444445</v>
                </pt>
                <pt idx="11">
                  <v>35.34711021505376</v>
                </pt>
                <pt idx="12">
                  <v>27.38524193548387</v>
                </pt>
                <pt idx="13">
                  <v>18.81699712643678</v>
                </pt>
                <pt idx="14">
                  <v>20.05249662618084</v>
                </pt>
                <pt idx="15">
                  <v>17.35486111111111</v>
                </pt>
                <pt idx="16">
                  <v>19.04407258064516</v>
                </pt>
                <pt idx="17">
                  <v>29.82329166666667</v>
                </pt>
                <pt idx="18">
                  <v>25.88668010752688</v>
                </pt>
                <pt idx="19">
                  <v>40.92381720430107</v>
                </pt>
                <pt idx="20">
                  <v>39.51423611111111</v>
                </pt>
                <pt idx="21">
                  <v>26.93351278600269</v>
                </pt>
                <pt idx="22">
                  <v>35.71134722222222</v>
                </pt>
                <pt idx="23">
                  <v>39.25715053763441</v>
                </pt>
                <pt idx="24">
                  <v>50.85895161290323</v>
                </pt>
                <pt idx="25">
                  <v>54.54806547619048</v>
                </pt>
                <pt idx="26">
                  <v>46.73221322537112</v>
                </pt>
                <pt idx="27">
                  <v>47.86295833333334</v>
                </pt>
                <pt idx="28">
                  <v>55.20880376344086</v>
                </pt>
                <pt idx="29">
                  <v>73.58690277777778</v>
                </pt>
                <pt idx="30">
                  <v>81.44088709677419</v>
                </pt>
                <pt idx="31">
                  <v>84.36354838709678</v>
                </pt>
                <pt idx="32">
                  <v>123.9021111111111</v>
                </pt>
                <pt idx="33">
                  <v>106.9322745625841</v>
                </pt>
                <pt idx="34">
                  <v>136.3800555555555</v>
                </pt>
                <pt idx="35">
                  <v>191.0686155913978</v>
                </pt>
                <pt idx="36">
                  <v>111.6220967741935</v>
                </pt>
                <pt idx="37">
                  <v>100.2914136904762</v>
                </pt>
                <pt idx="38">
                  <v>227.9203643724696</v>
                </pt>
                <pt idx="39">
                  <v>152.8328055555556</v>
                </pt>
                <pt idx="40">
                  <v>162.6584139784946</v>
                </pt>
                <pt idx="41">
                  <v>213.2331388888889</v>
                </pt>
                <pt idx="42">
                  <v>233.4777419354839</v>
                </pt>
                <pt idx="43">
                  <v>449.7688306451613</v>
                </pt>
                <pt idx="44">
                  <v>328.8001527777778</v>
                </pt>
                <pt idx="45">
                  <v>136.8978331090175</v>
                </pt>
                <pt idx="46">
                  <v>145.0578055555555</v>
                </pt>
                <pt idx="47">
                  <v>248.8820698924731</v>
                </pt>
                <pt idx="48">
                  <v>99.76288978494622</v>
                </pt>
                <pt idx="49">
                  <v>100.6489285714286</v>
                </pt>
                <pt idx="50">
                  <v>89.79561403508772</v>
                </pt>
                <pt idx="51">
                  <v>83.65112499999999</v>
                </pt>
                <pt idx="52">
                  <v>66.15174731182796</v>
                </pt>
                <pt idx="53">
                  <v>91.42315277777777</v>
                </pt>
                <pt idx="54">
                  <v>65.24004032258064</v>
                </pt>
                <pt idx="55">
                  <v>86.29373655913979</v>
                </pt>
                <pt idx="56">
                  <v>85.48412500000001</v>
                </pt>
                <pt idx="57">
                  <v>56.92581426648721</v>
                </pt>
                <pt idx="58">
                  <v>81.48604166666667</v>
                </pt>
                <pt idx="59">
                  <v>70.87973118279569</v>
                </pt>
                <pt idx="60">
                  <v>78.21481182795699</v>
                </pt>
                <pt idx="61">
                  <v>54.72224137931035</v>
                </pt>
                <pt idx="62">
                  <v>61.0408636977058</v>
                </pt>
                <pt idx="63">
                  <v>60.47670833333333</v>
                </pt>
                <pt idx="64">
                  <v>58.12298387096774</v>
                </pt>
                <pt idx="65">
                  <v>66.79098611111111</v>
                </pt>
                <pt idx="66">
                  <v>62.84170698924731</v>
                </pt>
                <pt idx="67">
                  <v>72.61426075268818</v>
                </pt>
                <pt idx="68">
                  <v>70.41183333333333</v>
                </pt>
                <pt idx="69">
                  <v>76.32612382234186</v>
                </pt>
                <pt idx="70">
                  <v>95.28269444444443</v>
                </pt>
                <pt idx="71">
                  <v>92.72815860215054</v>
                </pt>
                <pt idx="72">
                  <v>100.1237365591398</v>
                </pt>
                <pt idx="73">
                  <v>117.9355505952381</v>
                </pt>
                <pt idx="74">
                  <v>82.84686531986532</v>
                </pt>
                <pt idx="75">
                  <v>75.80665277777778</v>
                </pt>
                <pt idx="76">
                  <v>63.08255376344086</v>
                </pt>
                <pt idx="77">
                  <v>56.44824999999999</v>
                </pt>
                <pt idx="78">
                  <v>79.95969086021506</v>
                </pt>
                <pt idx="79">
                  <v>75.31549731182795</v>
                </pt>
                <pt idx="80">
                  <v>83.28893055555555</v>
                </pt>
                <pt idx="81">
                  <v>82.36807537012113</v>
                </pt>
                <pt idx="82">
                  <v>93.69557291666666</v>
                </pt>
                <pt idx="83">
                  <v>82.08152889784947</v>
                </pt>
              </numCache>
            </numRef>
          </val>
          <smooth val="1"/>
        </ser>
        <dLbls>
          <showLegendKey val="0"/>
          <showVal val="0"/>
          <showCatName val="0"/>
          <showSerName val="0"/>
          <showPercent val="0"/>
          <showBubbleSize val="0"/>
        </dLbls>
        <smooth val="0"/>
        <axId val="10"/>
        <axId val="100"/>
      </lineChart>
      <catAx>
        <axId val="10"/>
        <scaling>
          <orientation val="minMax"/>
        </scaling>
        <delete val="1"/>
        <axPos val="b"/>
        <title>
          <tx>
            <rich>
              <a:bodyPr xmlns:a="http://schemas.openxmlformats.org/drawingml/2006/main"/>
              <a:lstStyle xmlns:a="http://schemas.openxmlformats.org/drawingml/2006/main"/>
              <a:p xmlns:a="http://schemas.openxmlformats.org/drawingml/2006/main">
                <a:pPr>
                  <a:defRPr/>
                </a:pPr>
                <a:r>
                  <a:rPr lang="en-GB"/>
                  <a:t>Month</a:t>
                </a:r>
              </a:p>
            </rich>
          </tx>
          <overlay val="1"/>
        </title>
        <majorTickMark val="none"/>
        <minorTickMark val="none"/>
        <tickLblPos val="nextTo"/>
        <crossAx val="100"/>
        <crosses val="autoZero"/>
        <auto val="1"/>
        <lblAlgn val="ctr"/>
        <lblOffset val="100"/>
        <noMultiLvlLbl val="1"/>
      </catAx>
      <valAx>
        <axId val="100"/>
        <scaling>
          <orientation val="minMax"/>
        </scaling>
        <delete val="1"/>
        <axPos val="l"/>
        <majorGridlines/>
        <title>
          <tx>
            <rich>
              <a:bodyPr xmlns:a="http://schemas.openxmlformats.org/drawingml/2006/main"/>
              <a:lstStyle xmlns:a="http://schemas.openxmlformats.org/drawingml/2006/main"/>
              <a:p xmlns:a="http://schemas.openxmlformats.org/drawingml/2006/main">
                <a:pPr>
                  <a:defRPr/>
                </a:pPr>
                <a:r>
                  <a:rPr lang="en-GB"/>
                  <a:t>EUR/MWh</a:t>
                </a:r>
              </a:p>
            </rich>
          </tx>
          <overlay val="1"/>
        </title>
        <numFmt formatCode="General" sourceLinked="1"/>
        <majorTickMark val="none"/>
        <minorTickMark val="none"/>
        <tickLblPos val="nextTo"/>
        <crossAx val="10"/>
        <crosses val="autoZero"/>
        <crossBetween val="between"/>
      </valAx>
    </plotArea>
    <legend>
      <legendPos val="r"/>
      <overlay val="1"/>
    </legend>
    <plotVisOnly val="1"/>
    <dispBlanksAs val="gap"/>
  </chart>
</chartSpace>
</file>

<file path=xl/charts/chart18.xml><?xml version="1.0" encoding="utf-8"?>
<chartSpace xmlns="http://schemas.openxmlformats.org/drawingml/2006/chart">
  <chart>
    <title>
      <tx>
        <rich>
          <a:bodyPr xmlns:a="http://schemas.openxmlformats.org/drawingml/2006/main"/>
          <a:lstStyle xmlns:a="http://schemas.openxmlformats.org/drawingml/2006/main"/>
          <a:p xmlns:a="http://schemas.openxmlformats.org/drawingml/2006/main">
            <a:pPr>
              <a:defRPr/>
            </a:pPr>
            <a:r>
              <a:rPr lang="en-GB"/>
              <a:t>DK1 De-seasonalised Price Series (Primary)</a:t>
            </a:r>
          </a:p>
        </rich>
      </tx>
      <overlay val="1"/>
    </title>
    <plotArea>
      <layout/>
      <lineChart>
        <grouping val="standard"/>
        <varyColors val="1"/>
        <ser>
          <idx val="0"/>
          <order val="0"/>
          <tx>
            <strRef>
              <f>'Electricity Price Data'!$E$1</f>
              <strCache>
                <ptCount val="1"/>
                <pt idx="0">
                  <v>DK1 De-seasonalised Price (EUR/MWh)</v>
                </pt>
              </strCache>
            </strRef>
          </tx>
          <spPr>
            <a:ln xmlns:a="http://schemas.openxmlformats.org/drawingml/2006/main">
              <a:solidFill>
                <a:srgbClr val="2E75B6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val>
            <numRef>
              <f>'Electricity Price Data'!$E$2:$E$85</f>
              <numCache>
                <formatCode>General</formatCode>
                <ptCount val="84"/>
                <pt idx="0">
                  <v>-25.23473886328725</v>
                </pt>
                <pt idx="1">
                  <v>-30.1002282723434</v>
                </pt>
                <pt idx="2">
                  <v>-48.89935882635881</v>
                </pt>
                <pt idx="3">
                  <v>-31.76058531746028</v>
                </pt>
                <pt idx="4">
                  <v>-30.62264976958527</v>
                </pt>
                <pt idx="5">
                  <v>-47.45487301587301</v>
                </pt>
                <pt idx="6">
                  <v>-50.9138133640553</v>
                </pt>
                <pt idx="7">
                  <v>-82.75412634408602</v>
                </pt>
                <pt idx="8">
                  <v>-74.75671428571428</v>
                </pt>
                <pt idx="9">
                  <v>-37.87848634877907</v>
                </pt>
                <pt idx="10">
                  <v>-47.38835962301585</v>
                </pt>
                <pt idx="11">
                  <v>-73.29023329493089</v>
                </pt>
                <pt idx="12">
                  <v>-50.53584101382489</v>
                </pt>
                <pt idx="13">
                  <v>-55.32911476659628</v>
                </pt>
                <pt idx="14">
                  <v>-64.20589054025895</v>
                </pt>
                <pt idx="15">
                  <v>-56.29522420634917</v>
                </pt>
                <pt idx="16">
                  <v>-51.99817396313366</v>
                </pt>
                <pt idx="17">
                  <v>-54.05781746031745</v>
                </pt>
                <pt idx="18">
                  <v>-65.11155529953916</v>
                </pt>
                <pt idx="19">
                  <v>-86.08053763440859</v>
                </pt>
                <pt idx="20">
                  <v>-71.60053373015873</v>
                </pt>
                <pt idx="21">
                  <v>-50.41113776196884</v>
                </pt>
                <pt idx="22">
                  <v>-65.37884573412697</v>
                </pt>
                <pt idx="23">
                  <v>-72.82108006912443</v>
                </pt>
                <pt idx="24">
                  <v>-25.32527649769585</v>
                </pt>
                <pt idx="25">
                  <v>-25.65268362948625</v>
                </pt>
                <pt idx="26">
                  <v>-37.37817124201334</v>
                </pt>
                <pt idx="27">
                  <v>-22.86189087301584</v>
                </pt>
                <pt idx="28">
                  <v>-13.74459869431645</v>
                </pt>
                <pt idx="29">
                  <v>-6.614275793650791</v>
                </pt>
                <pt idx="30">
                  <v>-9.731877880184328</v>
                </pt>
                <pt idx="31">
                  <v>-37.83106182795699</v>
                </pt>
                <pt idx="32">
                  <v>15.22818849206351</v>
                </pt>
                <pt idx="33">
                  <v>40.81392280330708</v>
                </pt>
                <pt idx="34">
                  <v>52.66415426587304</v>
                </pt>
                <pt idx="35">
                  <v>82.01711885560675</v>
                </pt>
                <pt idx="36">
                  <v>42.46426651305684</v>
                </pt>
                <pt idx="37">
                  <v>40.20655744194231</v>
                </pt>
                <pt idx="38">
                  <v>153.3172268686479</v>
                </pt>
                <pt idx="39">
                  <v>92.80847023809527</v>
                </pt>
                <pt idx="40">
                  <v>103.8058717357911</v>
                </pt>
                <pt idx="41">
                  <v>134.0961547619048</v>
                </pt>
                <pt idx="42">
                  <v>185.3070468509984</v>
                </pt>
                <pt idx="43">
                  <v>336.1305241935484</v>
                </pt>
                <pt idx="44">
                  <v>232.6840773809524</v>
                </pt>
                <pt idx="45">
                  <v>60.90583397423573</v>
                </pt>
                <pt idx="46">
                  <v>50.57077926587303</v>
                </pt>
                <pt idx="47">
                  <v>142.3334091781874</v>
                </pt>
                <pt idx="48">
                  <v>37.0114573732719</v>
                </pt>
                <pt idx="49">
                  <v>45.22194434670422</v>
                </pt>
                <pt idx="50">
                  <v>16.60629569455887</v>
                </pt>
                <pt idx="51">
                  <v>25.44197023809528</v>
                </pt>
                <pt idx="52">
                  <v>5.913613671274945</v>
                </pt>
                <pt idx="53">
                  <v>12.16133531746033</v>
                </pt>
                <pt idx="54">
                  <v>-24.91982142857142</v>
                </pt>
                <pt idx="55">
                  <v>-34.65271505376343</v>
                </pt>
                <pt idx="56">
                  <v>-25.39613095238094</v>
                </pt>
                <pt idx="57">
                  <v>-16.12012834070369</v>
                </pt>
                <pt idx="58">
                  <v>-0.9788596230158504</v>
                </pt>
                <pt idx="59">
                  <v>-37.84969566052227</v>
                </pt>
                <pt idx="60">
                  <v>-0.8154512288786435</v>
                </pt>
                <pt idx="61">
                  <v>-14.28024982406754</v>
                </pt>
                <pt idx="62">
                  <v>-21.28132913675017</v>
                </pt>
                <pt idx="63">
                  <v>-11.66421031746028</v>
                </pt>
                <pt idx="64">
                  <v>-9.535311059907855</v>
                </pt>
                <pt idx="65">
                  <v>-16.58105357142856</v>
                </pt>
                <pt idx="66">
                  <v>-27.70077572964669</v>
                </pt>
                <pt idx="67">
                  <v>-47.66602150537634</v>
                </pt>
                <pt idx="68">
                  <v>-38.42199206349206</v>
                </pt>
                <pt idx="69">
                  <v>0.4940843107094963</v>
                </pt>
                <pt idx="70">
                  <v>6.771168154761924</v>
                </pt>
                <pt idx="71">
                  <v>-15.49477630568356</v>
                </pt>
                <pt idx="72">
                  <v>22.4355837173579</v>
                </pt>
                <pt idx="73">
                  <v>39.93377470384708</v>
                </pt>
                <pt idx="74">
                  <v>1.841227182174563</v>
                </pt>
                <pt idx="75">
                  <v>4.331470238095278</v>
                </pt>
                <pt idx="76">
                  <v>-3.818751920122907</v>
                </pt>
                <pt idx="77">
                  <v>-21.54947023809523</v>
                </pt>
                <pt idx="78">
                  <v>-6.929203149001538</v>
                </pt>
                <pt idx="79">
                  <v>-47.14606182795697</v>
                </pt>
                <pt idx="80">
                  <v>-37.73689484126983</v>
                </pt>
                <pt idx="81">
                  <v>2.1959113631994</v>
                </pt>
                <pt idx="82">
                  <v>3.739963293650817</v>
                </pt>
                <pt idx="83">
                  <v>-24.89474270353303</v>
                </pt>
              </numCache>
            </numRef>
          </val>
          <smooth val="1"/>
        </ser>
        <dLbls>
          <showLegendKey val="0"/>
          <showVal val="0"/>
          <showCatName val="0"/>
          <showSerName val="0"/>
          <showPercent val="0"/>
          <showBubbleSize val="0"/>
        </dLbls>
        <smooth val="0"/>
        <axId val="10"/>
        <axId val="100"/>
      </lineChart>
      <catAx>
        <axId val="10"/>
        <scaling>
          <orientation val="minMax"/>
        </scaling>
        <delete val="1"/>
        <axPos val="b"/>
        <title>
          <tx>
            <rich>
              <a:bodyPr xmlns:a="http://schemas.openxmlformats.org/drawingml/2006/main"/>
              <a:lstStyle xmlns:a="http://schemas.openxmlformats.org/drawingml/2006/main"/>
              <a:p xmlns:a="http://schemas.openxmlformats.org/drawingml/2006/main">
                <a:pPr>
                  <a:defRPr/>
                </a:pPr>
                <a:r>
                  <a:rPr lang="en-GB"/>
                  <a:t>Month</a:t>
                </a:r>
              </a:p>
            </rich>
          </tx>
          <overlay val="1"/>
        </title>
        <majorTickMark val="none"/>
        <minorTickMark val="none"/>
        <tickLblPos val="nextTo"/>
        <crossAx val="100"/>
        <crosses val="autoZero"/>
        <auto val="1"/>
        <lblAlgn val="ctr"/>
        <lblOffset val="100"/>
        <noMultiLvlLbl val="1"/>
      </catAx>
      <valAx>
        <axId val="100"/>
        <scaling>
          <orientation val="minMax"/>
        </scaling>
        <delete val="1"/>
        <axPos val="l"/>
        <majorGridlines/>
        <title>
          <tx>
            <rich>
              <a:bodyPr xmlns:a="http://schemas.openxmlformats.org/drawingml/2006/main"/>
              <a:lstStyle xmlns:a="http://schemas.openxmlformats.org/drawingml/2006/main"/>
              <a:p xmlns:a="http://schemas.openxmlformats.org/drawingml/2006/main">
                <a:pPr>
                  <a:defRPr/>
                </a:pPr>
                <a:r>
                  <a:rPr lang="en-GB"/>
                  <a:t>EUR/MWh</a:t>
                </a:r>
              </a:p>
            </rich>
          </tx>
          <overlay val="1"/>
        </title>
        <numFmt formatCode="General" sourceLinked="1"/>
        <majorTickMark val="none"/>
        <minorTickMark val="none"/>
        <tickLblPos val="nextTo"/>
        <crossAx val="10"/>
        <crosses val="autoZero"/>
        <crossBetween val="between"/>
      </valAx>
    </plotArea>
    <legend>
      <legendPos val="r"/>
      <overlay val="0"/>
      <txPr>
        <a:bodyPr xmlns:a="http://schemas.openxmlformats.org/drawingml/2006/main"/>
        <a:lstStyle xmlns:a="http://schemas.openxmlformats.org/drawingml/2006/main"/>
        <a:p xmlns:a="http://schemas.openxmlformats.org/drawingml/2006/main">
          <a:pPr rtl="0">
            <a:defRPr/>
          </a:pPr>
          <a:r>
            <a:t>None</a:t>
          </a:r>
          <a:endParaRPr lang="en-DK"/>
        </a:p>
      </txPr>
    </legend>
    <plotVisOnly val="1"/>
    <dispBlanksAs val="gap"/>
  </chart>
</chartSpace>
</file>

<file path=xl/charts/chart19.xml><?xml version="1.0" encoding="utf-8"?>
<chartSpace xmlns="http://schemas.openxmlformats.org/drawingml/2006/chart">
  <chart>
    <title>
      <tx>
        <rich>
          <a:bodyPr xmlns:a="http://schemas.openxmlformats.org/drawingml/2006/main"/>
          <a:lstStyle xmlns:a="http://schemas.openxmlformats.org/drawingml/2006/main"/>
          <a:p xmlns:a="http://schemas.openxmlformats.org/drawingml/2006/main">
            <a:pPr>
              <a:defRPr/>
            </a:pPr>
            <a:r>
              <a:rPr lang="en-GB"/>
              <a:t>Monthly Spot Prices - DK1 (Primary) and DK2 (Robustness)</a:t>
            </a:r>
          </a:p>
        </rich>
      </tx>
      <overlay val="1"/>
    </title>
    <plotArea>
      <layout/>
      <lineChart>
        <grouping val="standard"/>
        <varyColors val="1"/>
        <ser>
          <idx val="0"/>
          <order val="0"/>
          <tx>
            <strRef>
              <f>'Electricity Price Data'!$B$1</f>
              <strCache>
                <ptCount val="1"/>
                <pt idx="0">
                  <v>DK1 Spot Price (EUR/MWh) — Primary</v>
                </pt>
              </strCache>
            </strRef>
          </tx>
          <spPr>
            <a:ln xmlns:a="http://schemas.openxmlformats.org/drawingml/2006/main">
              <a:solidFill>
                <a:srgbClr val="2E75B6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val>
            <numRef>
              <f>'Electricity Price Data'!$B$2:$B$85</f>
              <numCache>
                <formatCode>General</formatCode>
                <ptCount val="84"/>
                <pt idx="0">
                  <v>50.29564516129032</v>
                </pt>
                <pt idx="1">
                  <v>42.81395833333333</v>
                </pt>
                <pt idx="2">
                  <v>33.60825910931175</v>
                </pt>
                <pt idx="3">
                  <v>39.06841666666666</v>
                </pt>
                <pt idx="4">
                  <v>37.42951612903226</v>
                </pt>
                <pt idx="5">
                  <v>32.87922222222223</v>
                </pt>
                <pt idx="6">
                  <v>38.81731182795698</v>
                </pt>
                <pt idx="7">
                  <v>37.86569892473118</v>
                </pt>
                <pt idx="8">
                  <v>35.37886111111111</v>
                </pt>
                <pt idx="9">
                  <v>38.34740242261103</v>
                </pt>
                <pt idx="10">
                  <v>41.74506944444445</v>
                </pt>
                <pt idx="11">
                  <v>34.04197580645161</v>
                </pt>
                <pt idx="12">
                  <v>24.99454301075269</v>
                </pt>
                <pt idx="13">
                  <v>17.58507183908046</v>
                </pt>
                <pt idx="14">
                  <v>18.30172739541161</v>
                </pt>
                <pt idx="15">
                  <v>14.53377777777778</v>
                </pt>
                <pt idx="16">
                  <v>16.05399193548387</v>
                </pt>
                <pt idx="17">
                  <v>26.27627777777777</v>
                </pt>
                <pt idx="18">
                  <v>24.61956989247312</v>
                </pt>
                <pt idx="19">
                  <v>34.5392876344086</v>
                </pt>
                <pt idx="20">
                  <v>38.53504166666666</v>
                </pt>
                <pt idx="21">
                  <v>25.81475100942126</v>
                </pt>
                <pt idx="22">
                  <v>23.75458333333333</v>
                </pt>
                <pt idx="23">
                  <v>34.51112903225806</v>
                </pt>
                <pt idx="24">
                  <v>50.20510752688172</v>
                </pt>
                <pt idx="25">
                  <v>47.26150297619048</v>
                </pt>
                <pt idx="26">
                  <v>45.12944669365721</v>
                </pt>
                <pt idx="27">
                  <v>47.96711111111111</v>
                </pt>
                <pt idx="28">
                  <v>54.30756720430108</v>
                </pt>
                <pt idx="29">
                  <v>73.71981944444444</v>
                </pt>
                <pt idx="30">
                  <v>79.99924731182796</v>
                </pt>
                <pt idx="31">
                  <v>82.78876344086021</v>
                </pt>
                <pt idx="32">
                  <v>125.3637638888889</v>
                </pt>
                <pt idx="33">
                  <v>117.0398115746972</v>
                </pt>
                <pt idx="34">
                  <v>141.7975833333333</v>
                </pt>
                <pt idx="35">
                  <v>189.3493279569892</v>
                </pt>
                <pt idx="36">
                  <v>117.9946505376344</v>
                </pt>
                <pt idx="37">
                  <v>113.120744047619</v>
                </pt>
                <pt idx="38">
                  <v>235.8248448043185</v>
                </pt>
                <pt idx="39">
                  <v>163.6374722222222</v>
                </pt>
                <pt idx="40">
                  <v>171.8580376344086</v>
                </pt>
                <pt idx="41">
                  <v>214.43025</v>
                </pt>
                <pt idx="42">
                  <v>275.0381720430107</v>
                </pt>
                <pt idx="43">
                  <v>456.7503494623656</v>
                </pt>
                <pt idx="44">
                  <v>342.8196527777778</v>
                </pt>
                <pt idx="45">
                  <v>137.1317227456258</v>
                </pt>
                <pt idx="46">
                  <v>139.7042083333333</v>
                </pt>
                <pt idx="47">
                  <v>249.6656182795699</v>
                </pt>
                <pt idx="48">
                  <v>112.5418413978495</v>
                </pt>
                <pt idx="49">
                  <v>118.136130952381</v>
                </pt>
                <pt idx="50">
                  <v>99.11391363022942</v>
                </pt>
                <pt idx="51">
                  <v>96.27097222222223</v>
                </pt>
                <pt idx="52">
                  <v>73.96577956989248</v>
                </pt>
                <pt idx="53">
                  <v>92.49543055555556</v>
                </pt>
                <pt idx="54">
                  <v>64.81130376344086</v>
                </pt>
                <pt idx="55">
                  <v>85.96711021505376</v>
                </pt>
                <pt idx="56">
                  <v>84.73944444444444</v>
                </pt>
                <pt idx="57">
                  <v>60.10576043068641</v>
                </pt>
                <pt idx="58">
                  <v>88.15456944444445</v>
                </pt>
                <pt idx="59">
                  <v>69.48251344086022</v>
                </pt>
                <pt idx="60">
                  <v>74.71493279569893</v>
                </pt>
                <pt idx="61">
                  <v>58.63393678160919</v>
                </pt>
                <pt idx="62">
                  <v>61.22628879892038</v>
                </pt>
                <pt idx="63">
                  <v>59.16479166666667</v>
                </pt>
                <pt idx="64">
                  <v>58.51685483870968</v>
                </pt>
                <pt idx="65">
                  <v>63.75304166666667</v>
                </pt>
                <pt idx="66">
                  <v>62.03034946236559</v>
                </pt>
                <pt idx="67">
                  <v>72.95380376344086</v>
                </pt>
                <pt idx="68">
                  <v>71.71358333333333</v>
                </pt>
                <pt idx="69">
                  <v>76.7199730820996</v>
                </pt>
                <pt idx="70">
                  <v>95.90459722222222</v>
                </pt>
                <pt idx="71">
                  <v>91.83743279569893</v>
                </pt>
                <pt idx="72">
                  <v>97.96596774193547</v>
                </pt>
                <pt idx="73">
                  <v>112.8479613095238</v>
                </pt>
                <pt idx="74">
                  <v>84.34884511784512</v>
                </pt>
                <pt idx="75">
                  <v>75.16047222222223</v>
                </pt>
                <pt idx="76">
                  <v>64.23341397849462</v>
                </pt>
                <pt idx="77">
                  <v>58.784625</v>
                </pt>
                <pt idx="78">
                  <v>82.80192204301075</v>
                </pt>
                <pt idx="79">
                  <v>73.47376344086022</v>
                </pt>
                <pt idx="80">
                  <v>72.39868055555556</v>
                </pt>
                <pt idx="81">
                  <v>78.4218001345895</v>
                </pt>
                <pt idx="82">
                  <v>92.87339236111112</v>
                </pt>
                <pt idx="83">
                  <v>82.43746639784946</v>
                </pt>
              </numCache>
            </numRef>
          </val>
          <smooth val="1"/>
        </ser>
        <ser>
          <idx val="1"/>
          <order val="1"/>
          <tx>
            <strRef>
              <f>'Electricity Price Data'!$C$1</f>
              <strCache>
                <ptCount val="1"/>
                <pt idx="0">
                  <v>DK2 Spot Price (EUR/MWh) — Robustness</v>
                </pt>
              </strCache>
            </strRef>
          </tx>
          <spPr>
            <a:ln xmlns:a="http://schemas.openxmlformats.org/drawingml/2006/main">
              <a:solidFill>
                <a:srgbClr val="9DC3E6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val>
            <numRef>
              <f>'Electricity Price Data'!$C$2:$C$85</f>
              <numCache>
                <formatCode>General</formatCode>
                <ptCount val="84"/>
                <pt idx="0">
                  <v>51.65502688172042</v>
                </pt>
                <pt idx="1">
                  <v>43.93294642857143</v>
                </pt>
                <pt idx="2">
                  <v>35.66735492577597</v>
                </pt>
                <pt idx="3">
                  <v>39.89209722222223</v>
                </pt>
                <pt idx="4">
                  <v>38.15139784946236</v>
                </pt>
                <pt idx="5">
                  <v>33.62223611111111</v>
                </pt>
                <pt idx="6">
                  <v>39.0001747311828</v>
                </pt>
                <pt idx="7">
                  <v>39.49317204301075</v>
                </pt>
                <pt idx="8">
                  <v>37.32134722222222</v>
                </pt>
                <pt idx="9">
                  <v>41.59935397039031</v>
                </pt>
                <pt idx="10">
                  <v>42.69644444444445</v>
                </pt>
                <pt idx="11">
                  <v>35.34711021505376</v>
                </pt>
                <pt idx="12">
                  <v>27.38524193548387</v>
                </pt>
                <pt idx="13">
                  <v>18.81699712643678</v>
                </pt>
                <pt idx="14">
                  <v>20.05249662618084</v>
                </pt>
                <pt idx="15">
                  <v>17.35486111111111</v>
                </pt>
                <pt idx="16">
                  <v>19.04407258064516</v>
                </pt>
                <pt idx="17">
                  <v>29.82329166666667</v>
                </pt>
                <pt idx="18">
                  <v>25.88668010752688</v>
                </pt>
                <pt idx="19">
                  <v>40.92381720430107</v>
                </pt>
                <pt idx="20">
                  <v>39.51423611111111</v>
                </pt>
                <pt idx="21">
                  <v>26.93351278600269</v>
                </pt>
                <pt idx="22">
                  <v>35.71134722222222</v>
                </pt>
                <pt idx="23">
                  <v>39.25715053763441</v>
                </pt>
                <pt idx="24">
                  <v>50.85895161290323</v>
                </pt>
                <pt idx="25">
                  <v>54.54806547619048</v>
                </pt>
                <pt idx="26">
                  <v>46.73221322537112</v>
                </pt>
                <pt idx="27">
                  <v>47.86295833333334</v>
                </pt>
                <pt idx="28">
                  <v>55.20880376344086</v>
                </pt>
                <pt idx="29">
                  <v>73.58690277777778</v>
                </pt>
                <pt idx="30">
                  <v>81.44088709677419</v>
                </pt>
                <pt idx="31">
                  <v>84.36354838709678</v>
                </pt>
                <pt idx="32">
                  <v>123.9021111111111</v>
                </pt>
                <pt idx="33">
                  <v>106.9322745625841</v>
                </pt>
                <pt idx="34">
                  <v>136.3800555555555</v>
                </pt>
                <pt idx="35">
                  <v>191.0686155913978</v>
                </pt>
                <pt idx="36">
                  <v>111.6220967741935</v>
                </pt>
                <pt idx="37">
                  <v>100.2914136904762</v>
                </pt>
                <pt idx="38">
                  <v>227.9203643724696</v>
                </pt>
                <pt idx="39">
                  <v>152.8328055555556</v>
                </pt>
                <pt idx="40">
                  <v>162.6584139784946</v>
                </pt>
                <pt idx="41">
                  <v>213.2331388888889</v>
                </pt>
                <pt idx="42">
                  <v>233.4777419354839</v>
                </pt>
                <pt idx="43">
                  <v>449.7688306451613</v>
                </pt>
                <pt idx="44">
                  <v>328.8001527777778</v>
                </pt>
                <pt idx="45">
                  <v>136.8978331090175</v>
                </pt>
                <pt idx="46">
                  <v>145.0578055555555</v>
                </pt>
                <pt idx="47">
                  <v>248.8820698924731</v>
                </pt>
                <pt idx="48">
                  <v>99.76288978494622</v>
                </pt>
                <pt idx="49">
                  <v>100.6489285714286</v>
                </pt>
                <pt idx="50">
                  <v>89.79561403508772</v>
                </pt>
                <pt idx="51">
                  <v>83.65112499999999</v>
                </pt>
                <pt idx="52">
                  <v>66.15174731182796</v>
                </pt>
                <pt idx="53">
                  <v>91.42315277777777</v>
                </pt>
                <pt idx="54">
                  <v>65.24004032258064</v>
                </pt>
                <pt idx="55">
                  <v>86.29373655913979</v>
                </pt>
                <pt idx="56">
                  <v>85.48412500000001</v>
                </pt>
                <pt idx="57">
                  <v>56.92581426648721</v>
                </pt>
                <pt idx="58">
                  <v>81.48604166666667</v>
                </pt>
                <pt idx="59">
                  <v>70.87973118279569</v>
                </pt>
                <pt idx="60">
                  <v>78.21481182795699</v>
                </pt>
                <pt idx="61">
                  <v>54.72224137931035</v>
                </pt>
                <pt idx="62">
                  <v>61.0408636977058</v>
                </pt>
                <pt idx="63">
                  <v>60.47670833333333</v>
                </pt>
                <pt idx="64">
                  <v>58.12298387096774</v>
                </pt>
                <pt idx="65">
                  <v>66.79098611111111</v>
                </pt>
                <pt idx="66">
                  <v>62.84170698924731</v>
                </pt>
                <pt idx="67">
                  <v>72.61426075268818</v>
                </pt>
                <pt idx="68">
                  <v>70.41183333333333</v>
                </pt>
                <pt idx="69">
                  <v>76.32612382234186</v>
                </pt>
                <pt idx="70">
                  <v>95.28269444444443</v>
                </pt>
                <pt idx="71">
                  <v>92.72815860215054</v>
                </pt>
                <pt idx="72">
                  <v>100.1237365591398</v>
                </pt>
                <pt idx="73">
                  <v>117.9355505952381</v>
                </pt>
                <pt idx="74">
                  <v>82.84686531986532</v>
                </pt>
                <pt idx="75">
                  <v>75.80665277777778</v>
                </pt>
                <pt idx="76">
                  <v>63.08255376344086</v>
                </pt>
                <pt idx="77">
                  <v>56.44824999999999</v>
                </pt>
                <pt idx="78">
                  <v>79.95969086021506</v>
                </pt>
                <pt idx="79">
                  <v>75.31549731182795</v>
                </pt>
                <pt idx="80">
                  <v>83.28893055555555</v>
                </pt>
                <pt idx="81">
                  <v>82.36807537012113</v>
                </pt>
                <pt idx="82">
                  <v>93.69557291666666</v>
                </pt>
                <pt idx="83">
                  <v>82.08152889784947</v>
                </pt>
              </numCache>
            </numRef>
          </val>
          <smooth val="1"/>
        </ser>
        <dLbls>
          <showLegendKey val="0"/>
          <showVal val="0"/>
          <showCatName val="0"/>
          <showSerName val="0"/>
          <showPercent val="0"/>
          <showBubbleSize val="0"/>
        </dLbls>
        <smooth val="0"/>
        <axId val="10"/>
        <axId val="100"/>
      </lineChart>
      <catAx>
        <axId val="10"/>
        <scaling>
          <orientation val="minMax"/>
        </scaling>
        <delete val="1"/>
        <axPos val="b"/>
        <title>
          <tx>
            <rich>
              <a:bodyPr xmlns:a="http://schemas.openxmlformats.org/drawingml/2006/main"/>
              <a:lstStyle xmlns:a="http://schemas.openxmlformats.org/drawingml/2006/main"/>
              <a:p xmlns:a="http://schemas.openxmlformats.org/drawingml/2006/main">
                <a:pPr>
                  <a:defRPr/>
                </a:pPr>
                <a:r>
                  <a:rPr lang="en-GB"/>
                  <a:t>Month</a:t>
                </a:r>
              </a:p>
            </rich>
          </tx>
          <overlay val="1"/>
        </title>
        <majorTickMark val="none"/>
        <minorTickMark val="none"/>
        <tickLblPos val="nextTo"/>
        <crossAx val="100"/>
        <crosses val="autoZero"/>
        <auto val="1"/>
        <lblAlgn val="ctr"/>
        <lblOffset val="100"/>
        <noMultiLvlLbl val="1"/>
      </catAx>
      <valAx>
        <axId val="100"/>
        <scaling>
          <orientation val="minMax"/>
        </scaling>
        <delete val="1"/>
        <axPos val="l"/>
        <majorGridlines/>
        <title>
          <tx>
            <rich>
              <a:bodyPr xmlns:a="http://schemas.openxmlformats.org/drawingml/2006/main"/>
              <a:lstStyle xmlns:a="http://schemas.openxmlformats.org/drawingml/2006/main"/>
              <a:p xmlns:a="http://schemas.openxmlformats.org/drawingml/2006/main">
                <a:pPr>
                  <a:defRPr/>
                </a:pPr>
                <a:r>
                  <a:rPr lang="en-GB"/>
                  <a:t>EUR/MWh</a:t>
                </a:r>
              </a:p>
            </rich>
          </tx>
          <overlay val="1"/>
        </title>
        <numFmt formatCode="General" sourceLinked="1"/>
        <majorTickMark val="none"/>
        <minorTickMark val="none"/>
        <tickLblPos val="nextTo"/>
        <crossAx val="10"/>
        <crosses val="autoZero"/>
        <crossBetween val="between"/>
      </valAx>
    </plotArea>
    <legend>
      <legendPos val="r"/>
      <overlay val="1"/>
    </legend>
    <plotVisOnly val="1"/>
    <dispBlanksAs val="gap"/>
  </chart>
</chartSpace>
</file>

<file path=xl/charts/chart20.xml><?xml version="1.0" encoding="utf-8"?>
<chartSpace xmlns="http://schemas.openxmlformats.org/drawingml/2006/chart">
  <chart>
    <title>
      <tx>
        <rich>
          <a:bodyPr xmlns:a="http://schemas.openxmlformats.org/drawingml/2006/main"/>
          <a:lstStyle xmlns:a="http://schemas.openxmlformats.org/drawingml/2006/main"/>
          <a:p xmlns:a="http://schemas.openxmlformats.org/drawingml/2006/main">
            <a:pPr>
              <a:defRPr/>
            </a:pPr>
            <a:r>
              <a:rPr lang="en-GB"/>
              <a:t>DK1 De-seasonalised Price Series (Primary)</a:t>
            </a:r>
          </a:p>
        </rich>
      </tx>
      <overlay val="1"/>
    </title>
    <plotArea>
      <layout/>
      <lineChart>
        <grouping val="standard"/>
        <varyColors val="1"/>
        <ser>
          <idx val="0"/>
          <order val="0"/>
          <tx>
            <strRef>
              <f>'Electricity Price Data'!$E$1</f>
              <strCache>
                <ptCount val="1"/>
                <pt idx="0">
                  <v>DK1 De-seasonalised Price (EUR/MWh)</v>
                </pt>
              </strCache>
            </strRef>
          </tx>
          <spPr>
            <a:ln xmlns:a="http://schemas.openxmlformats.org/drawingml/2006/main">
              <a:solidFill>
                <a:srgbClr val="2E75B6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val>
            <numRef>
              <f>'Electricity Price Data'!$E$2:$E$85</f>
              <numCache>
                <formatCode>General</formatCode>
                <ptCount val="84"/>
                <pt idx="0">
                  <v>-25.23473886328725</v>
                </pt>
                <pt idx="1">
                  <v>-30.1002282723434</v>
                </pt>
                <pt idx="2">
                  <v>-48.89935882635881</v>
                </pt>
                <pt idx="3">
                  <v>-31.76058531746028</v>
                </pt>
                <pt idx="4">
                  <v>-30.62264976958527</v>
                </pt>
                <pt idx="5">
                  <v>-47.45487301587301</v>
                </pt>
                <pt idx="6">
                  <v>-50.9138133640553</v>
                </pt>
                <pt idx="7">
                  <v>-82.75412634408602</v>
                </pt>
                <pt idx="8">
                  <v>-74.75671428571428</v>
                </pt>
                <pt idx="9">
                  <v>-37.87848634877907</v>
                </pt>
                <pt idx="10">
                  <v>-47.38835962301585</v>
                </pt>
                <pt idx="11">
                  <v>-73.29023329493089</v>
                </pt>
                <pt idx="12">
                  <v>-50.53584101382489</v>
                </pt>
                <pt idx="13">
                  <v>-55.32911476659628</v>
                </pt>
                <pt idx="14">
                  <v>-64.20589054025895</v>
                </pt>
                <pt idx="15">
                  <v>-56.29522420634917</v>
                </pt>
                <pt idx="16">
                  <v>-51.99817396313366</v>
                </pt>
                <pt idx="17">
                  <v>-54.05781746031745</v>
                </pt>
                <pt idx="18">
                  <v>-65.11155529953916</v>
                </pt>
                <pt idx="19">
                  <v>-86.08053763440859</v>
                </pt>
                <pt idx="20">
                  <v>-71.60053373015873</v>
                </pt>
                <pt idx="21">
                  <v>-50.41113776196884</v>
                </pt>
                <pt idx="22">
                  <v>-65.37884573412697</v>
                </pt>
                <pt idx="23">
                  <v>-72.82108006912443</v>
                </pt>
                <pt idx="24">
                  <v>-25.32527649769585</v>
                </pt>
                <pt idx="25">
                  <v>-25.65268362948625</v>
                </pt>
                <pt idx="26">
                  <v>-37.37817124201334</v>
                </pt>
                <pt idx="27">
                  <v>-22.86189087301584</v>
                </pt>
                <pt idx="28">
                  <v>-13.74459869431645</v>
                </pt>
                <pt idx="29">
                  <v>-6.614275793650791</v>
                </pt>
                <pt idx="30">
                  <v>-9.731877880184328</v>
                </pt>
                <pt idx="31">
                  <v>-37.83106182795699</v>
                </pt>
                <pt idx="32">
                  <v>15.22818849206351</v>
                </pt>
                <pt idx="33">
                  <v>40.81392280330708</v>
                </pt>
                <pt idx="34">
                  <v>52.66415426587304</v>
                </pt>
                <pt idx="35">
                  <v>82.01711885560675</v>
                </pt>
                <pt idx="36">
                  <v>42.46426651305684</v>
                </pt>
                <pt idx="37">
                  <v>40.20655744194231</v>
                </pt>
                <pt idx="38">
                  <v>153.3172268686479</v>
                </pt>
                <pt idx="39">
                  <v>92.80847023809527</v>
                </pt>
                <pt idx="40">
                  <v>103.8058717357911</v>
                </pt>
                <pt idx="41">
                  <v>134.0961547619048</v>
                </pt>
                <pt idx="42">
                  <v>185.3070468509984</v>
                </pt>
                <pt idx="43">
                  <v>336.1305241935484</v>
                </pt>
                <pt idx="44">
                  <v>232.6840773809524</v>
                </pt>
                <pt idx="45">
                  <v>60.90583397423573</v>
                </pt>
                <pt idx="46">
                  <v>50.57077926587303</v>
                </pt>
                <pt idx="47">
                  <v>142.3334091781874</v>
                </pt>
                <pt idx="48">
                  <v>37.0114573732719</v>
                </pt>
                <pt idx="49">
                  <v>45.22194434670422</v>
                </pt>
                <pt idx="50">
                  <v>16.60629569455887</v>
                </pt>
                <pt idx="51">
                  <v>25.44197023809528</v>
                </pt>
                <pt idx="52">
                  <v>5.913613671274945</v>
                </pt>
                <pt idx="53">
                  <v>12.16133531746033</v>
                </pt>
                <pt idx="54">
                  <v>-24.91982142857142</v>
                </pt>
                <pt idx="55">
                  <v>-34.65271505376343</v>
                </pt>
                <pt idx="56">
                  <v>-25.39613095238094</v>
                </pt>
                <pt idx="57">
                  <v>-16.12012834070369</v>
                </pt>
                <pt idx="58">
                  <v>-0.9788596230158504</v>
                </pt>
                <pt idx="59">
                  <v>-37.84969566052227</v>
                </pt>
                <pt idx="60">
                  <v>-0.8154512288786435</v>
                </pt>
                <pt idx="61">
                  <v>-14.28024982406754</v>
                </pt>
                <pt idx="62">
                  <v>-21.28132913675017</v>
                </pt>
                <pt idx="63">
                  <v>-11.66421031746028</v>
                </pt>
                <pt idx="64">
                  <v>-9.535311059907855</v>
                </pt>
                <pt idx="65">
                  <v>-16.58105357142856</v>
                </pt>
                <pt idx="66">
                  <v>-27.70077572964669</v>
                </pt>
                <pt idx="67">
                  <v>-47.66602150537634</v>
                </pt>
                <pt idx="68">
                  <v>-38.42199206349206</v>
                </pt>
                <pt idx="69">
                  <v>0.4940843107094963</v>
                </pt>
                <pt idx="70">
                  <v>6.771168154761924</v>
                </pt>
                <pt idx="71">
                  <v>-15.49477630568356</v>
                </pt>
                <pt idx="72">
                  <v>22.4355837173579</v>
                </pt>
                <pt idx="73">
                  <v>39.93377470384708</v>
                </pt>
                <pt idx="74">
                  <v>1.841227182174563</v>
                </pt>
                <pt idx="75">
                  <v>4.331470238095278</v>
                </pt>
                <pt idx="76">
                  <v>-3.818751920122907</v>
                </pt>
                <pt idx="77">
                  <v>-21.54947023809523</v>
                </pt>
                <pt idx="78">
                  <v>-6.929203149001538</v>
                </pt>
                <pt idx="79">
                  <v>-47.14606182795697</v>
                </pt>
                <pt idx="80">
                  <v>-37.73689484126983</v>
                </pt>
                <pt idx="81">
                  <v>2.1959113631994</v>
                </pt>
                <pt idx="82">
                  <v>3.739963293650817</v>
                </pt>
                <pt idx="83">
                  <v>-24.89474270353303</v>
                </pt>
              </numCache>
            </numRef>
          </val>
          <smooth val="1"/>
        </ser>
        <dLbls>
          <showLegendKey val="0"/>
          <showVal val="0"/>
          <showCatName val="0"/>
          <showSerName val="0"/>
          <showPercent val="0"/>
          <showBubbleSize val="0"/>
        </dLbls>
        <smooth val="0"/>
        <axId val="10"/>
        <axId val="100"/>
      </lineChart>
      <catAx>
        <axId val="10"/>
        <scaling>
          <orientation val="minMax"/>
        </scaling>
        <delete val="1"/>
        <axPos val="b"/>
        <title>
          <tx>
            <rich>
              <a:bodyPr xmlns:a="http://schemas.openxmlformats.org/drawingml/2006/main"/>
              <a:lstStyle xmlns:a="http://schemas.openxmlformats.org/drawingml/2006/main"/>
              <a:p xmlns:a="http://schemas.openxmlformats.org/drawingml/2006/main">
                <a:pPr>
                  <a:defRPr/>
                </a:pPr>
                <a:r>
                  <a:rPr lang="en-GB"/>
                  <a:t>Month</a:t>
                </a:r>
              </a:p>
            </rich>
          </tx>
          <overlay val="1"/>
        </title>
        <majorTickMark val="none"/>
        <minorTickMark val="none"/>
        <tickLblPos val="nextTo"/>
        <crossAx val="100"/>
        <crosses val="autoZero"/>
        <auto val="1"/>
        <lblAlgn val="ctr"/>
        <lblOffset val="100"/>
        <noMultiLvlLbl val="1"/>
      </catAx>
      <valAx>
        <axId val="100"/>
        <scaling>
          <orientation val="minMax"/>
        </scaling>
        <delete val="1"/>
        <axPos val="l"/>
        <majorGridlines/>
        <title>
          <tx>
            <rich>
              <a:bodyPr xmlns:a="http://schemas.openxmlformats.org/drawingml/2006/main"/>
              <a:lstStyle xmlns:a="http://schemas.openxmlformats.org/drawingml/2006/main"/>
              <a:p xmlns:a="http://schemas.openxmlformats.org/drawingml/2006/main">
                <a:pPr>
                  <a:defRPr/>
                </a:pPr>
                <a:r>
                  <a:rPr lang="en-GB"/>
                  <a:t>EUR/MWh</a:t>
                </a:r>
              </a:p>
            </rich>
          </tx>
          <overlay val="1"/>
        </title>
        <numFmt formatCode="General" sourceLinked="1"/>
        <majorTickMark val="none"/>
        <minorTickMark val="none"/>
        <tickLblPos val="nextTo"/>
        <crossAx val="10"/>
        <crosses val="autoZero"/>
        <crossBetween val="between"/>
      </valAx>
    </plotArea>
    <legend>
      <legendPos val="r"/>
      <overlay val="0"/>
      <txPr>
        <a:bodyPr xmlns:a="http://schemas.openxmlformats.org/drawingml/2006/main"/>
        <a:lstStyle xmlns:a="http://schemas.openxmlformats.org/drawingml/2006/main"/>
        <a:p xmlns:a="http://schemas.openxmlformats.org/drawingml/2006/main">
          <a:pPr rtl="0">
            <a:defRPr/>
          </a:pPr>
          <a:r>
            <a:t>None</a:t>
          </a:r>
          <a:endParaRPr lang="en-DK"/>
        </a:p>
      </txPr>
    </legend>
    <plotVisOnly val="1"/>
    <dispBlanksAs val="gap"/>
  </chart>
</chartSpace>
</file>

<file path=xl/charts/chart21.xml><?xml version="1.0" encoding="utf-8"?>
<chartSpace xmlns="http://schemas.openxmlformats.org/drawingml/2006/chart">
  <chart>
    <title>
      <tx>
        <rich>
          <a:bodyPr xmlns:a="http://schemas.openxmlformats.org/drawingml/2006/main"/>
          <a:lstStyle xmlns:a="http://schemas.openxmlformats.org/drawingml/2006/main"/>
          <a:p xmlns:a="http://schemas.openxmlformats.org/drawingml/2006/main">
            <a:pPr>
              <a:defRPr/>
            </a:pPr>
            <a:r>
              <a:rPr lang="en-GB"/>
              <a:t>Monthly Spot Prices - DK1 (Primary) and DK2 (Robustness)</a:t>
            </a:r>
          </a:p>
        </rich>
      </tx>
      <overlay val="1"/>
    </title>
    <plotArea>
      <layout/>
      <lineChart>
        <grouping val="standard"/>
        <varyColors val="1"/>
        <ser>
          <idx val="0"/>
          <order val="0"/>
          <tx>
            <strRef>
              <f>'Electricity Price Data'!$B$1</f>
              <strCache>
                <ptCount val="1"/>
                <pt idx="0">
                  <v>DK1 Spot Price (EUR/MWh) — Primary</v>
                </pt>
              </strCache>
            </strRef>
          </tx>
          <spPr>
            <a:ln xmlns:a="http://schemas.openxmlformats.org/drawingml/2006/main">
              <a:solidFill>
                <a:srgbClr val="2E75B6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val>
            <numRef>
              <f>'Electricity Price Data'!$B$2:$B$85</f>
              <numCache>
                <formatCode>General</formatCode>
                <ptCount val="84"/>
                <pt idx="0">
                  <v>50.29564516129032</v>
                </pt>
                <pt idx="1">
                  <v>42.81395833333333</v>
                </pt>
                <pt idx="2">
                  <v>33.60825910931175</v>
                </pt>
                <pt idx="3">
                  <v>39.06841666666666</v>
                </pt>
                <pt idx="4">
                  <v>37.42951612903226</v>
                </pt>
                <pt idx="5">
                  <v>32.87922222222223</v>
                </pt>
                <pt idx="6">
                  <v>38.81731182795698</v>
                </pt>
                <pt idx="7">
                  <v>37.86569892473118</v>
                </pt>
                <pt idx="8">
                  <v>35.37886111111111</v>
                </pt>
                <pt idx="9">
                  <v>38.34740242261103</v>
                </pt>
                <pt idx="10">
                  <v>41.74506944444445</v>
                </pt>
                <pt idx="11">
                  <v>34.04197580645161</v>
                </pt>
                <pt idx="12">
                  <v>24.99454301075269</v>
                </pt>
                <pt idx="13">
                  <v>17.58507183908046</v>
                </pt>
                <pt idx="14">
                  <v>18.30172739541161</v>
                </pt>
                <pt idx="15">
                  <v>14.53377777777778</v>
                </pt>
                <pt idx="16">
                  <v>16.05399193548387</v>
                </pt>
                <pt idx="17">
                  <v>26.27627777777777</v>
                </pt>
                <pt idx="18">
                  <v>24.61956989247312</v>
                </pt>
                <pt idx="19">
                  <v>34.5392876344086</v>
                </pt>
                <pt idx="20">
                  <v>38.53504166666666</v>
                </pt>
                <pt idx="21">
                  <v>25.81475100942126</v>
                </pt>
                <pt idx="22">
                  <v>23.75458333333333</v>
                </pt>
                <pt idx="23">
                  <v>34.51112903225806</v>
                </pt>
                <pt idx="24">
                  <v>50.20510752688172</v>
                </pt>
                <pt idx="25">
                  <v>47.26150297619048</v>
                </pt>
                <pt idx="26">
                  <v>45.12944669365721</v>
                </pt>
                <pt idx="27">
                  <v>47.96711111111111</v>
                </pt>
                <pt idx="28">
                  <v>54.30756720430108</v>
                </pt>
                <pt idx="29">
                  <v>73.71981944444444</v>
                </pt>
                <pt idx="30">
                  <v>79.99924731182796</v>
                </pt>
                <pt idx="31">
                  <v>82.78876344086021</v>
                </pt>
                <pt idx="32">
                  <v>125.3637638888889</v>
                </pt>
                <pt idx="33">
                  <v>117.0398115746972</v>
                </pt>
                <pt idx="34">
                  <v>141.7975833333333</v>
                </pt>
                <pt idx="35">
                  <v>189.3493279569892</v>
                </pt>
                <pt idx="36">
                  <v>117.9946505376344</v>
                </pt>
                <pt idx="37">
                  <v>113.120744047619</v>
                </pt>
                <pt idx="38">
                  <v>235.8248448043185</v>
                </pt>
                <pt idx="39">
                  <v>163.6374722222222</v>
                </pt>
                <pt idx="40">
                  <v>171.8580376344086</v>
                </pt>
                <pt idx="41">
                  <v>214.43025</v>
                </pt>
                <pt idx="42">
                  <v>275.0381720430107</v>
                </pt>
                <pt idx="43">
                  <v>456.7503494623656</v>
                </pt>
                <pt idx="44">
                  <v>342.8196527777778</v>
                </pt>
                <pt idx="45">
                  <v>137.1317227456258</v>
                </pt>
                <pt idx="46">
                  <v>139.7042083333333</v>
                </pt>
                <pt idx="47">
                  <v>249.6656182795699</v>
                </pt>
                <pt idx="48">
                  <v>112.5418413978495</v>
                </pt>
                <pt idx="49">
                  <v>118.136130952381</v>
                </pt>
                <pt idx="50">
                  <v>99.11391363022942</v>
                </pt>
                <pt idx="51">
                  <v>96.27097222222223</v>
                </pt>
                <pt idx="52">
                  <v>73.96577956989248</v>
                </pt>
                <pt idx="53">
                  <v>92.49543055555556</v>
                </pt>
                <pt idx="54">
                  <v>64.81130376344086</v>
                </pt>
                <pt idx="55">
                  <v>85.96711021505376</v>
                </pt>
                <pt idx="56">
                  <v>84.73944444444444</v>
                </pt>
                <pt idx="57">
                  <v>60.10576043068641</v>
                </pt>
                <pt idx="58">
                  <v>88.15456944444445</v>
                </pt>
                <pt idx="59">
                  <v>69.48251344086022</v>
                </pt>
                <pt idx="60">
                  <v>74.71493279569893</v>
                </pt>
                <pt idx="61">
                  <v>58.63393678160919</v>
                </pt>
                <pt idx="62">
                  <v>61.22628879892038</v>
                </pt>
                <pt idx="63">
                  <v>59.16479166666667</v>
                </pt>
                <pt idx="64">
                  <v>58.51685483870968</v>
                </pt>
                <pt idx="65">
                  <v>63.75304166666667</v>
                </pt>
                <pt idx="66">
                  <v>62.03034946236559</v>
                </pt>
                <pt idx="67">
                  <v>72.95380376344086</v>
                </pt>
                <pt idx="68">
                  <v>71.71358333333333</v>
                </pt>
                <pt idx="69">
                  <v>76.7199730820996</v>
                </pt>
                <pt idx="70">
                  <v>95.90459722222222</v>
                </pt>
                <pt idx="71">
                  <v>91.83743279569893</v>
                </pt>
                <pt idx="72">
                  <v>97.96596774193547</v>
                </pt>
                <pt idx="73">
                  <v>112.8479613095238</v>
                </pt>
                <pt idx="74">
                  <v>84.34884511784512</v>
                </pt>
                <pt idx="75">
                  <v>75.16047222222223</v>
                </pt>
                <pt idx="76">
                  <v>64.23341397849462</v>
                </pt>
                <pt idx="77">
                  <v>58.784625</v>
                </pt>
                <pt idx="78">
                  <v>82.80192204301075</v>
                </pt>
                <pt idx="79">
                  <v>73.47376344086022</v>
                </pt>
                <pt idx="80">
                  <v>72.39868055555556</v>
                </pt>
                <pt idx="81">
                  <v>78.4218001345895</v>
                </pt>
                <pt idx="82">
                  <v>92.87339236111112</v>
                </pt>
                <pt idx="83">
                  <v>82.43746639784946</v>
                </pt>
              </numCache>
            </numRef>
          </val>
          <smooth val="1"/>
        </ser>
        <ser>
          <idx val="1"/>
          <order val="1"/>
          <tx>
            <strRef>
              <f>'Electricity Price Data'!$C$1</f>
              <strCache>
                <ptCount val="1"/>
                <pt idx="0">
                  <v>DK2 Spot Price (EUR/MWh) — Robustness</v>
                </pt>
              </strCache>
            </strRef>
          </tx>
          <spPr>
            <a:ln xmlns:a="http://schemas.openxmlformats.org/drawingml/2006/main">
              <a:solidFill>
                <a:srgbClr val="9DC3E6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val>
            <numRef>
              <f>'Electricity Price Data'!$C$2:$C$85</f>
              <numCache>
                <formatCode>General</formatCode>
                <ptCount val="84"/>
                <pt idx="0">
                  <v>51.65502688172042</v>
                </pt>
                <pt idx="1">
                  <v>43.93294642857143</v>
                </pt>
                <pt idx="2">
                  <v>35.66735492577597</v>
                </pt>
                <pt idx="3">
                  <v>39.89209722222223</v>
                </pt>
                <pt idx="4">
                  <v>38.15139784946236</v>
                </pt>
                <pt idx="5">
                  <v>33.62223611111111</v>
                </pt>
                <pt idx="6">
                  <v>39.0001747311828</v>
                </pt>
                <pt idx="7">
                  <v>39.49317204301075</v>
                </pt>
                <pt idx="8">
                  <v>37.32134722222222</v>
                </pt>
                <pt idx="9">
                  <v>41.59935397039031</v>
                </pt>
                <pt idx="10">
                  <v>42.69644444444445</v>
                </pt>
                <pt idx="11">
                  <v>35.34711021505376</v>
                </pt>
                <pt idx="12">
                  <v>27.38524193548387</v>
                </pt>
                <pt idx="13">
                  <v>18.81699712643678</v>
                </pt>
                <pt idx="14">
                  <v>20.05249662618084</v>
                </pt>
                <pt idx="15">
                  <v>17.35486111111111</v>
                </pt>
                <pt idx="16">
                  <v>19.04407258064516</v>
                </pt>
                <pt idx="17">
                  <v>29.82329166666667</v>
                </pt>
                <pt idx="18">
                  <v>25.88668010752688</v>
                </pt>
                <pt idx="19">
                  <v>40.92381720430107</v>
                </pt>
                <pt idx="20">
                  <v>39.51423611111111</v>
                </pt>
                <pt idx="21">
                  <v>26.93351278600269</v>
                </pt>
                <pt idx="22">
                  <v>35.71134722222222</v>
                </pt>
                <pt idx="23">
                  <v>39.25715053763441</v>
                </pt>
                <pt idx="24">
                  <v>50.85895161290323</v>
                </pt>
                <pt idx="25">
                  <v>54.54806547619048</v>
                </pt>
                <pt idx="26">
                  <v>46.73221322537112</v>
                </pt>
                <pt idx="27">
                  <v>47.86295833333334</v>
                </pt>
                <pt idx="28">
                  <v>55.20880376344086</v>
                </pt>
                <pt idx="29">
                  <v>73.58690277777778</v>
                </pt>
                <pt idx="30">
                  <v>81.44088709677419</v>
                </pt>
                <pt idx="31">
                  <v>84.36354838709678</v>
                </pt>
                <pt idx="32">
                  <v>123.9021111111111</v>
                </pt>
                <pt idx="33">
                  <v>106.9322745625841</v>
                </pt>
                <pt idx="34">
                  <v>136.3800555555555</v>
                </pt>
                <pt idx="35">
                  <v>191.0686155913978</v>
                </pt>
                <pt idx="36">
                  <v>111.6220967741935</v>
                </pt>
                <pt idx="37">
                  <v>100.2914136904762</v>
                </pt>
                <pt idx="38">
                  <v>227.9203643724696</v>
                </pt>
                <pt idx="39">
                  <v>152.8328055555556</v>
                </pt>
                <pt idx="40">
                  <v>162.6584139784946</v>
                </pt>
                <pt idx="41">
                  <v>213.2331388888889</v>
                </pt>
                <pt idx="42">
                  <v>233.4777419354839</v>
                </pt>
                <pt idx="43">
                  <v>449.7688306451613</v>
                </pt>
                <pt idx="44">
                  <v>328.8001527777778</v>
                </pt>
                <pt idx="45">
                  <v>136.8978331090175</v>
                </pt>
                <pt idx="46">
                  <v>145.0578055555555</v>
                </pt>
                <pt idx="47">
                  <v>248.8820698924731</v>
                </pt>
                <pt idx="48">
                  <v>99.76288978494622</v>
                </pt>
                <pt idx="49">
                  <v>100.6489285714286</v>
                </pt>
                <pt idx="50">
                  <v>89.79561403508772</v>
                </pt>
                <pt idx="51">
                  <v>83.65112499999999</v>
                </pt>
                <pt idx="52">
                  <v>66.15174731182796</v>
                </pt>
                <pt idx="53">
                  <v>91.42315277777777</v>
                </pt>
                <pt idx="54">
                  <v>65.24004032258064</v>
                </pt>
                <pt idx="55">
                  <v>86.29373655913979</v>
                </pt>
                <pt idx="56">
                  <v>85.48412500000001</v>
                </pt>
                <pt idx="57">
                  <v>56.92581426648721</v>
                </pt>
                <pt idx="58">
                  <v>81.48604166666667</v>
                </pt>
                <pt idx="59">
                  <v>70.87973118279569</v>
                </pt>
                <pt idx="60">
                  <v>78.21481182795699</v>
                </pt>
                <pt idx="61">
                  <v>54.72224137931035</v>
                </pt>
                <pt idx="62">
                  <v>61.0408636977058</v>
                </pt>
                <pt idx="63">
                  <v>60.47670833333333</v>
                </pt>
                <pt idx="64">
                  <v>58.12298387096774</v>
                </pt>
                <pt idx="65">
                  <v>66.79098611111111</v>
                </pt>
                <pt idx="66">
                  <v>62.84170698924731</v>
                </pt>
                <pt idx="67">
                  <v>72.61426075268818</v>
                </pt>
                <pt idx="68">
                  <v>70.41183333333333</v>
                </pt>
                <pt idx="69">
                  <v>76.32612382234186</v>
                </pt>
                <pt idx="70">
                  <v>95.28269444444443</v>
                </pt>
                <pt idx="71">
                  <v>92.72815860215054</v>
                </pt>
                <pt idx="72">
                  <v>100.1237365591398</v>
                </pt>
                <pt idx="73">
                  <v>117.9355505952381</v>
                </pt>
                <pt idx="74">
                  <v>82.84686531986532</v>
                </pt>
                <pt idx="75">
                  <v>75.80665277777778</v>
                </pt>
                <pt idx="76">
                  <v>63.08255376344086</v>
                </pt>
                <pt idx="77">
                  <v>56.44824999999999</v>
                </pt>
                <pt idx="78">
                  <v>79.95969086021506</v>
                </pt>
                <pt idx="79">
                  <v>75.31549731182795</v>
                </pt>
                <pt idx="80">
                  <v>83.28893055555555</v>
                </pt>
                <pt idx="81">
                  <v>82.36807537012113</v>
                </pt>
                <pt idx="82">
                  <v>93.69557291666666</v>
                </pt>
                <pt idx="83">
                  <v>82.08152889784947</v>
                </pt>
              </numCache>
            </numRef>
          </val>
          <smooth val="1"/>
        </ser>
        <dLbls>
          <showLegendKey val="0"/>
          <showVal val="0"/>
          <showCatName val="0"/>
          <showSerName val="0"/>
          <showPercent val="0"/>
          <showBubbleSize val="0"/>
        </dLbls>
        <smooth val="0"/>
        <axId val="10"/>
        <axId val="100"/>
      </lineChart>
      <catAx>
        <axId val="10"/>
        <scaling>
          <orientation val="minMax"/>
        </scaling>
        <delete val="1"/>
        <axPos val="b"/>
        <title>
          <tx>
            <rich>
              <a:bodyPr xmlns:a="http://schemas.openxmlformats.org/drawingml/2006/main"/>
              <a:lstStyle xmlns:a="http://schemas.openxmlformats.org/drawingml/2006/main"/>
              <a:p xmlns:a="http://schemas.openxmlformats.org/drawingml/2006/main">
                <a:pPr>
                  <a:defRPr/>
                </a:pPr>
                <a:r>
                  <a:rPr lang="en-GB"/>
                  <a:t>Month</a:t>
                </a:r>
              </a:p>
            </rich>
          </tx>
          <overlay val="1"/>
        </title>
        <majorTickMark val="none"/>
        <minorTickMark val="none"/>
        <tickLblPos val="nextTo"/>
        <crossAx val="100"/>
        <crosses val="autoZero"/>
        <auto val="1"/>
        <lblAlgn val="ctr"/>
        <lblOffset val="100"/>
        <noMultiLvlLbl val="1"/>
      </catAx>
      <valAx>
        <axId val="100"/>
        <scaling>
          <orientation val="minMax"/>
        </scaling>
        <delete val="1"/>
        <axPos val="l"/>
        <majorGridlines/>
        <title>
          <tx>
            <rich>
              <a:bodyPr xmlns:a="http://schemas.openxmlformats.org/drawingml/2006/main"/>
              <a:lstStyle xmlns:a="http://schemas.openxmlformats.org/drawingml/2006/main"/>
              <a:p xmlns:a="http://schemas.openxmlformats.org/drawingml/2006/main">
                <a:pPr>
                  <a:defRPr/>
                </a:pPr>
                <a:r>
                  <a:rPr lang="en-GB"/>
                  <a:t>EUR/MWh</a:t>
                </a:r>
              </a:p>
            </rich>
          </tx>
          <overlay val="1"/>
        </title>
        <numFmt formatCode="General" sourceLinked="1"/>
        <majorTickMark val="none"/>
        <minorTickMark val="none"/>
        <tickLblPos val="nextTo"/>
        <crossAx val="10"/>
        <crosses val="autoZero"/>
        <crossBetween val="between"/>
      </valAx>
    </plotArea>
    <legend>
      <legendPos val="r"/>
      <overlay val="1"/>
    </legend>
    <plotVisOnly val="1"/>
    <dispBlanksAs val="gap"/>
  </chart>
</chartSpace>
</file>

<file path=xl/charts/chart22.xml><?xml version="1.0" encoding="utf-8"?>
<chartSpace xmlns="http://schemas.openxmlformats.org/drawingml/2006/chart">
  <chart>
    <title>
      <tx>
        <rich>
          <a:bodyPr xmlns:a="http://schemas.openxmlformats.org/drawingml/2006/main"/>
          <a:lstStyle xmlns:a="http://schemas.openxmlformats.org/drawingml/2006/main"/>
          <a:p xmlns:a="http://schemas.openxmlformats.org/drawingml/2006/main">
            <a:pPr>
              <a:defRPr/>
            </a:pPr>
            <a:r>
              <a:rPr lang="en-GB"/>
              <a:t>DK1 De-seasonalised Price Series (Primary)</a:t>
            </a:r>
          </a:p>
        </rich>
      </tx>
      <overlay val="1"/>
    </title>
    <plotArea>
      <layout/>
      <lineChart>
        <grouping val="standard"/>
        <varyColors val="1"/>
        <ser>
          <idx val="0"/>
          <order val="0"/>
          <tx>
            <strRef>
              <f>'Electricity Price Data'!$E$1</f>
              <strCache>
                <ptCount val="1"/>
                <pt idx="0">
                  <v>DK1 De-seasonalised Price (EUR/MWh)</v>
                </pt>
              </strCache>
            </strRef>
          </tx>
          <spPr>
            <a:ln xmlns:a="http://schemas.openxmlformats.org/drawingml/2006/main">
              <a:solidFill>
                <a:srgbClr val="2E75B6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val>
            <numRef>
              <f>'Electricity Price Data'!$E$2:$E$85</f>
              <numCache>
                <formatCode>General</formatCode>
                <ptCount val="84"/>
                <pt idx="0">
                  <v>-25.23473886328725</v>
                </pt>
                <pt idx="1">
                  <v>-30.1002282723434</v>
                </pt>
                <pt idx="2">
                  <v>-48.89935882635881</v>
                </pt>
                <pt idx="3">
                  <v>-31.76058531746028</v>
                </pt>
                <pt idx="4">
                  <v>-30.62264976958527</v>
                </pt>
                <pt idx="5">
                  <v>-47.45487301587301</v>
                </pt>
                <pt idx="6">
                  <v>-50.9138133640553</v>
                </pt>
                <pt idx="7">
                  <v>-82.75412634408602</v>
                </pt>
                <pt idx="8">
                  <v>-74.75671428571428</v>
                </pt>
                <pt idx="9">
                  <v>-37.87848634877907</v>
                </pt>
                <pt idx="10">
                  <v>-47.38835962301585</v>
                </pt>
                <pt idx="11">
                  <v>-73.29023329493089</v>
                </pt>
                <pt idx="12">
                  <v>-50.53584101382489</v>
                </pt>
                <pt idx="13">
                  <v>-55.32911476659628</v>
                </pt>
                <pt idx="14">
                  <v>-64.20589054025895</v>
                </pt>
                <pt idx="15">
                  <v>-56.29522420634917</v>
                </pt>
                <pt idx="16">
                  <v>-51.99817396313366</v>
                </pt>
                <pt idx="17">
                  <v>-54.05781746031745</v>
                </pt>
                <pt idx="18">
                  <v>-65.11155529953916</v>
                </pt>
                <pt idx="19">
                  <v>-86.08053763440859</v>
                </pt>
                <pt idx="20">
                  <v>-71.60053373015873</v>
                </pt>
                <pt idx="21">
                  <v>-50.41113776196884</v>
                </pt>
                <pt idx="22">
                  <v>-65.37884573412697</v>
                </pt>
                <pt idx="23">
                  <v>-72.82108006912443</v>
                </pt>
                <pt idx="24">
                  <v>-25.32527649769585</v>
                </pt>
                <pt idx="25">
                  <v>-25.65268362948625</v>
                </pt>
                <pt idx="26">
                  <v>-37.37817124201334</v>
                </pt>
                <pt idx="27">
                  <v>-22.86189087301584</v>
                </pt>
                <pt idx="28">
                  <v>-13.74459869431645</v>
                </pt>
                <pt idx="29">
                  <v>-6.614275793650791</v>
                </pt>
                <pt idx="30">
                  <v>-9.731877880184328</v>
                </pt>
                <pt idx="31">
                  <v>-37.83106182795699</v>
                </pt>
                <pt idx="32">
                  <v>15.22818849206351</v>
                </pt>
                <pt idx="33">
                  <v>40.81392280330708</v>
                </pt>
                <pt idx="34">
                  <v>52.66415426587304</v>
                </pt>
                <pt idx="35">
                  <v>82.01711885560675</v>
                </pt>
                <pt idx="36">
                  <v>42.46426651305684</v>
                </pt>
                <pt idx="37">
                  <v>40.20655744194231</v>
                </pt>
                <pt idx="38">
                  <v>153.3172268686479</v>
                </pt>
                <pt idx="39">
                  <v>92.80847023809527</v>
                </pt>
                <pt idx="40">
                  <v>103.8058717357911</v>
                </pt>
                <pt idx="41">
                  <v>134.0961547619048</v>
                </pt>
                <pt idx="42">
                  <v>185.3070468509984</v>
                </pt>
                <pt idx="43">
                  <v>336.1305241935484</v>
                </pt>
                <pt idx="44">
                  <v>232.6840773809524</v>
                </pt>
                <pt idx="45">
                  <v>60.90583397423573</v>
                </pt>
                <pt idx="46">
                  <v>50.57077926587303</v>
                </pt>
                <pt idx="47">
                  <v>142.3334091781874</v>
                </pt>
                <pt idx="48">
                  <v>37.0114573732719</v>
                </pt>
                <pt idx="49">
                  <v>45.22194434670422</v>
                </pt>
                <pt idx="50">
                  <v>16.60629569455887</v>
                </pt>
                <pt idx="51">
                  <v>25.44197023809528</v>
                </pt>
                <pt idx="52">
                  <v>5.913613671274945</v>
                </pt>
                <pt idx="53">
                  <v>12.16133531746033</v>
                </pt>
                <pt idx="54">
                  <v>-24.91982142857142</v>
                </pt>
                <pt idx="55">
                  <v>-34.65271505376343</v>
                </pt>
                <pt idx="56">
                  <v>-25.39613095238094</v>
                </pt>
                <pt idx="57">
                  <v>-16.12012834070369</v>
                </pt>
                <pt idx="58">
                  <v>-0.9788596230158504</v>
                </pt>
                <pt idx="59">
                  <v>-37.84969566052227</v>
                </pt>
                <pt idx="60">
                  <v>-0.8154512288786435</v>
                </pt>
                <pt idx="61">
                  <v>-14.28024982406754</v>
                </pt>
                <pt idx="62">
                  <v>-21.28132913675017</v>
                </pt>
                <pt idx="63">
                  <v>-11.66421031746028</v>
                </pt>
                <pt idx="64">
                  <v>-9.535311059907855</v>
                </pt>
                <pt idx="65">
                  <v>-16.58105357142856</v>
                </pt>
                <pt idx="66">
                  <v>-27.70077572964669</v>
                </pt>
                <pt idx="67">
                  <v>-47.66602150537634</v>
                </pt>
                <pt idx="68">
                  <v>-38.42199206349206</v>
                </pt>
                <pt idx="69">
                  <v>0.4940843107094963</v>
                </pt>
                <pt idx="70">
                  <v>6.771168154761924</v>
                </pt>
                <pt idx="71">
                  <v>-15.49477630568356</v>
                </pt>
                <pt idx="72">
                  <v>22.4355837173579</v>
                </pt>
                <pt idx="73">
                  <v>39.93377470384708</v>
                </pt>
                <pt idx="74">
                  <v>1.841227182174563</v>
                </pt>
                <pt idx="75">
                  <v>4.331470238095278</v>
                </pt>
                <pt idx="76">
                  <v>-3.818751920122907</v>
                </pt>
                <pt idx="77">
                  <v>-21.54947023809523</v>
                </pt>
                <pt idx="78">
                  <v>-6.929203149001538</v>
                </pt>
                <pt idx="79">
                  <v>-47.14606182795697</v>
                </pt>
                <pt idx="80">
                  <v>-37.73689484126983</v>
                </pt>
                <pt idx="81">
                  <v>2.1959113631994</v>
                </pt>
                <pt idx="82">
                  <v>3.739963293650817</v>
                </pt>
                <pt idx="83">
                  <v>-24.89474270353303</v>
                </pt>
              </numCache>
            </numRef>
          </val>
          <smooth val="1"/>
        </ser>
        <dLbls>
          <showLegendKey val="0"/>
          <showVal val="0"/>
          <showCatName val="0"/>
          <showSerName val="0"/>
          <showPercent val="0"/>
          <showBubbleSize val="0"/>
        </dLbls>
        <smooth val="0"/>
        <axId val="10"/>
        <axId val="100"/>
      </lineChart>
      <catAx>
        <axId val="10"/>
        <scaling>
          <orientation val="minMax"/>
        </scaling>
        <delete val="1"/>
        <axPos val="b"/>
        <title>
          <tx>
            <rich>
              <a:bodyPr xmlns:a="http://schemas.openxmlformats.org/drawingml/2006/main"/>
              <a:lstStyle xmlns:a="http://schemas.openxmlformats.org/drawingml/2006/main"/>
              <a:p xmlns:a="http://schemas.openxmlformats.org/drawingml/2006/main">
                <a:pPr>
                  <a:defRPr/>
                </a:pPr>
                <a:r>
                  <a:rPr lang="en-GB"/>
                  <a:t>Month</a:t>
                </a:r>
              </a:p>
            </rich>
          </tx>
          <overlay val="1"/>
        </title>
        <majorTickMark val="none"/>
        <minorTickMark val="none"/>
        <tickLblPos val="nextTo"/>
        <crossAx val="100"/>
        <crosses val="autoZero"/>
        <auto val="1"/>
        <lblAlgn val="ctr"/>
        <lblOffset val="100"/>
        <noMultiLvlLbl val="1"/>
      </catAx>
      <valAx>
        <axId val="100"/>
        <scaling>
          <orientation val="minMax"/>
        </scaling>
        <delete val="1"/>
        <axPos val="l"/>
        <majorGridlines/>
        <title>
          <tx>
            <rich>
              <a:bodyPr xmlns:a="http://schemas.openxmlformats.org/drawingml/2006/main"/>
              <a:lstStyle xmlns:a="http://schemas.openxmlformats.org/drawingml/2006/main"/>
              <a:p xmlns:a="http://schemas.openxmlformats.org/drawingml/2006/main">
                <a:pPr>
                  <a:defRPr/>
                </a:pPr>
                <a:r>
                  <a:rPr lang="en-GB"/>
                  <a:t>EUR/MWh</a:t>
                </a:r>
              </a:p>
            </rich>
          </tx>
          <overlay val="1"/>
        </title>
        <numFmt formatCode="General" sourceLinked="1"/>
        <majorTickMark val="none"/>
        <minorTickMark val="none"/>
        <tickLblPos val="nextTo"/>
        <crossAx val="10"/>
        <crosses val="autoZero"/>
        <crossBetween val="between"/>
      </valAx>
    </plotArea>
    <legend>
      <legendPos val="r"/>
      <overlay val="0"/>
      <txPr>
        <a:bodyPr xmlns:a="http://schemas.openxmlformats.org/drawingml/2006/main"/>
        <a:lstStyle xmlns:a="http://schemas.openxmlformats.org/drawingml/2006/main"/>
        <a:p xmlns:a="http://schemas.openxmlformats.org/drawingml/2006/main">
          <a:pPr rtl="0">
            <a:defRPr/>
          </a:pPr>
          <a:r>
            <a:t>None</a:t>
          </a:r>
          <a:endParaRPr lang="en-DK"/>
        </a:p>
      </txPr>
    </legend>
    <plotVisOnly val="1"/>
    <dispBlanksAs val="gap"/>
  </chart>
</chartSpace>
</file>

<file path=xl/charts/chart23.xml><?xml version="1.0" encoding="utf-8"?>
<chartSpace xmlns="http://schemas.openxmlformats.org/drawingml/2006/chart">
  <chart>
    <title>
      <tx>
        <rich>
          <a:bodyPr xmlns:a="http://schemas.openxmlformats.org/drawingml/2006/main"/>
          <a:lstStyle xmlns:a="http://schemas.openxmlformats.org/drawingml/2006/main"/>
          <a:p xmlns:a="http://schemas.openxmlformats.org/drawingml/2006/main">
            <a:pPr>
              <a:defRPr/>
            </a:pPr>
            <a:r>
              <a:rPr lang="en-GB"/>
              <a:t>Monthly Spot Prices - DK1 (Primary) and DK2 (Robustness)</a:t>
            </a:r>
          </a:p>
        </rich>
      </tx>
      <overlay val="1"/>
    </title>
    <plotArea>
      <layout/>
      <lineChart>
        <grouping val="standard"/>
        <varyColors val="1"/>
        <ser>
          <idx val="0"/>
          <order val="0"/>
          <tx>
            <strRef>
              <f>'Electricity Price Data'!$B$1</f>
              <strCache>
                <ptCount val="1"/>
                <pt idx="0">
                  <v>DK1 Spot Price (EUR/MWh) — Primary</v>
                </pt>
              </strCache>
            </strRef>
          </tx>
          <spPr>
            <a:ln xmlns:a="http://schemas.openxmlformats.org/drawingml/2006/main">
              <a:solidFill>
                <a:srgbClr val="2E75B6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val>
            <numRef>
              <f>'Electricity Price Data'!$B$2:$B$85</f>
              <numCache>
                <formatCode>General</formatCode>
                <ptCount val="84"/>
                <pt idx="0">
                  <v>50.29564516129032</v>
                </pt>
                <pt idx="1">
                  <v>42.81395833333333</v>
                </pt>
                <pt idx="2">
                  <v>33.60825910931175</v>
                </pt>
                <pt idx="3">
                  <v>39.06841666666666</v>
                </pt>
                <pt idx="4">
                  <v>37.42951612903226</v>
                </pt>
                <pt idx="5">
                  <v>32.87922222222223</v>
                </pt>
                <pt idx="6">
                  <v>38.81731182795698</v>
                </pt>
                <pt idx="7">
                  <v>37.86569892473118</v>
                </pt>
                <pt idx="8">
                  <v>35.37886111111111</v>
                </pt>
                <pt idx="9">
                  <v>38.34740242261103</v>
                </pt>
                <pt idx="10">
                  <v>41.74506944444445</v>
                </pt>
                <pt idx="11">
                  <v>34.04197580645161</v>
                </pt>
                <pt idx="12">
                  <v>24.99454301075269</v>
                </pt>
                <pt idx="13">
                  <v>17.58507183908046</v>
                </pt>
                <pt idx="14">
                  <v>18.30172739541161</v>
                </pt>
                <pt idx="15">
                  <v>14.53377777777778</v>
                </pt>
                <pt idx="16">
                  <v>16.05399193548387</v>
                </pt>
                <pt idx="17">
                  <v>26.27627777777777</v>
                </pt>
                <pt idx="18">
                  <v>24.61956989247312</v>
                </pt>
                <pt idx="19">
                  <v>34.5392876344086</v>
                </pt>
                <pt idx="20">
                  <v>38.53504166666666</v>
                </pt>
                <pt idx="21">
                  <v>25.81475100942126</v>
                </pt>
                <pt idx="22">
                  <v>23.75458333333333</v>
                </pt>
                <pt idx="23">
                  <v>34.51112903225806</v>
                </pt>
                <pt idx="24">
                  <v>50.20510752688172</v>
                </pt>
                <pt idx="25">
                  <v>47.26150297619048</v>
                </pt>
                <pt idx="26">
                  <v>45.12944669365721</v>
                </pt>
                <pt idx="27">
                  <v>47.96711111111111</v>
                </pt>
                <pt idx="28">
                  <v>54.30756720430108</v>
                </pt>
                <pt idx="29">
                  <v>73.71981944444444</v>
                </pt>
                <pt idx="30">
                  <v>79.99924731182796</v>
                </pt>
                <pt idx="31">
                  <v>82.78876344086021</v>
                </pt>
                <pt idx="32">
                  <v>125.3637638888889</v>
                </pt>
                <pt idx="33">
                  <v>117.0398115746972</v>
                </pt>
                <pt idx="34">
                  <v>141.7975833333333</v>
                </pt>
                <pt idx="35">
                  <v>189.3493279569892</v>
                </pt>
                <pt idx="36">
                  <v>117.9946505376344</v>
                </pt>
                <pt idx="37">
                  <v>113.120744047619</v>
                </pt>
                <pt idx="38">
                  <v>235.8248448043185</v>
                </pt>
                <pt idx="39">
                  <v>163.6374722222222</v>
                </pt>
                <pt idx="40">
                  <v>171.8580376344086</v>
                </pt>
                <pt idx="41">
                  <v>214.43025</v>
                </pt>
                <pt idx="42">
                  <v>275.0381720430107</v>
                </pt>
                <pt idx="43">
                  <v>456.7503494623656</v>
                </pt>
                <pt idx="44">
                  <v>342.8196527777778</v>
                </pt>
                <pt idx="45">
                  <v>137.1317227456258</v>
                </pt>
                <pt idx="46">
                  <v>139.7042083333333</v>
                </pt>
                <pt idx="47">
                  <v>249.6656182795699</v>
                </pt>
                <pt idx="48">
                  <v>112.5418413978495</v>
                </pt>
                <pt idx="49">
                  <v>118.136130952381</v>
                </pt>
                <pt idx="50">
                  <v>99.11391363022942</v>
                </pt>
                <pt idx="51">
                  <v>96.27097222222223</v>
                </pt>
                <pt idx="52">
                  <v>73.96577956989248</v>
                </pt>
                <pt idx="53">
                  <v>92.49543055555556</v>
                </pt>
                <pt idx="54">
                  <v>64.81130376344086</v>
                </pt>
                <pt idx="55">
                  <v>85.96711021505376</v>
                </pt>
                <pt idx="56">
                  <v>84.73944444444444</v>
                </pt>
                <pt idx="57">
                  <v>60.10576043068641</v>
                </pt>
                <pt idx="58">
                  <v>88.15456944444445</v>
                </pt>
                <pt idx="59">
                  <v>69.48251344086022</v>
                </pt>
                <pt idx="60">
                  <v>74.71493279569893</v>
                </pt>
                <pt idx="61">
                  <v>58.63393678160919</v>
                </pt>
                <pt idx="62">
                  <v>61.22628879892038</v>
                </pt>
                <pt idx="63">
                  <v>59.16479166666667</v>
                </pt>
                <pt idx="64">
                  <v>58.51685483870968</v>
                </pt>
                <pt idx="65">
                  <v>63.75304166666667</v>
                </pt>
                <pt idx="66">
                  <v>62.03034946236559</v>
                </pt>
                <pt idx="67">
                  <v>72.95380376344086</v>
                </pt>
                <pt idx="68">
                  <v>71.71358333333333</v>
                </pt>
                <pt idx="69">
                  <v>76.7199730820996</v>
                </pt>
                <pt idx="70">
                  <v>95.90459722222222</v>
                </pt>
                <pt idx="71">
                  <v>91.83743279569893</v>
                </pt>
                <pt idx="72">
                  <v>97.96596774193547</v>
                </pt>
                <pt idx="73">
                  <v>112.8479613095238</v>
                </pt>
                <pt idx="74">
                  <v>84.34884511784512</v>
                </pt>
                <pt idx="75">
                  <v>75.16047222222223</v>
                </pt>
                <pt idx="76">
                  <v>64.23341397849462</v>
                </pt>
                <pt idx="77">
                  <v>58.784625</v>
                </pt>
                <pt idx="78">
                  <v>82.80192204301075</v>
                </pt>
                <pt idx="79">
                  <v>73.47376344086022</v>
                </pt>
                <pt idx="80">
                  <v>72.39868055555556</v>
                </pt>
                <pt idx="81">
                  <v>78.4218001345895</v>
                </pt>
                <pt idx="82">
                  <v>92.87339236111112</v>
                </pt>
                <pt idx="83">
                  <v>82.43746639784946</v>
                </pt>
              </numCache>
            </numRef>
          </val>
          <smooth val="1"/>
        </ser>
        <ser>
          <idx val="1"/>
          <order val="1"/>
          <tx>
            <strRef>
              <f>'Electricity Price Data'!$C$1</f>
              <strCache>
                <ptCount val="1"/>
                <pt idx="0">
                  <v>DK2 Spot Price (EUR/MWh) — Robustness</v>
                </pt>
              </strCache>
            </strRef>
          </tx>
          <spPr>
            <a:ln xmlns:a="http://schemas.openxmlformats.org/drawingml/2006/main">
              <a:solidFill>
                <a:srgbClr val="9DC3E6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val>
            <numRef>
              <f>'Electricity Price Data'!$C$2:$C$85</f>
              <numCache>
                <formatCode>General</formatCode>
                <ptCount val="84"/>
                <pt idx="0">
                  <v>51.65502688172042</v>
                </pt>
                <pt idx="1">
                  <v>43.93294642857143</v>
                </pt>
                <pt idx="2">
                  <v>35.66735492577597</v>
                </pt>
                <pt idx="3">
                  <v>39.89209722222223</v>
                </pt>
                <pt idx="4">
                  <v>38.15139784946236</v>
                </pt>
                <pt idx="5">
                  <v>33.62223611111111</v>
                </pt>
                <pt idx="6">
                  <v>39.0001747311828</v>
                </pt>
                <pt idx="7">
                  <v>39.49317204301075</v>
                </pt>
                <pt idx="8">
                  <v>37.32134722222222</v>
                </pt>
                <pt idx="9">
                  <v>41.59935397039031</v>
                </pt>
                <pt idx="10">
                  <v>42.69644444444445</v>
                </pt>
                <pt idx="11">
                  <v>35.34711021505376</v>
                </pt>
                <pt idx="12">
                  <v>27.38524193548387</v>
                </pt>
                <pt idx="13">
                  <v>18.81699712643678</v>
                </pt>
                <pt idx="14">
                  <v>20.05249662618084</v>
                </pt>
                <pt idx="15">
                  <v>17.35486111111111</v>
                </pt>
                <pt idx="16">
                  <v>19.04407258064516</v>
                </pt>
                <pt idx="17">
                  <v>29.82329166666667</v>
                </pt>
                <pt idx="18">
                  <v>25.88668010752688</v>
                </pt>
                <pt idx="19">
                  <v>40.92381720430107</v>
                </pt>
                <pt idx="20">
                  <v>39.51423611111111</v>
                </pt>
                <pt idx="21">
                  <v>26.93351278600269</v>
                </pt>
                <pt idx="22">
                  <v>35.71134722222222</v>
                </pt>
                <pt idx="23">
                  <v>39.25715053763441</v>
                </pt>
                <pt idx="24">
                  <v>50.85895161290323</v>
                </pt>
                <pt idx="25">
                  <v>54.54806547619048</v>
                </pt>
                <pt idx="26">
                  <v>46.73221322537112</v>
                </pt>
                <pt idx="27">
                  <v>47.86295833333334</v>
                </pt>
                <pt idx="28">
                  <v>55.20880376344086</v>
                </pt>
                <pt idx="29">
                  <v>73.58690277777778</v>
                </pt>
                <pt idx="30">
                  <v>81.44088709677419</v>
                </pt>
                <pt idx="31">
                  <v>84.36354838709678</v>
                </pt>
                <pt idx="32">
                  <v>123.9021111111111</v>
                </pt>
                <pt idx="33">
                  <v>106.9322745625841</v>
                </pt>
                <pt idx="34">
                  <v>136.3800555555555</v>
                </pt>
                <pt idx="35">
                  <v>191.0686155913978</v>
                </pt>
                <pt idx="36">
                  <v>111.6220967741935</v>
                </pt>
                <pt idx="37">
                  <v>100.2914136904762</v>
                </pt>
                <pt idx="38">
                  <v>227.9203643724696</v>
                </pt>
                <pt idx="39">
                  <v>152.8328055555556</v>
                </pt>
                <pt idx="40">
                  <v>162.6584139784946</v>
                </pt>
                <pt idx="41">
                  <v>213.2331388888889</v>
                </pt>
                <pt idx="42">
                  <v>233.4777419354839</v>
                </pt>
                <pt idx="43">
                  <v>449.7688306451613</v>
                </pt>
                <pt idx="44">
                  <v>328.8001527777778</v>
                </pt>
                <pt idx="45">
                  <v>136.8978331090175</v>
                </pt>
                <pt idx="46">
                  <v>145.0578055555555</v>
                </pt>
                <pt idx="47">
                  <v>248.8820698924731</v>
                </pt>
                <pt idx="48">
                  <v>99.76288978494622</v>
                </pt>
                <pt idx="49">
                  <v>100.6489285714286</v>
                </pt>
                <pt idx="50">
                  <v>89.79561403508772</v>
                </pt>
                <pt idx="51">
                  <v>83.65112499999999</v>
                </pt>
                <pt idx="52">
                  <v>66.15174731182796</v>
                </pt>
                <pt idx="53">
                  <v>91.42315277777777</v>
                </pt>
                <pt idx="54">
                  <v>65.24004032258064</v>
                </pt>
                <pt idx="55">
                  <v>86.29373655913979</v>
                </pt>
                <pt idx="56">
                  <v>85.48412500000001</v>
                </pt>
                <pt idx="57">
                  <v>56.92581426648721</v>
                </pt>
                <pt idx="58">
                  <v>81.48604166666667</v>
                </pt>
                <pt idx="59">
                  <v>70.87973118279569</v>
                </pt>
                <pt idx="60">
                  <v>78.21481182795699</v>
                </pt>
                <pt idx="61">
                  <v>54.72224137931035</v>
                </pt>
                <pt idx="62">
                  <v>61.0408636977058</v>
                </pt>
                <pt idx="63">
                  <v>60.47670833333333</v>
                </pt>
                <pt idx="64">
                  <v>58.12298387096774</v>
                </pt>
                <pt idx="65">
                  <v>66.79098611111111</v>
                </pt>
                <pt idx="66">
                  <v>62.84170698924731</v>
                </pt>
                <pt idx="67">
                  <v>72.61426075268818</v>
                </pt>
                <pt idx="68">
                  <v>70.41183333333333</v>
                </pt>
                <pt idx="69">
                  <v>76.32612382234186</v>
                </pt>
                <pt idx="70">
                  <v>95.28269444444443</v>
                </pt>
                <pt idx="71">
                  <v>92.72815860215054</v>
                </pt>
                <pt idx="72">
                  <v>100.1237365591398</v>
                </pt>
                <pt idx="73">
                  <v>117.9355505952381</v>
                </pt>
                <pt idx="74">
                  <v>82.84686531986532</v>
                </pt>
                <pt idx="75">
                  <v>75.80665277777778</v>
                </pt>
                <pt idx="76">
                  <v>63.08255376344086</v>
                </pt>
                <pt idx="77">
                  <v>56.44824999999999</v>
                </pt>
                <pt idx="78">
                  <v>79.95969086021506</v>
                </pt>
                <pt idx="79">
                  <v>75.31549731182795</v>
                </pt>
                <pt idx="80">
                  <v>83.28893055555555</v>
                </pt>
                <pt idx="81">
                  <v>82.36807537012113</v>
                </pt>
                <pt idx="82">
                  <v>93.69557291666666</v>
                </pt>
                <pt idx="83">
                  <v>82.08152889784947</v>
                </pt>
              </numCache>
            </numRef>
          </val>
          <smooth val="1"/>
        </ser>
        <dLbls>
          <showLegendKey val="0"/>
          <showVal val="0"/>
          <showCatName val="0"/>
          <showSerName val="0"/>
          <showPercent val="0"/>
          <showBubbleSize val="0"/>
        </dLbls>
        <smooth val="0"/>
        <axId val="10"/>
        <axId val="100"/>
      </lineChart>
      <catAx>
        <axId val="10"/>
        <scaling>
          <orientation val="minMax"/>
        </scaling>
        <delete val="1"/>
        <axPos val="b"/>
        <title>
          <tx>
            <rich>
              <a:bodyPr xmlns:a="http://schemas.openxmlformats.org/drawingml/2006/main"/>
              <a:lstStyle xmlns:a="http://schemas.openxmlformats.org/drawingml/2006/main"/>
              <a:p xmlns:a="http://schemas.openxmlformats.org/drawingml/2006/main">
                <a:pPr>
                  <a:defRPr/>
                </a:pPr>
                <a:r>
                  <a:rPr lang="en-GB"/>
                  <a:t>Month</a:t>
                </a:r>
              </a:p>
            </rich>
          </tx>
          <overlay val="1"/>
        </title>
        <majorTickMark val="none"/>
        <minorTickMark val="none"/>
        <tickLblPos val="nextTo"/>
        <crossAx val="100"/>
        <crosses val="autoZero"/>
        <auto val="1"/>
        <lblAlgn val="ctr"/>
        <lblOffset val="100"/>
        <noMultiLvlLbl val="1"/>
      </catAx>
      <valAx>
        <axId val="100"/>
        <scaling>
          <orientation val="minMax"/>
        </scaling>
        <delete val="1"/>
        <axPos val="l"/>
        <majorGridlines/>
        <title>
          <tx>
            <rich>
              <a:bodyPr xmlns:a="http://schemas.openxmlformats.org/drawingml/2006/main"/>
              <a:lstStyle xmlns:a="http://schemas.openxmlformats.org/drawingml/2006/main"/>
              <a:p xmlns:a="http://schemas.openxmlformats.org/drawingml/2006/main">
                <a:pPr>
                  <a:defRPr/>
                </a:pPr>
                <a:r>
                  <a:rPr lang="en-GB"/>
                  <a:t>EUR/MWh</a:t>
                </a:r>
              </a:p>
            </rich>
          </tx>
          <overlay val="1"/>
        </title>
        <numFmt formatCode="General" sourceLinked="1"/>
        <majorTickMark val="none"/>
        <minorTickMark val="none"/>
        <tickLblPos val="nextTo"/>
        <crossAx val="10"/>
        <crosses val="autoZero"/>
        <crossBetween val="between"/>
      </valAx>
    </plotArea>
    <legend>
      <legendPos val="r"/>
      <overlay val="1"/>
    </legend>
    <plotVisOnly val="1"/>
    <dispBlanksAs val="gap"/>
  </chart>
</chartSpace>
</file>

<file path=xl/charts/chart24.xml><?xml version="1.0" encoding="utf-8"?>
<chartSpace xmlns="http://schemas.openxmlformats.org/drawingml/2006/chart">
  <chart>
    <title>
      <tx>
        <rich>
          <a:bodyPr xmlns:a="http://schemas.openxmlformats.org/drawingml/2006/main"/>
          <a:lstStyle xmlns:a="http://schemas.openxmlformats.org/drawingml/2006/main"/>
          <a:p xmlns:a="http://schemas.openxmlformats.org/drawingml/2006/main">
            <a:pPr>
              <a:defRPr/>
            </a:pPr>
            <a:r>
              <a:rPr lang="en-GB"/>
              <a:t>DK1 De-seasonalised Price Series (Primary)</a:t>
            </a:r>
          </a:p>
        </rich>
      </tx>
      <overlay val="1"/>
    </title>
    <plotArea>
      <layout/>
      <lineChart>
        <grouping val="standard"/>
        <varyColors val="1"/>
        <ser>
          <idx val="0"/>
          <order val="0"/>
          <tx>
            <strRef>
              <f>'Electricity Price Data'!$E$1</f>
              <strCache>
                <ptCount val="1"/>
                <pt idx="0">
                  <v>DK1 De-seasonalised Price (EUR/MWh)</v>
                </pt>
              </strCache>
            </strRef>
          </tx>
          <spPr>
            <a:ln xmlns:a="http://schemas.openxmlformats.org/drawingml/2006/main">
              <a:solidFill>
                <a:srgbClr val="2E75B6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val>
            <numRef>
              <f>'Electricity Price Data'!$E$2:$E$85</f>
              <numCache>
                <formatCode>General</formatCode>
                <ptCount val="84"/>
                <pt idx="0">
                  <v>-25.23473886328725</v>
                </pt>
                <pt idx="1">
                  <v>-30.1002282723434</v>
                </pt>
                <pt idx="2">
                  <v>-48.89935882635881</v>
                </pt>
                <pt idx="3">
                  <v>-31.76058531746028</v>
                </pt>
                <pt idx="4">
                  <v>-30.62264976958527</v>
                </pt>
                <pt idx="5">
                  <v>-47.45487301587301</v>
                </pt>
                <pt idx="6">
                  <v>-50.9138133640553</v>
                </pt>
                <pt idx="7">
                  <v>-82.75412634408602</v>
                </pt>
                <pt idx="8">
                  <v>-74.75671428571428</v>
                </pt>
                <pt idx="9">
                  <v>-37.87848634877907</v>
                </pt>
                <pt idx="10">
                  <v>-47.38835962301585</v>
                </pt>
                <pt idx="11">
                  <v>-73.29023329493089</v>
                </pt>
                <pt idx="12">
                  <v>-50.53584101382489</v>
                </pt>
                <pt idx="13">
                  <v>-55.32911476659628</v>
                </pt>
                <pt idx="14">
                  <v>-64.20589054025895</v>
                </pt>
                <pt idx="15">
                  <v>-56.29522420634917</v>
                </pt>
                <pt idx="16">
                  <v>-51.99817396313366</v>
                </pt>
                <pt idx="17">
                  <v>-54.05781746031745</v>
                </pt>
                <pt idx="18">
                  <v>-65.11155529953916</v>
                </pt>
                <pt idx="19">
                  <v>-86.08053763440859</v>
                </pt>
                <pt idx="20">
                  <v>-71.60053373015873</v>
                </pt>
                <pt idx="21">
                  <v>-50.41113776196884</v>
                </pt>
                <pt idx="22">
                  <v>-65.37884573412697</v>
                </pt>
                <pt idx="23">
                  <v>-72.82108006912443</v>
                </pt>
                <pt idx="24">
                  <v>-25.32527649769585</v>
                </pt>
                <pt idx="25">
                  <v>-25.65268362948625</v>
                </pt>
                <pt idx="26">
                  <v>-37.37817124201334</v>
                </pt>
                <pt idx="27">
                  <v>-22.86189087301584</v>
                </pt>
                <pt idx="28">
                  <v>-13.74459869431645</v>
                </pt>
                <pt idx="29">
                  <v>-6.614275793650791</v>
                </pt>
                <pt idx="30">
                  <v>-9.731877880184328</v>
                </pt>
                <pt idx="31">
                  <v>-37.83106182795699</v>
                </pt>
                <pt idx="32">
                  <v>15.22818849206351</v>
                </pt>
                <pt idx="33">
                  <v>40.81392280330708</v>
                </pt>
                <pt idx="34">
                  <v>52.66415426587304</v>
                </pt>
                <pt idx="35">
                  <v>82.01711885560675</v>
                </pt>
                <pt idx="36">
                  <v>42.46426651305684</v>
                </pt>
                <pt idx="37">
                  <v>40.20655744194231</v>
                </pt>
                <pt idx="38">
                  <v>153.3172268686479</v>
                </pt>
                <pt idx="39">
                  <v>92.80847023809527</v>
                </pt>
                <pt idx="40">
                  <v>103.8058717357911</v>
                </pt>
                <pt idx="41">
                  <v>134.0961547619048</v>
                </pt>
                <pt idx="42">
                  <v>185.3070468509984</v>
                </pt>
                <pt idx="43">
                  <v>336.1305241935484</v>
                </pt>
                <pt idx="44">
                  <v>232.6840773809524</v>
                </pt>
                <pt idx="45">
                  <v>60.90583397423573</v>
                </pt>
                <pt idx="46">
                  <v>50.57077926587303</v>
                </pt>
                <pt idx="47">
                  <v>142.3334091781874</v>
                </pt>
                <pt idx="48">
                  <v>37.0114573732719</v>
                </pt>
                <pt idx="49">
                  <v>45.22194434670422</v>
                </pt>
                <pt idx="50">
                  <v>16.60629569455887</v>
                </pt>
                <pt idx="51">
                  <v>25.44197023809528</v>
                </pt>
                <pt idx="52">
                  <v>5.913613671274945</v>
                </pt>
                <pt idx="53">
                  <v>12.16133531746033</v>
                </pt>
                <pt idx="54">
                  <v>-24.91982142857142</v>
                </pt>
                <pt idx="55">
                  <v>-34.65271505376343</v>
                </pt>
                <pt idx="56">
                  <v>-25.39613095238094</v>
                </pt>
                <pt idx="57">
                  <v>-16.12012834070369</v>
                </pt>
                <pt idx="58">
                  <v>-0.9788596230158504</v>
                </pt>
                <pt idx="59">
                  <v>-37.84969566052227</v>
                </pt>
                <pt idx="60">
                  <v>-0.8154512288786435</v>
                </pt>
                <pt idx="61">
                  <v>-14.28024982406754</v>
                </pt>
                <pt idx="62">
                  <v>-21.28132913675017</v>
                </pt>
                <pt idx="63">
                  <v>-11.66421031746028</v>
                </pt>
                <pt idx="64">
                  <v>-9.535311059907855</v>
                </pt>
                <pt idx="65">
                  <v>-16.58105357142856</v>
                </pt>
                <pt idx="66">
                  <v>-27.70077572964669</v>
                </pt>
                <pt idx="67">
                  <v>-47.66602150537634</v>
                </pt>
                <pt idx="68">
                  <v>-38.42199206349206</v>
                </pt>
                <pt idx="69">
                  <v>0.4940843107094963</v>
                </pt>
                <pt idx="70">
                  <v>6.771168154761924</v>
                </pt>
                <pt idx="71">
                  <v>-15.49477630568356</v>
                </pt>
                <pt idx="72">
                  <v>22.4355837173579</v>
                </pt>
                <pt idx="73">
                  <v>39.93377470384708</v>
                </pt>
                <pt idx="74">
                  <v>1.841227182174563</v>
                </pt>
                <pt idx="75">
                  <v>4.331470238095278</v>
                </pt>
                <pt idx="76">
                  <v>-3.818751920122907</v>
                </pt>
                <pt idx="77">
                  <v>-21.54947023809523</v>
                </pt>
                <pt idx="78">
                  <v>-6.929203149001538</v>
                </pt>
                <pt idx="79">
                  <v>-47.14606182795697</v>
                </pt>
                <pt idx="80">
                  <v>-37.73689484126983</v>
                </pt>
                <pt idx="81">
                  <v>2.1959113631994</v>
                </pt>
                <pt idx="82">
                  <v>3.739963293650817</v>
                </pt>
                <pt idx="83">
                  <v>-24.89474270353303</v>
                </pt>
              </numCache>
            </numRef>
          </val>
          <smooth val="1"/>
        </ser>
        <dLbls>
          <showLegendKey val="0"/>
          <showVal val="0"/>
          <showCatName val="0"/>
          <showSerName val="0"/>
          <showPercent val="0"/>
          <showBubbleSize val="0"/>
        </dLbls>
        <smooth val="0"/>
        <axId val="10"/>
        <axId val="100"/>
      </lineChart>
      <catAx>
        <axId val="10"/>
        <scaling>
          <orientation val="minMax"/>
        </scaling>
        <delete val="1"/>
        <axPos val="b"/>
        <title>
          <tx>
            <rich>
              <a:bodyPr xmlns:a="http://schemas.openxmlformats.org/drawingml/2006/main"/>
              <a:lstStyle xmlns:a="http://schemas.openxmlformats.org/drawingml/2006/main"/>
              <a:p xmlns:a="http://schemas.openxmlformats.org/drawingml/2006/main">
                <a:pPr>
                  <a:defRPr/>
                </a:pPr>
                <a:r>
                  <a:rPr lang="en-GB"/>
                  <a:t>Month</a:t>
                </a:r>
              </a:p>
            </rich>
          </tx>
          <overlay val="1"/>
        </title>
        <majorTickMark val="none"/>
        <minorTickMark val="none"/>
        <tickLblPos val="nextTo"/>
        <crossAx val="100"/>
        <crosses val="autoZero"/>
        <auto val="1"/>
        <lblAlgn val="ctr"/>
        <lblOffset val="100"/>
        <noMultiLvlLbl val="1"/>
      </catAx>
      <valAx>
        <axId val="100"/>
        <scaling>
          <orientation val="minMax"/>
        </scaling>
        <delete val="1"/>
        <axPos val="l"/>
        <majorGridlines/>
        <title>
          <tx>
            <rich>
              <a:bodyPr xmlns:a="http://schemas.openxmlformats.org/drawingml/2006/main"/>
              <a:lstStyle xmlns:a="http://schemas.openxmlformats.org/drawingml/2006/main"/>
              <a:p xmlns:a="http://schemas.openxmlformats.org/drawingml/2006/main">
                <a:pPr>
                  <a:defRPr/>
                </a:pPr>
                <a:r>
                  <a:rPr lang="en-GB"/>
                  <a:t>EUR/MWh</a:t>
                </a:r>
              </a:p>
            </rich>
          </tx>
          <overlay val="1"/>
        </title>
        <numFmt formatCode="General" sourceLinked="1"/>
        <majorTickMark val="none"/>
        <minorTickMark val="none"/>
        <tickLblPos val="nextTo"/>
        <crossAx val="10"/>
        <crosses val="autoZero"/>
        <crossBetween val="between"/>
      </valAx>
    </plotArea>
    <legend>
      <legendPos val="r"/>
      <overlay val="0"/>
      <txPr>
        <a:bodyPr xmlns:a="http://schemas.openxmlformats.org/drawingml/2006/main"/>
        <a:lstStyle xmlns:a="http://schemas.openxmlformats.org/drawingml/2006/main"/>
        <a:p xmlns:a="http://schemas.openxmlformats.org/drawingml/2006/main">
          <a:pPr rtl="0">
            <a:defRPr/>
          </a:pPr>
          <a:r>
            <a:t>None</a:t>
          </a:r>
          <a:endParaRPr lang="en-DK"/>
        </a:p>
      </txPr>
    </legend>
    <plotVisOnly val="1"/>
    <dispBlanksAs val="gap"/>
  </chart>
</chartSpace>
</file>

<file path=xl/charts/chart25.xml><?xml version="1.0" encoding="utf-8"?>
<chartSpace xmlns="http://schemas.openxmlformats.org/drawingml/2006/chart">
  <chart>
    <title>
      <tx>
        <rich>
          <a:bodyPr xmlns:a="http://schemas.openxmlformats.org/drawingml/2006/main"/>
          <a:lstStyle xmlns:a="http://schemas.openxmlformats.org/drawingml/2006/main"/>
          <a:p xmlns:a="http://schemas.openxmlformats.org/drawingml/2006/main">
            <a:pPr>
              <a:defRPr/>
            </a:pPr>
            <a:r>
              <a:t>Monthly Spot Prices - DK1 (Primary) and DK2 (Robustness)</a:t>
            </a:r>
          </a:p>
        </rich>
      </tx>
      <overlay val="1"/>
    </title>
    <plotArea>
      <layout/>
      <lineChart>
        <grouping val="standard"/>
        <varyColors val="1"/>
        <ser>
          <idx val="0"/>
          <order val="0"/>
          <tx>
            <strRef>
              <f>'Electricity Price Data'!$B$1</f>
              <strCache>
                <ptCount val="1"/>
                <pt idx="0">
                  <v>DK1 Spot Price (EUR/MWh) — Primary</v>
                </pt>
              </strCache>
            </strRef>
          </tx>
          <spPr>
            <a:ln xmlns:a="http://schemas.openxmlformats.org/drawingml/2006/main">
              <a:solidFill>
                <a:srgbClr val="2E75B6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val>
            <numRef>
              <f>'Electricity Price Data'!$B$2:$B$85</f>
              <numCache>
                <formatCode>General</formatCode>
                <ptCount val="84"/>
                <pt idx="0">
                  <v>50.29564516129032</v>
                </pt>
                <pt idx="1">
                  <v>42.81395833333333</v>
                </pt>
                <pt idx="2">
                  <v>33.60825910931175</v>
                </pt>
                <pt idx="3">
                  <v>39.06841666666666</v>
                </pt>
                <pt idx="4">
                  <v>37.42951612903226</v>
                </pt>
                <pt idx="5">
                  <v>32.87922222222223</v>
                </pt>
                <pt idx="6">
                  <v>38.81731182795698</v>
                </pt>
                <pt idx="7">
                  <v>37.86569892473118</v>
                </pt>
                <pt idx="8">
                  <v>35.37886111111111</v>
                </pt>
                <pt idx="9">
                  <v>38.34740242261103</v>
                </pt>
                <pt idx="10">
                  <v>41.74506944444445</v>
                </pt>
                <pt idx="11">
                  <v>34.04197580645161</v>
                </pt>
                <pt idx="12">
                  <v>24.99454301075269</v>
                </pt>
                <pt idx="13">
                  <v>17.58507183908046</v>
                </pt>
                <pt idx="14">
                  <v>18.30172739541161</v>
                </pt>
                <pt idx="15">
                  <v>14.53377777777778</v>
                </pt>
                <pt idx="16">
                  <v>16.05399193548387</v>
                </pt>
                <pt idx="17">
                  <v>26.27627777777777</v>
                </pt>
                <pt idx="18">
                  <v>24.61956989247312</v>
                </pt>
                <pt idx="19">
                  <v>34.5392876344086</v>
                </pt>
                <pt idx="20">
                  <v>38.53504166666666</v>
                </pt>
                <pt idx="21">
                  <v>25.81475100942126</v>
                </pt>
                <pt idx="22">
                  <v>23.75458333333333</v>
                </pt>
                <pt idx="23">
                  <v>34.51112903225806</v>
                </pt>
                <pt idx="24">
                  <v>50.20510752688172</v>
                </pt>
                <pt idx="25">
                  <v>47.26150297619048</v>
                </pt>
                <pt idx="26">
                  <v>45.12944669365721</v>
                </pt>
                <pt idx="27">
                  <v>47.96711111111111</v>
                </pt>
                <pt idx="28">
                  <v>54.30756720430108</v>
                </pt>
                <pt idx="29">
                  <v>73.71981944444444</v>
                </pt>
                <pt idx="30">
                  <v>79.99924731182796</v>
                </pt>
                <pt idx="31">
                  <v>82.78876344086021</v>
                </pt>
                <pt idx="32">
                  <v>125.3637638888889</v>
                </pt>
                <pt idx="33">
                  <v>117.0398115746972</v>
                </pt>
                <pt idx="34">
                  <v>141.7975833333333</v>
                </pt>
                <pt idx="35">
                  <v>189.3493279569892</v>
                </pt>
                <pt idx="36">
                  <v>117.9946505376344</v>
                </pt>
                <pt idx="37">
                  <v>113.120744047619</v>
                </pt>
                <pt idx="38">
                  <v>235.8248448043185</v>
                </pt>
                <pt idx="39">
                  <v>163.6374722222222</v>
                </pt>
                <pt idx="40">
                  <v>171.8580376344086</v>
                </pt>
                <pt idx="41">
                  <v>214.43025</v>
                </pt>
                <pt idx="42">
                  <v>275.0381720430107</v>
                </pt>
                <pt idx="43">
                  <v>456.7503494623656</v>
                </pt>
                <pt idx="44">
                  <v>342.8196527777778</v>
                </pt>
                <pt idx="45">
                  <v>137.1317227456258</v>
                </pt>
                <pt idx="46">
                  <v>139.7042083333333</v>
                </pt>
                <pt idx="47">
                  <v>249.6656182795699</v>
                </pt>
                <pt idx="48">
                  <v>112.5418413978495</v>
                </pt>
                <pt idx="49">
                  <v>118.136130952381</v>
                </pt>
                <pt idx="50">
                  <v>99.11391363022942</v>
                </pt>
                <pt idx="51">
                  <v>96.27097222222223</v>
                </pt>
                <pt idx="52">
                  <v>73.96577956989248</v>
                </pt>
                <pt idx="53">
                  <v>92.49543055555556</v>
                </pt>
                <pt idx="54">
                  <v>64.81130376344086</v>
                </pt>
                <pt idx="55">
                  <v>85.96711021505376</v>
                </pt>
                <pt idx="56">
                  <v>84.73944444444444</v>
                </pt>
                <pt idx="57">
                  <v>60.10576043068641</v>
                </pt>
                <pt idx="58">
                  <v>88.15456944444445</v>
                </pt>
                <pt idx="59">
                  <v>69.48251344086022</v>
                </pt>
                <pt idx="60">
                  <v>74.71493279569893</v>
                </pt>
                <pt idx="61">
                  <v>58.63393678160919</v>
                </pt>
                <pt idx="62">
                  <v>61.22628879892038</v>
                </pt>
                <pt idx="63">
                  <v>59.16479166666667</v>
                </pt>
                <pt idx="64">
                  <v>58.51685483870968</v>
                </pt>
                <pt idx="65">
                  <v>63.75304166666667</v>
                </pt>
                <pt idx="66">
                  <v>62.03034946236559</v>
                </pt>
                <pt idx="67">
                  <v>72.95380376344086</v>
                </pt>
                <pt idx="68">
                  <v>71.71358333333333</v>
                </pt>
                <pt idx="69">
                  <v>76.7199730820996</v>
                </pt>
                <pt idx="70">
                  <v>95.90459722222222</v>
                </pt>
                <pt idx="71">
                  <v>91.83743279569893</v>
                </pt>
                <pt idx="72">
                  <v>97.96596774193547</v>
                </pt>
                <pt idx="73">
                  <v>112.8479613095238</v>
                </pt>
                <pt idx="74">
                  <v>84.34884511784512</v>
                </pt>
                <pt idx="75">
                  <v>75.16047222222223</v>
                </pt>
                <pt idx="76">
                  <v>64.23341397849462</v>
                </pt>
                <pt idx="77">
                  <v>58.784625</v>
                </pt>
                <pt idx="78">
                  <v>82.80192204301075</v>
                </pt>
                <pt idx="79">
                  <v>73.47376344086022</v>
                </pt>
                <pt idx="80">
                  <v>72.39868055555556</v>
                </pt>
                <pt idx="81">
                  <v>78.4218001345895</v>
                </pt>
                <pt idx="82">
                  <v>92.87339236111112</v>
                </pt>
                <pt idx="83">
                  <v>82.43746639784946</v>
                </pt>
              </numCache>
            </numRef>
          </val>
          <smooth val="1"/>
        </ser>
        <ser>
          <idx val="1"/>
          <order val="1"/>
          <tx>
            <strRef>
              <f>'Electricity Price Data'!$C$1</f>
              <strCache>
                <ptCount val="1"/>
                <pt idx="0">
                  <v>DK2 Spot Price (EUR/MWh) — Robustness</v>
                </pt>
              </strCache>
            </strRef>
          </tx>
          <spPr>
            <a:ln xmlns:a="http://schemas.openxmlformats.org/drawingml/2006/main">
              <a:solidFill>
                <a:srgbClr val="9DC3E6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val>
            <numRef>
              <f>'Electricity Price Data'!$C$2:$C$85</f>
              <numCache>
                <formatCode>General</formatCode>
                <ptCount val="84"/>
                <pt idx="0">
                  <v>51.65502688172042</v>
                </pt>
                <pt idx="1">
                  <v>43.93294642857143</v>
                </pt>
                <pt idx="2">
                  <v>35.66735492577597</v>
                </pt>
                <pt idx="3">
                  <v>39.89209722222223</v>
                </pt>
                <pt idx="4">
                  <v>38.15139784946236</v>
                </pt>
                <pt idx="5">
                  <v>33.62223611111111</v>
                </pt>
                <pt idx="6">
                  <v>39.0001747311828</v>
                </pt>
                <pt idx="7">
                  <v>39.49317204301075</v>
                </pt>
                <pt idx="8">
                  <v>37.32134722222222</v>
                </pt>
                <pt idx="9">
                  <v>41.59935397039031</v>
                </pt>
                <pt idx="10">
                  <v>42.69644444444445</v>
                </pt>
                <pt idx="11">
                  <v>35.34711021505376</v>
                </pt>
                <pt idx="12">
                  <v>27.38524193548387</v>
                </pt>
                <pt idx="13">
                  <v>18.81699712643678</v>
                </pt>
                <pt idx="14">
                  <v>20.05249662618084</v>
                </pt>
                <pt idx="15">
                  <v>17.35486111111111</v>
                </pt>
                <pt idx="16">
                  <v>19.04407258064516</v>
                </pt>
                <pt idx="17">
                  <v>29.82329166666667</v>
                </pt>
                <pt idx="18">
                  <v>25.88668010752688</v>
                </pt>
                <pt idx="19">
                  <v>40.92381720430107</v>
                </pt>
                <pt idx="20">
                  <v>39.51423611111111</v>
                </pt>
                <pt idx="21">
                  <v>26.93351278600269</v>
                </pt>
                <pt idx="22">
                  <v>35.71134722222222</v>
                </pt>
                <pt idx="23">
                  <v>39.25715053763441</v>
                </pt>
                <pt idx="24">
                  <v>50.85895161290323</v>
                </pt>
                <pt idx="25">
                  <v>54.54806547619048</v>
                </pt>
                <pt idx="26">
                  <v>46.73221322537112</v>
                </pt>
                <pt idx="27">
                  <v>47.86295833333334</v>
                </pt>
                <pt idx="28">
                  <v>55.20880376344086</v>
                </pt>
                <pt idx="29">
                  <v>73.58690277777778</v>
                </pt>
                <pt idx="30">
                  <v>81.44088709677419</v>
                </pt>
                <pt idx="31">
                  <v>84.36354838709678</v>
                </pt>
                <pt idx="32">
                  <v>123.9021111111111</v>
                </pt>
                <pt idx="33">
                  <v>106.9322745625841</v>
                </pt>
                <pt idx="34">
                  <v>136.3800555555555</v>
                </pt>
                <pt idx="35">
                  <v>191.0686155913978</v>
                </pt>
                <pt idx="36">
                  <v>111.6220967741935</v>
                </pt>
                <pt idx="37">
                  <v>100.2914136904762</v>
                </pt>
                <pt idx="38">
                  <v>227.9203643724696</v>
                </pt>
                <pt idx="39">
                  <v>152.8328055555556</v>
                </pt>
                <pt idx="40">
                  <v>162.6584139784946</v>
                </pt>
                <pt idx="41">
                  <v>213.2331388888889</v>
                </pt>
                <pt idx="42">
                  <v>233.4777419354839</v>
                </pt>
                <pt idx="43">
                  <v>449.7688306451613</v>
                </pt>
                <pt idx="44">
                  <v>328.8001527777778</v>
                </pt>
                <pt idx="45">
                  <v>136.8978331090175</v>
                </pt>
                <pt idx="46">
                  <v>145.0578055555555</v>
                </pt>
                <pt idx="47">
                  <v>248.8820698924731</v>
                </pt>
                <pt idx="48">
                  <v>99.76288978494622</v>
                </pt>
                <pt idx="49">
                  <v>100.6489285714286</v>
                </pt>
                <pt idx="50">
                  <v>89.79561403508772</v>
                </pt>
                <pt idx="51">
                  <v>83.65112499999999</v>
                </pt>
                <pt idx="52">
                  <v>66.15174731182796</v>
                </pt>
                <pt idx="53">
                  <v>91.42315277777777</v>
                </pt>
                <pt idx="54">
                  <v>65.24004032258064</v>
                </pt>
                <pt idx="55">
                  <v>86.29373655913979</v>
                </pt>
                <pt idx="56">
                  <v>85.48412500000001</v>
                </pt>
                <pt idx="57">
                  <v>56.92581426648721</v>
                </pt>
                <pt idx="58">
                  <v>81.48604166666667</v>
                </pt>
                <pt idx="59">
                  <v>70.87973118279569</v>
                </pt>
                <pt idx="60">
                  <v>78.21481182795699</v>
                </pt>
                <pt idx="61">
                  <v>54.72224137931035</v>
                </pt>
                <pt idx="62">
                  <v>61.0408636977058</v>
                </pt>
                <pt idx="63">
                  <v>60.47670833333333</v>
                </pt>
                <pt idx="64">
                  <v>58.12298387096774</v>
                </pt>
                <pt idx="65">
                  <v>66.79098611111111</v>
                </pt>
                <pt idx="66">
                  <v>62.84170698924731</v>
                </pt>
                <pt idx="67">
                  <v>72.61426075268818</v>
                </pt>
                <pt idx="68">
                  <v>70.41183333333333</v>
                </pt>
                <pt idx="69">
                  <v>76.32612382234186</v>
                </pt>
                <pt idx="70">
                  <v>95.28269444444443</v>
                </pt>
                <pt idx="71">
                  <v>92.72815860215054</v>
                </pt>
                <pt idx="72">
                  <v>100.1237365591398</v>
                </pt>
                <pt idx="73">
                  <v>117.9355505952381</v>
                </pt>
                <pt idx="74">
                  <v>82.84686531986532</v>
                </pt>
                <pt idx="75">
                  <v>75.80665277777778</v>
                </pt>
                <pt idx="76">
                  <v>63.08255376344086</v>
                </pt>
                <pt idx="77">
                  <v>56.44824999999999</v>
                </pt>
                <pt idx="78">
                  <v>79.95969086021506</v>
                </pt>
                <pt idx="79">
                  <v>75.31549731182795</v>
                </pt>
                <pt idx="80">
                  <v>83.28893055555555</v>
                </pt>
                <pt idx="81">
                  <v>82.36807537012113</v>
                </pt>
                <pt idx="82">
                  <v>93.69557291666666</v>
                </pt>
                <pt idx="83">
                  <v>82.08152889784947</v>
                </pt>
              </numCache>
            </numRef>
          </val>
          <smooth val="1"/>
        </ser>
        <dLbls>
          <showLegendKey val="0"/>
          <showVal val="0"/>
          <showCatName val="0"/>
          <showSerName val="0"/>
          <showPercent val="0"/>
          <showBubbleSize val="0"/>
        </dLbls>
        <smooth val="0"/>
        <axId val="10"/>
        <axId val="100"/>
      </lineChart>
      <catAx>
        <axId val="10"/>
        <scaling>
          <orientation val="minMax"/>
        </scaling>
        <delete val="1"/>
        <axPos val="b"/>
        <title>
          <tx>
            <rich>
              <a:bodyPr xmlns:a="http://schemas.openxmlformats.org/drawingml/2006/main"/>
              <a:lstStyle xmlns:a="http://schemas.openxmlformats.org/drawingml/2006/main"/>
              <a:p xmlns:a="http://schemas.openxmlformats.org/drawingml/2006/main">
                <a:pPr>
                  <a:defRPr/>
                </a:pPr>
                <a:r>
                  <a:t>Month</a:t>
                </a:r>
              </a:p>
            </rich>
          </tx>
          <overlay val="1"/>
        </title>
        <majorTickMark val="none"/>
        <minorTickMark val="none"/>
        <tickLblPos val="nextTo"/>
        <crossAx val="100"/>
        <crosses val="autoZero"/>
        <auto val="1"/>
        <lblAlgn val="ctr"/>
        <lblOffset val="100"/>
        <noMultiLvlLbl val="1"/>
      </catAx>
      <valAx>
        <axId val="100"/>
        <scaling>
          <orientation val="minMax"/>
        </scaling>
        <delete val="1"/>
        <axPos val="l"/>
        <majorGridlines/>
        <title>
          <tx>
            <rich>
              <a:bodyPr xmlns:a="http://schemas.openxmlformats.org/drawingml/2006/main"/>
              <a:lstStyle xmlns:a="http://schemas.openxmlformats.org/drawingml/2006/main"/>
              <a:p xmlns:a="http://schemas.openxmlformats.org/drawingml/2006/main">
                <a:pPr>
                  <a:defRPr/>
                </a:pPr>
                <a:r>
                  <a:t>EUR/MWh</a:t>
                </a:r>
              </a:p>
            </rich>
          </tx>
          <overlay val="1"/>
        </title>
        <numFmt formatCode="General" sourceLinked="1"/>
        <majorTickMark val="none"/>
        <minorTickMark val="none"/>
        <tickLblPos val="nextTo"/>
        <crossAx val="10"/>
        <crosses val="autoZero"/>
        <crossBetween val="between"/>
      </valAx>
    </plotArea>
    <legend>
      <legendPos val="r"/>
      <overlay val="1"/>
    </legend>
    <plotVisOnly val="1"/>
    <dispBlanksAs val="gap"/>
  </chart>
</chartSpace>
</file>

<file path=xl/charts/chart26.xml><?xml version="1.0" encoding="utf-8"?>
<chartSpace xmlns="http://schemas.openxmlformats.org/drawingml/2006/chart">
  <chart>
    <title>
      <tx>
        <rich>
          <a:bodyPr xmlns:a="http://schemas.openxmlformats.org/drawingml/2006/main"/>
          <a:lstStyle xmlns:a="http://schemas.openxmlformats.org/drawingml/2006/main"/>
          <a:p xmlns:a="http://schemas.openxmlformats.org/drawingml/2006/main">
            <a:pPr>
              <a:defRPr/>
            </a:pPr>
            <a:r>
              <a:t>DK1 De-seasonalised Price Series (Primary)</a:t>
            </a:r>
          </a:p>
        </rich>
      </tx>
      <overlay val="1"/>
    </title>
    <plotArea>
      <layout/>
      <lineChart>
        <grouping val="standard"/>
        <varyColors val="1"/>
        <ser>
          <idx val="0"/>
          <order val="0"/>
          <tx>
            <strRef>
              <f>'Electricity Price Data'!$E$1</f>
              <strCache>
                <ptCount val="1"/>
                <pt idx="0">
                  <v>DK1 De-seasonalised Price (EUR/MWh)</v>
                </pt>
              </strCache>
            </strRef>
          </tx>
          <spPr>
            <a:ln xmlns:a="http://schemas.openxmlformats.org/drawingml/2006/main">
              <a:solidFill>
                <a:srgbClr val="2E75B6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val>
            <numRef>
              <f>'Electricity Price Data'!$E$2:$E$85</f>
              <numCache>
                <formatCode>General</formatCode>
                <ptCount val="84"/>
                <pt idx="0">
                  <v>-25.23473886328725</v>
                </pt>
                <pt idx="1">
                  <v>-30.1002282723434</v>
                </pt>
                <pt idx="2">
                  <v>-48.89935882635881</v>
                </pt>
                <pt idx="3">
                  <v>-31.76058531746028</v>
                </pt>
                <pt idx="4">
                  <v>-30.62264976958527</v>
                </pt>
                <pt idx="5">
                  <v>-47.45487301587301</v>
                </pt>
                <pt idx="6">
                  <v>-50.9138133640553</v>
                </pt>
                <pt idx="7">
                  <v>-82.75412634408602</v>
                </pt>
                <pt idx="8">
                  <v>-74.75671428571428</v>
                </pt>
                <pt idx="9">
                  <v>-37.87848634877907</v>
                </pt>
                <pt idx="10">
                  <v>-47.38835962301585</v>
                </pt>
                <pt idx="11">
                  <v>-73.29023329493089</v>
                </pt>
                <pt idx="12">
                  <v>-50.53584101382489</v>
                </pt>
                <pt idx="13">
                  <v>-55.32911476659628</v>
                </pt>
                <pt idx="14">
                  <v>-64.20589054025895</v>
                </pt>
                <pt idx="15">
                  <v>-56.29522420634917</v>
                </pt>
                <pt idx="16">
                  <v>-51.99817396313366</v>
                </pt>
                <pt idx="17">
                  <v>-54.05781746031745</v>
                </pt>
                <pt idx="18">
                  <v>-65.11155529953916</v>
                </pt>
                <pt idx="19">
                  <v>-86.08053763440859</v>
                </pt>
                <pt idx="20">
                  <v>-71.60053373015873</v>
                </pt>
                <pt idx="21">
                  <v>-50.41113776196884</v>
                </pt>
                <pt idx="22">
                  <v>-65.37884573412697</v>
                </pt>
                <pt idx="23">
                  <v>-72.82108006912443</v>
                </pt>
                <pt idx="24">
                  <v>-25.32527649769585</v>
                </pt>
                <pt idx="25">
                  <v>-25.65268362948625</v>
                </pt>
                <pt idx="26">
                  <v>-37.37817124201334</v>
                </pt>
                <pt idx="27">
                  <v>-22.86189087301584</v>
                </pt>
                <pt idx="28">
                  <v>-13.74459869431645</v>
                </pt>
                <pt idx="29">
                  <v>-6.614275793650791</v>
                </pt>
                <pt idx="30">
                  <v>-9.731877880184328</v>
                </pt>
                <pt idx="31">
                  <v>-37.83106182795699</v>
                </pt>
                <pt idx="32">
                  <v>15.22818849206351</v>
                </pt>
                <pt idx="33">
                  <v>40.81392280330708</v>
                </pt>
                <pt idx="34">
                  <v>52.66415426587304</v>
                </pt>
                <pt idx="35">
                  <v>82.01711885560675</v>
                </pt>
                <pt idx="36">
                  <v>42.46426651305684</v>
                </pt>
                <pt idx="37">
                  <v>40.20655744194231</v>
                </pt>
                <pt idx="38">
                  <v>153.3172268686479</v>
                </pt>
                <pt idx="39">
                  <v>92.80847023809527</v>
                </pt>
                <pt idx="40">
                  <v>103.8058717357911</v>
                </pt>
                <pt idx="41">
                  <v>134.0961547619048</v>
                </pt>
                <pt idx="42">
                  <v>185.3070468509984</v>
                </pt>
                <pt idx="43">
                  <v>336.1305241935484</v>
                </pt>
                <pt idx="44">
                  <v>232.6840773809524</v>
                </pt>
                <pt idx="45">
                  <v>60.90583397423573</v>
                </pt>
                <pt idx="46">
                  <v>50.57077926587303</v>
                </pt>
                <pt idx="47">
                  <v>142.3334091781874</v>
                </pt>
                <pt idx="48">
                  <v>37.0114573732719</v>
                </pt>
                <pt idx="49">
                  <v>45.22194434670422</v>
                </pt>
                <pt idx="50">
                  <v>16.60629569455887</v>
                </pt>
                <pt idx="51">
                  <v>25.44197023809528</v>
                </pt>
                <pt idx="52">
                  <v>5.913613671274945</v>
                </pt>
                <pt idx="53">
                  <v>12.16133531746033</v>
                </pt>
                <pt idx="54">
                  <v>-24.91982142857142</v>
                </pt>
                <pt idx="55">
                  <v>-34.65271505376343</v>
                </pt>
                <pt idx="56">
                  <v>-25.39613095238094</v>
                </pt>
                <pt idx="57">
                  <v>-16.12012834070369</v>
                </pt>
                <pt idx="58">
                  <v>-0.9788596230158504</v>
                </pt>
                <pt idx="59">
                  <v>-37.84969566052227</v>
                </pt>
                <pt idx="60">
                  <v>-0.8154512288786435</v>
                </pt>
                <pt idx="61">
                  <v>-14.28024982406754</v>
                </pt>
                <pt idx="62">
                  <v>-21.28132913675017</v>
                </pt>
                <pt idx="63">
                  <v>-11.66421031746028</v>
                </pt>
                <pt idx="64">
                  <v>-9.535311059907855</v>
                </pt>
                <pt idx="65">
                  <v>-16.58105357142856</v>
                </pt>
                <pt idx="66">
                  <v>-27.70077572964669</v>
                </pt>
                <pt idx="67">
                  <v>-47.66602150537634</v>
                </pt>
                <pt idx="68">
                  <v>-38.42199206349206</v>
                </pt>
                <pt idx="69">
                  <v>0.4940843107094963</v>
                </pt>
                <pt idx="70">
                  <v>6.771168154761924</v>
                </pt>
                <pt idx="71">
                  <v>-15.49477630568356</v>
                </pt>
                <pt idx="72">
                  <v>22.4355837173579</v>
                </pt>
                <pt idx="73">
                  <v>39.93377470384708</v>
                </pt>
                <pt idx="74">
                  <v>1.841227182174563</v>
                </pt>
                <pt idx="75">
                  <v>4.331470238095278</v>
                </pt>
                <pt idx="76">
                  <v>-3.818751920122907</v>
                </pt>
                <pt idx="77">
                  <v>-21.54947023809523</v>
                </pt>
                <pt idx="78">
                  <v>-6.929203149001538</v>
                </pt>
                <pt idx="79">
                  <v>-47.14606182795697</v>
                </pt>
                <pt idx="80">
                  <v>-37.73689484126983</v>
                </pt>
                <pt idx="81">
                  <v>2.1959113631994</v>
                </pt>
                <pt idx="82">
                  <v>3.739963293650817</v>
                </pt>
                <pt idx="83">
                  <v>-24.89474270353303</v>
                </pt>
              </numCache>
            </numRef>
          </val>
          <smooth val="1"/>
        </ser>
        <dLbls>
          <showLegendKey val="0"/>
          <showVal val="0"/>
          <showCatName val="0"/>
          <showSerName val="0"/>
          <showPercent val="0"/>
          <showBubbleSize val="0"/>
        </dLbls>
        <smooth val="0"/>
        <axId val="10"/>
        <axId val="100"/>
      </lineChart>
      <catAx>
        <axId val="10"/>
        <scaling>
          <orientation val="minMax"/>
        </scaling>
        <delete val="1"/>
        <axPos val="b"/>
        <title>
          <tx>
            <rich>
              <a:bodyPr xmlns:a="http://schemas.openxmlformats.org/drawingml/2006/main"/>
              <a:lstStyle xmlns:a="http://schemas.openxmlformats.org/drawingml/2006/main"/>
              <a:p xmlns:a="http://schemas.openxmlformats.org/drawingml/2006/main">
                <a:pPr>
                  <a:defRPr/>
                </a:pPr>
                <a:r>
                  <a:t>Month</a:t>
                </a:r>
              </a:p>
            </rich>
          </tx>
          <overlay val="1"/>
        </title>
        <majorTickMark val="none"/>
        <minorTickMark val="none"/>
        <tickLblPos val="nextTo"/>
        <crossAx val="100"/>
        <crosses val="autoZero"/>
        <auto val="1"/>
        <lblAlgn val="ctr"/>
        <lblOffset val="100"/>
        <noMultiLvlLbl val="1"/>
      </catAx>
      <valAx>
        <axId val="100"/>
        <scaling>
          <orientation val="minMax"/>
        </scaling>
        <delete val="1"/>
        <axPos val="l"/>
        <majorGridlines/>
        <title>
          <tx>
            <rich>
              <a:bodyPr xmlns:a="http://schemas.openxmlformats.org/drawingml/2006/main"/>
              <a:lstStyle xmlns:a="http://schemas.openxmlformats.org/drawingml/2006/main"/>
              <a:p xmlns:a="http://schemas.openxmlformats.org/drawingml/2006/main">
                <a:pPr>
                  <a:defRPr/>
                </a:pPr>
                <a:r>
                  <a:t>EUR/MWh</a:t>
                </a:r>
              </a:p>
            </rich>
          </tx>
          <overlay val="1"/>
        </title>
        <numFmt formatCode="General" sourceLinked="1"/>
        <majorTickMark val="none"/>
        <minorTickMark val="none"/>
        <tickLblPos val="nextTo"/>
        <crossAx val="10"/>
        <crosses val="autoZero"/>
        <crossBetween val="between"/>
      </valAx>
    </plotArea>
    <legend>
      <legendPos val="r"/>
      <overlay val="0"/>
    </legend>
    <plotVisOnly val="1"/>
    <dispBlanksAs val="gap"/>
  </chart>
</chartSpace>
</file>

<file path=xl/charts/chart27.xml><?xml version="1.0" encoding="utf-8"?>
<chartSpace xmlns="http://schemas.openxmlformats.org/drawingml/2006/chart">
  <chart>
    <title>
      <tx>
        <rich>
          <a:bodyPr xmlns:a="http://schemas.openxmlformats.org/drawingml/2006/main"/>
          <a:lstStyle xmlns:a="http://schemas.openxmlformats.org/drawingml/2006/main"/>
          <a:p xmlns:a="http://schemas.openxmlformats.org/drawingml/2006/main">
            <a:pPr>
              <a:defRPr/>
            </a:pPr>
            <a:r>
              <a:t>Monthly Spot Prices - DK1 (Primary) and DK2 (Robustness)</a:t>
            </a:r>
          </a:p>
        </rich>
      </tx>
      <overlay val="1"/>
    </title>
    <plotArea>
      <layout/>
      <lineChart>
        <grouping val="standard"/>
        <varyColors val="1"/>
        <ser>
          <idx val="0"/>
          <order val="0"/>
          <tx>
            <strRef>
              <f>'Electricity Price Data'!$B$1</f>
              <strCache>
                <ptCount val="1"/>
                <pt idx="0">
                  <v>DK1 Spot Price (EUR/MWh) — Primary</v>
                </pt>
              </strCache>
            </strRef>
          </tx>
          <spPr>
            <a:ln xmlns:a="http://schemas.openxmlformats.org/drawingml/2006/main">
              <a:solidFill>
                <a:srgbClr val="2E75B6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val>
            <numRef>
              <f>'Electricity Price Data'!$B$2:$B$85</f>
              <numCache>
                <formatCode>General</formatCode>
                <ptCount val="84"/>
                <pt idx="0">
                  <v>50.29564516129032</v>
                </pt>
                <pt idx="1">
                  <v>42.81395833333333</v>
                </pt>
                <pt idx="2">
                  <v>33.60825910931175</v>
                </pt>
                <pt idx="3">
                  <v>39.06841666666666</v>
                </pt>
                <pt idx="4">
                  <v>37.42951612903226</v>
                </pt>
                <pt idx="5">
                  <v>32.87922222222223</v>
                </pt>
                <pt idx="6">
                  <v>38.81731182795698</v>
                </pt>
                <pt idx="7">
                  <v>37.86569892473118</v>
                </pt>
                <pt idx="8">
                  <v>35.37886111111111</v>
                </pt>
                <pt idx="9">
                  <v>38.34740242261103</v>
                </pt>
                <pt idx="10">
                  <v>41.74506944444445</v>
                </pt>
                <pt idx="11">
                  <v>34.04197580645161</v>
                </pt>
                <pt idx="12">
                  <v>24.99454301075269</v>
                </pt>
                <pt idx="13">
                  <v>17.58507183908046</v>
                </pt>
                <pt idx="14">
                  <v>18.30172739541161</v>
                </pt>
                <pt idx="15">
                  <v>14.53377777777778</v>
                </pt>
                <pt idx="16">
                  <v>16.05399193548387</v>
                </pt>
                <pt idx="17">
                  <v>26.27627777777777</v>
                </pt>
                <pt idx="18">
                  <v>24.61956989247312</v>
                </pt>
                <pt idx="19">
                  <v>34.5392876344086</v>
                </pt>
                <pt idx="20">
                  <v>38.53504166666666</v>
                </pt>
                <pt idx="21">
                  <v>25.81475100942126</v>
                </pt>
                <pt idx="22">
                  <v>23.75458333333333</v>
                </pt>
                <pt idx="23">
                  <v>34.51112903225806</v>
                </pt>
                <pt idx="24">
                  <v>50.20510752688172</v>
                </pt>
                <pt idx="25">
                  <v>47.26150297619048</v>
                </pt>
                <pt idx="26">
                  <v>45.12944669365721</v>
                </pt>
                <pt idx="27">
                  <v>47.96711111111111</v>
                </pt>
                <pt idx="28">
                  <v>54.30756720430108</v>
                </pt>
                <pt idx="29">
                  <v>73.71981944444444</v>
                </pt>
                <pt idx="30">
                  <v>79.99924731182796</v>
                </pt>
                <pt idx="31">
                  <v>82.78876344086021</v>
                </pt>
                <pt idx="32">
                  <v>125.3637638888889</v>
                </pt>
                <pt idx="33">
                  <v>117.0398115746972</v>
                </pt>
                <pt idx="34">
                  <v>141.7975833333333</v>
                </pt>
                <pt idx="35">
                  <v>189.3493279569892</v>
                </pt>
                <pt idx="36">
                  <v>117.9946505376344</v>
                </pt>
                <pt idx="37">
                  <v>113.120744047619</v>
                </pt>
                <pt idx="38">
                  <v>235.8248448043185</v>
                </pt>
                <pt idx="39">
                  <v>163.6374722222222</v>
                </pt>
                <pt idx="40">
                  <v>171.8580376344086</v>
                </pt>
                <pt idx="41">
                  <v>214.43025</v>
                </pt>
                <pt idx="42">
                  <v>275.0381720430107</v>
                </pt>
                <pt idx="43">
                  <v>456.7503494623656</v>
                </pt>
                <pt idx="44">
                  <v>342.8196527777778</v>
                </pt>
                <pt idx="45">
                  <v>137.1317227456258</v>
                </pt>
                <pt idx="46">
                  <v>139.7042083333333</v>
                </pt>
                <pt idx="47">
                  <v>249.6656182795699</v>
                </pt>
                <pt idx="48">
                  <v>112.5418413978495</v>
                </pt>
                <pt idx="49">
                  <v>118.136130952381</v>
                </pt>
                <pt idx="50">
                  <v>99.11391363022942</v>
                </pt>
                <pt idx="51">
                  <v>96.27097222222223</v>
                </pt>
                <pt idx="52">
                  <v>73.96577956989248</v>
                </pt>
                <pt idx="53">
                  <v>92.49543055555556</v>
                </pt>
                <pt idx="54">
                  <v>64.81130376344086</v>
                </pt>
                <pt idx="55">
                  <v>85.96711021505376</v>
                </pt>
                <pt idx="56">
                  <v>84.73944444444444</v>
                </pt>
                <pt idx="57">
                  <v>60.10576043068641</v>
                </pt>
                <pt idx="58">
                  <v>88.15456944444445</v>
                </pt>
                <pt idx="59">
                  <v>69.48251344086022</v>
                </pt>
                <pt idx="60">
                  <v>74.71493279569893</v>
                </pt>
                <pt idx="61">
                  <v>58.63393678160919</v>
                </pt>
                <pt idx="62">
                  <v>61.22628879892038</v>
                </pt>
                <pt idx="63">
                  <v>59.16479166666667</v>
                </pt>
                <pt idx="64">
                  <v>58.51685483870968</v>
                </pt>
                <pt idx="65">
                  <v>63.75304166666667</v>
                </pt>
                <pt idx="66">
                  <v>62.03034946236559</v>
                </pt>
                <pt idx="67">
                  <v>72.95380376344086</v>
                </pt>
                <pt idx="68">
                  <v>71.71358333333333</v>
                </pt>
                <pt idx="69">
                  <v>76.7199730820996</v>
                </pt>
                <pt idx="70">
                  <v>95.90459722222222</v>
                </pt>
                <pt idx="71">
                  <v>91.83743279569893</v>
                </pt>
                <pt idx="72">
                  <v>97.96596774193547</v>
                </pt>
                <pt idx="73">
                  <v>112.8479613095238</v>
                </pt>
                <pt idx="74">
                  <v>84.34884511784512</v>
                </pt>
                <pt idx="75">
                  <v>75.16047222222223</v>
                </pt>
                <pt idx="76">
                  <v>64.23341397849462</v>
                </pt>
                <pt idx="77">
                  <v>58.784625</v>
                </pt>
                <pt idx="78">
                  <v>82.80192204301075</v>
                </pt>
                <pt idx="79">
                  <v>73.47376344086022</v>
                </pt>
                <pt idx="80">
                  <v>72.39868055555556</v>
                </pt>
                <pt idx="81">
                  <v>78.4218001345895</v>
                </pt>
                <pt idx="82">
                  <v>92.87339236111112</v>
                </pt>
                <pt idx="83">
                  <v>82.43746639784946</v>
                </pt>
              </numCache>
            </numRef>
          </val>
          <smooth val="1"/>
        </ser>
        <ser>
          <idx val="1"/>
          <order val="1"/>
          <tx>
            <strRef>
              <f>'Electricity Price Data'!$C$1</f>
              <strCache>
                <ptCount val="1"/>
                <pt idx="0">
                  <v>DK2 Spot Price (EUR/MWh) — Robustness</v>
                </pt>
              </strCache>
            </strRef>
          </tx>
          <spPr>
            <a:ln xmlns:a="http://schemas.openxmlformats.org/drawingml/2006/main">
              <a:solidFill>
                <a:srgbClr val="9DC3E6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val>
            <numRef>
              <f>'Electricity Price Data'!$C$2:$C$85</f>
              <numCache>
                <formatCode>General</formatCode>
                <ptCount val="84"/>
                <pt idx="0">
                  <v>51.65502688172042</v>
                </pt>
                <pt idx="1">
                  <v>43.93294642857143</v>
                </pt>
                <pt idx="2">
                  <v>35.66735492577597</v>
                </pt>
                <pt idx="3">
                  <v>39.89209722222223</v>
                </pt>
                <pt idx="4">
                  <v>38.15139784946236</v>
                </pt>
                <pt idx="5">
                  <v>33.62223611111111</v>
                </pt>
                <pt idx="6">
                  <v>39.0001747311828</v>
                </pt>
                <pt idx="7">
                  <v>39.49317204301075</v>
                </pt>
                <pt idx="8">
                  <v>37.32134722222222</v>
                </pt>
                <pt idx="9">
                  <v>41.59935397039031</v>
                </pt>
                <pt idx="10">
                  <v>42.69644444444445</v>
                </pt>
                <pt idx="11">
                  <v>35.34711021505376</v>
                </pt>
                <pt idx="12">
                  <v>27.38524193548387</v>
                </pt>
                <pt idx="13">
                  <v>18.81699712643678</v>
                </pt>
                <pt idx="14">
                  <v>20.05249662618084</v>
                </pt>
                <pt idx="15">
                  <v>17.35486111111111</v>
                </pt>
                <pt idx="16">
                  <v>19.04407258064516</v>
                </pt>
                <pt idx="17">
                  <v>29.82329166666667</v>
                </pt>
                <pt idx="18">
                  <v>25.88668010752688</v>
                </pt>
                <pt idx="19">
                  <v>40.92381720430107</v>
                </pt>
                <pt idx="20">
                  <v>39.51423611111111</v>
                </pt>
                <pt idx="21">
                  <v>26.93351278600269</v>
                </pt>
                <pt idx="22">
                  <v>35.71134722222222</v>
                </pt>
                <pt idx="23">
                  <v>39.25715053763441</v>
                </pt>
                <pt idx="24">
                  <v>50.85895161290323</v>
                </pt>
                <pt idx="25">
                  <v>54.54806547619048</v>
                </pt>
                <pt idx="26">
                  <v>46.73221322537112</v>
                </pt>
                <pt idx="27">
                  <v>47.86295833333334</v>
                </pt>
                <pt idx="28">
                  <v>55.20880376344086</v>
                </pt>
                <pt idx="29">
                  <v>73.58690277777778</v>
                </pt>
                <pt idx="30">
                  <v>81.44088709677419</v>
                </pt>
                <pt idx="31">
                  <v>84.36354838709678</v>
                </pt>
                <pt idx="32">
                  <v>123.9021111111111</v>
                </pt>
                <pt idx="33">
                  <v>106.9322745625841</v>
                </pt>
                <pt idx="34">
                  <v>136.3800555555555</v>
                </pt>
                <pt idx="35">
                  <v>191.0686155913978</v>
                </pt>
                <pt idx="36">
                  <v>111.6220967741935</v>
                </pt>
                <pt idx="37">
                  <v>100.2914136904762</v>
                </pt>
                <pt idx="38">
                  <v>227.9203643724696</v>
                </pt>
                <pt idx="39">
                  <v>152.8328055555556</v>
                </pt>
                <pt idx="40">
                  <v>162.6584139784946</v>
                </pt>
                <pt idx="41">
                  <v>213.2331388888889</v>
                </pt>
                <pt idx="42">
                  <v>233.4777419354839</v>
                </pt>
                <pt idx="43">
                  <v>449.7688306451613</v>
                </pt>
                <pt idx="44">
                  <v>328.8001527777778</v>
                </pt>
                <pt idx="45">
                  <v>136.8978331090175</v>
                </pt>
                <pt idx="46">
                  <v>145.0578055555555</v>
                </pt>
                <pt idx="47">
                  <v>248.8820698924731</v>
                </pt>
                <pt idx="48">
                  <v>99.76288978494622</v>
                </pt>
                <pt idx="49">
                  <v>100.6489285714286</v>
                </pt>
                <pt idx="50">
                  <v>89.79561403508772</v>
                </pt>
                <pt idx="51">
                  <v>83.65112499999999</v>
                </pt>
                <pt idx="52">
                  <v>66.15174731182796</v>
                </pt>
                <pt idx="53">
                  <v>91.42315277777777</v>
                </pt>
                <pt idx="54">
                  <v>65.24004032258064</v>
                </pt>
                <pt idx="55">
                  <v>86.29373655913979</v>
                </pt>
                <pt idx="56">
                  <v>85.48412500000001</v>
                </pt>
                <pt idx="57">
                  <v>56.92581426648721</v>
                </pt>
                <pt idx="58">
                  <v>81.48604166666667</v>
                </pt>
                <pt idx="59">
                  <v>70.87973118279569</v>
                </pt>
                <pt idx="60">
                  <v>78.21481182795699</v>
                </pt>
                <pt idx="61">
                  <v>54.72224137931035</v>
                </pt>
                <pt idx="62">
                  <v>61.0408636977058</v>
                </pt>
                <pt idx="63">
                  <v>60.47670833333333</v>
                </pt>
                <pt idx="64">
                  <v>58.12298387096774</v>
                </pt>
                <pt idx="65">
                  <v>66.79098611111111</v>
                </pt>
                <pt idx="66">
                  <v>62.84170698924731</v>
                </pt>
                <pt idx="67">
                  <v>72.61426075268818</v>
                </pt>
                <pt idx="68">
                  <v>70.41183333333333</v>
                </pt>
                <pt idx="69">
                  <v>76.32612382234186</v>
                </pt>
                <pt idx="70">
                  <v>95.28269444444443</v>
                </pt>
                <pt idx="71">
                  <v>92.72815860215054</v>
                </pt>
                <pt idx="72">
                  <v>100.1237365591398</v>
                </pt>
                <pt idx="73">
                  <v>117.9355505952381</v>
                </pt>
                <pt idx="74">
                  <v>82.84686531986532</v>
                </pt>
                <pt idx="75">
                  <v>75.80665277777778</v>
                </pt>
                <pt idx="76">
                  <v>63.08255376344086</v>
                </pt>
                <pt idx="77">
                  <v>56.44824999999999</v>
                </pt>
                <pt idx="78">
                  <v>79.95969086021506</v>
                </pt>
                <pt idx="79">
                  <v>75.31549731182795</v>
                </pt>
                <pt idx="80">
                  <v>83.28893055555555</v>
                </pt>
                <pt idx="81">
                  <v>82.36807537012113</v>
                </pt>
                <pt idx="82">
                  <v>93.69557291666666</v>
                </pt>
                <pt idx="83">
                  <v>82.08152889784947</v>
                </pt>
              </numCache>
            </numRef>
          </val>
          <smooth val="1"/>
        </ser>
        <dLbls>
          <showLegendKey val="0"/>
          <showVal val="0"/>
          <showCatName val="0"/>
          <showSerName val="0"/>
          <showPercent val="0"/>
          <showBubbleSize val="0"/>
        </dLbls>
        <smooth val="0"/>
        <axId val="10"/>
        <axId val="100"/>
      </lineChart>
      <catAx>
        <axId val="10"/>
        <scaling>
          <orientation val="minMax"/>
        </scaling>
        <delete val="1"/>
        <axPos val="b"/>
        <title>
          <tx>
            <rich>
              <a:bodyPr xmlns:a="http://schemas.openxmlformats.org/drawingml/2006/main"/>
              <a:lstStyle xmlns:a="http://schemas.openxmlformats.org/drawingml/2006/main"/>
              <a:p xmlns:a="http://schemas.openxmlformats.org/drawingml/2006/main">
                <a:pPr>
                  <a:defRPr/>
                </a:pPr>
                <a:r>
                  <a:t>Month</a:t>
                </a:r>
              </a:p>
            </rich>
          </tx>
          <overlay val="1"/>
        </title>
        <majorTickMark val="none"/>
        <minorTickMark val="none"/>
        <tickLblPos val="nextTo"/>
        <crossAx val="100"/>
        <crosses val="autoZero"/>
        <auto val="1"/>
        <lblAlgn val="ctr"/>
        <lblOffset val="100"/>
        <noMultiLvlLbl val="1"/>
      </catAx>
      <valAx>
        <axId val="100"/>
        <scaling>
          <orientation val="minMax"/>
        </scaling>
        <delete val="1"/>
        <axPos val="l"/>
        <majorGridlines/>
        <title>
          <tx>
            <rich>
              <a:bodyPr xmlns:a="http://schemas.openxmlformats.org/drawingml/2006/main"/>
              <a:lstStyle xmlns:a="http://schemas.openxmlformats.org/drawingml/2006/main"/>
              <a:p xmlns:a="http://schemas.openxmlformats.org/drawingml/2006/main">
                <a:pPr>
                  <a:defRPr/>
                </a:pPr>
                <a:r>
                  <a:t>EUR/MWh</a:t>
                </a:r>
              </a:p>
            </rich>
          </tx>
          <overlay val="1"/>
        </title>
        <numFmt formatCode="General" sourceLinked="1"/>
        <majorTickMark val="none"/>
        <minorTickMark val="none"/>
        <tickLblPos val="nextTo"/>
        <crossAx val="10"/>
        <crosses val="autoZero"/>
        <crossBetween val="between"/>
      </valAx>
    </plotArea>
    <legend>
      <legendPos val="r"/>
      <overlay val="1"/>
    </legend>
    <plotVisOnly val="1"/>
    <dispBlanksAs val="gap"/>
  </chart>
</chartSpace>
</file>

<file path=xl/charts/chart28.xml><?xml version="1.0" encoding="utf-8"?>
<chartSpace xmlns="http://schemas.openxmlformats.org/drawingml/2006/chart">
  <chart>
    <title>
      <tx>
        <rich>
          <a:bodyPr xmlns:a="http://schemas.openxmlformats.org/drawingml/2006/main"/>
          <a:lstStyle xmlns:a="http://schemas.openxmlformats.org/drawingml/2006/main"/>
          <a:p xmlns:a="http://schemas.openxmlformats.org/drawingml/2006/main">
            <a:pPr>
              <a:defRPr/>
            </a:pPr>
            <a:r>
              <a:t>DK1 De-seasonalised Price Series (Primary)</a:t>
            </a:r>
          </a:p>
        </rich>
      </tx>
      <overlay val="1"/>
    </title>
    <plotArea>
      <layout/>
      <lineChart>
        <grouping val="standard"/>
        <varyColors val="1"/>
        <ser>
          <idx val="0"/>
          <order val="0"/>
          <tx>
            <strRef>
              <f>'Electricity Price Data'!$E$1</f>
              <strCache>
                <ptCount val="1"/>
                <pt idx="0">
                  <v>DK1 De-seasonalised Price (EUR/MWh)</v>
                </pt>
              </strCache>
            </strRef>
          </tx>
          <spPr>
            <a:ln xmlns:a="http://schemas.openxmlformats.org/drawingml/2006/main">
              <a:solidFill>
                <a:srgbClr val="2E75B6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val>
            <numRef>
              <f>'Electricity Price Data'!$E$2:$E$85</f>
              <numCache>
                <formatCode>General</formatCode>
                <ptCount val="84"/>
                <pt idx="0">
                  <v>-25.23473886328725</v>
                </pt>
                <pt idx="1">
                  <v>-30.1002282723434</v>
                </pt>
                <pt idx="2">
                  <v>-48.89935882635881</v>
                </pt>
                <pt idx="3">
                  <v>-31.76058531746028</v>
                </pt>
                <pt idx="4">
                  <v>-30.62264976958527</v>
                </pt>
                <pt idx="5">
                  <v>-47.45487301587301</v>
                </pt>
                <pt idx="6">
                  <v>-50.9138133640553</v>
                </pt>
                <pt idx="7">
                  <v>-82.75412634408602</v>
                </pt>
                <pt idx="8">
                  <v>-74.75671428571428</v>
                </pt>
                <pt idx="9">
                  <v>-37.87848634877907</v>
                </pt>
                <pt idx="10">
                  <v>-47.38835962301585</v>
                </pt>
                <pt idx="11">
                  <v>-73.29023329493089</v>
                </pt>
                <pt idx="12">
                  <v>-50.53584101382489</v>
                </pt>
                <pt idx="13">
                  <v>-55.32911476659628</v>
                </pt>
                <pt idx="14">
                  <v>-64.20589054025895</v>
                </pt>
                <pt idx="15">
                  <v>-56.29522420634917</v>
                </pt>
                <pt idx="16">
                  <v>-51.99817396313366</v>
                </pt>
                <pt idx="17">
                  <v>-54.05781746031745</v>
                </pt>
                <pt idx="18">
                  <v>-65.11155529953916</v>
                </pt>
                <pt idx="19">
                  <v>-86.08053763440859</v>
                </pt>
                <pt idx="20">
                  <v>-71.60053373015873</v>
                </pt>
                <pt idx="21">
                  <v>-50.41113776196884</v>
                </pt>
                <pt idx="22">
                  <v>-65.37884573412697</v>
                </pt>
                <pt idx="23">
                  <v>-72.82108006912443</v>
                </pt>
                <pt idx="24">
                  <v>-25.32527649769585</v>
                </pt>
                <pt idx="25">
                  <v>-25.65268362948625</v>
                </pt>
                <pt idx="26">
                  <v>-37.37817124201334</v>
                </pt>
                <pt idx="27">
                  <v>-22.86189087301584</v>
                </pt>
                <pt idx="28">
                  <v>-13.74459869431645</v>
                </pt>
                <pt idx="29">
                  <v>-6.614275793650791</v>
                </pt>
                <pt idx="30">
                  <v>-9.731877880184328</v>
                </pt>
                <pt idx="31">
                  <v>-37.83106182795699</v>
                </pt>
                <pt idx="32">
                  <v>15.22818849206351</v>
                </pt>
                <pt idx="33">
                  <v>40.81392280330708</v>
                </pt>
                <pt idx="34">
                  <v>52.66415426587304</v>
                </pt>
                <pt idx="35">
                  <v>82.01711885560675</v>
                </pt>
                <pt idx="36">
                  <v>42.46426651305684</v>
                </pt>
                <pt idx="37">
                  <v>40.20655744194231</v>
                </pt>
                <pt idx="38">
                  <v>153.3172268686479</v>
                </pt>
                <pt idx="39">
                  <v>92.80847023809527</v>
                </pt>
                <pt idx="40">
                  <v>103.8058717357911</v>
                </pt>
                <pt idx="41">
                  <v>134.0961547619048</v>
                </pt>
                <pt idx="42">
                  <v>185.3070468509984</v>
                </pt>
                <pt idx="43">
                  <v>336.1305241935484</v>
                </pt>
                <pt idx="44">
                  <v>232.6840773809524</v>
                </pt>
                <pt idx="45">
                  <v>60.90583397423573</v>
                </pt>
                <pt idx="46">
                  <v>50.57077926587303</v>
                </pt>
                <pt idx="47">
                  <v>142.3334091781874</v>
                </pt>
                <pt idx="48">
                  <v>37.0114573732719</v>
                </pt>
                <pt idx="49">
                  <v>45.22194434670422</v>
                </pt>
                <pt idx="50">
                  <v>16.60629569455887</v>
                </pt>
                <pt idx="51">
                  <v>25.44197023809528</v>
                </pt>
                <pt idx="52">
                  <v>5.913613671274945</v>
                </pt>
                <pt idx="53">
                  <v>12.16133531746033</v>
                </pt>
                <pt idx="54">
                  <v>-24.91982142857142</v>
                </pt>
                <pt idx="55">
                  <v>-34.65271505376343</v>
                </pt>
                <pt idx="56">
                  <v>-25.39613095238094</v>
                </pt>
                <pt idx="57">
                  <v>-16.12012834070369</v>
                </pt>
                <pt idx="58">
                  <v>-0.9788596230158504</v>
                </pt>
                <pt idx="59">
                  <v>-37.84969566052227</v>
                </pt>
                <pt idx="60">
                  <v>-0.8154512288786435</v>
                </pt>
                <pt idx="61">
                  <v>-14.28024982406754</v>
                </pt>
                <pt idx="62">
                  <v>-21.28132913675017</v>
                </pt>
                <pt idx="63">
                  <v>-11.66421031746028</v>
                </pt>
                <pt idx="64">
                  <v>-9.535311059907855</v>
                </pt>
                <pt idx="65">
                  <v>-16.58105357142856</v>
                </pt>
                <pt idx="66">
                  <v>-27.70077572964669</v>
                </pt>
                <pt idx="67">
                  <v>-47.66602150537634</v>
                </pt>
                <pt idx="68">
                  <v>-38.42199206349206</v>
                </pt>
                <pt idx="69">
                  <v>0.4940843107094963</v>
                </pt>
                <pt idx="70">
                  <v>6.771168154761924</v>
                </pt>
                <pt idx="71">
                  <v>-15.49477630568356</v>
                </pt>
                <pt idx="72">
                  <v>22.4355837173579</v>
                </pt>
                <pt idx="73">
                  <v>39.93377470384708</v>
                </pt>
                <pt idx="74">
                  <v>1.841227182174563</v>
                </pt>
                <pt idx="75">
                  <v>4.331470238095278</v>
                </pt>
                <pt idx="76">
                  <v>-3.818751920122907</v>
                </pt>
                <pt idx="77">
                  <v>-21.54947023809523</v>
                </pt>
                <pt idx="78">
                  <v>-6.929203149001538</v>
                </pt>
                <pt idx="79">
                  <v>-47.14606182795697</v>
                </pt>
                <pt idx="80">
                  <v>-37.73689484126983</v>
                </pt>
                <pt idx="81">
                  <v>2.1959113631994</v>
                </pt>
                <pt idx="82">
                  <v>3.739963293650817</v>
                </pt>
                <pt idx="83">
                  <v>-24.89474270353303</v>
                </pt>
              </numCache>
            </numRef>
          </val>
          <smooth val="1"/>
        </ser>
        <dLbls>
          <showLegendKey val="0"/>
          <showVal val="0"/>
          <showCatName val="0"/>
          <showSerName val="0"/>
          <showPercent val="0"/>
          <showBubbleSize val="0"/>
        </dLbls>
        <smooth val="0"/>
        <axId val="10"/>
        <axId val="100"/>
      </lineChart>
      <catAx>
        <axId val="10"/>
        <scaling>
          <orientation val="minMax"/>
        </scaling>
        <delete val="1"/>
        <axPos val="b"/>
        <title>
          <tx>
            <rich>
              <a:bodyPr xmlns:a="http://schemas.openxmlformats.org/drawingml/2006/main"/>
              <a:lstStyle xmlns:a="http://schemas.openxmlformats.org/drawingml/2006/main"/>
              <a:p xmlns:a="http://schemas.openxmlformats.org/drawingml/2006/main">
                <a:pPr>
                  <a:defRPr/>
                </a:pPr>
                <a:r>
                  <a:t>Month</a:t>
                </a:r>
              </a:p>
            </rich>
          </tx>
          <overlay val="1"/>
        </title>
        <majorTickMark val="none"/>
        <minorTickMark val="none"/>
        <tickLblPos val="nextTo"/>
        <crossAx val="100"/>
        <crosses val="autoZero"/>
        <auto val="1"/>
        <lblAlgn val="ctr"/>
        <lblOffset val="100"/>
        <noMultiLvlLbl val="1"/>
      </catAx>
      <valAx>
        <axId val="100"/>
        <scaling>
          <orientation val="minMax"/>
        </scaling>
        <delete val="1"/>
        <axPos val="l"/>
        <majorGridlines/>
        <title>
          <tx>
            <rich>
              <a:bodyPr xmlns:a="http://schemas.openxmlformats.org/drawingml/2006/main"/>
              <a:lstStyle xmlns:a="http://schemas.openxmlformats.org/drawingml/2006/main"/>
              <a:p xmlns:a="http://schemas.openxmlformats.org/drawingml/2006/main">
                <a:pPr>
                  <a:defRPr/>
                </a:pPr>
                <a:r>
                  <a:t>EUR/MWh</a:t>
                </a:r>
              </a:p>
            </rich>
          </tx>
          <overlay val="1"/>
        </title>
        <numFmt formatCode="General" sourceLinked="1"/>
        <majorTickMark val="none"/>
        <minorTickMark val="none"/>
        <tickLblPos val="nextTo"/>
        <crossAx val="10"/>
        <crosses val="autoZero"/>
        <crossBetween val="between"/>
      </valAx>
    </plotArea>
    <legend>
      <legendPos val="r"/>
      <overlay val="0"/>
    </legend>
    <plotVisOnly val="1"/>
    <dispBlanksAs val="gap"/>
  </chart>
</chartSpace>
</file>

<file path=xl/charts/chart29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Monthly Spot Prices - DK1 (Primary) and DK2 (Robustness)</a:t>
            </a:r>
          </a:p>
        </rich>
      </tx>
    </title>
    <plotArea>
      <lineChart>
        <grouping val="standard"/>
        <ser>
          <idx val="0"/>
          <order val="0"/>
          <tx>
            <strRef>
              <f>'Electricity Price Data'!B1</f>
            </strRef>
          </tx>
          <spPr>
            <a:ln xmlns:a="http://schemas.openxmlformats.org/drawingml/2006/main">
              <a:solidFill>
                <a:srgbClr val="2E75B6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val>
            <numRef>
              <f>'Electricity Price Data'!$B$2:$B$85</f>
            </numRef>
          </val>
        </ser>
        <ser>
          <idx val="1"/>
          <order val="1"/>
          <tx>
            <strRef>
              <f>'Electricity Price Data'!C1</f>
            </strRef>
          </tx>
          <spPr>
            <a:ln xmlns:a="http://schemas.openxmlformats.org/drawingml/2006/main">
              <a:solidFill>
                <a:srgbClr val="9DC3E6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val>
            <numRef>
              <f>'Electricity Price Data'!$C$2:$C$85</f>
            </numRef>
          </val>
        </ser>
        <axId val="10"/>
        <axId val="100"/>
      </lineChart>
      <catAx>
        <axId val="10"/>
        <scaling>
          <orientation val="minMax"/>
        </scaling>
        <axPos val="l"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Month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EUR/MWh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30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DK1 De-seasonalised Price Series (Primary)</a:t>
            </a:r>
          </a:p>
        </rich>
      </tx>
    </title>
    <plotArea>
      <lineChart>
        <grouping val="standard"/>
        <ser>
          <idx val="0"/>
          <order val="0"/>
          <tx>
            <strRef>
              <f>'Electricity Price Data'!E1</f>
            </strRef>
          </tx>
          <spPr>
            <a:ln xmlns:a="http://schemas.openxmlformats.org/drawingml/2006/main">
              <a:solidFill>
                <a:srgbClr val="2E75B6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val>
            <numRef>
              <f>'Electricity Price Data'!$E$2:$E$85</f>
            </numRef>
          </val>
        </ser>
        <axId val="10"/>
        <axId val="100"/>
      </lineChart>
      <catAx>
        <axId val="10"/>
        <scaling>
          <orientation val="minMax"/>
        </scaling>
        <axPos val="l"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Month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EUR/MWh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31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Monthly Spot Prices - DK1 (Primary) and DK2 (Robustness)</a:t>
            </a:r>
          </a:p>
        </rich>
      </tx>
    </title>
    <plotArea>
      <lineChart>
        <grouping val="standard"/>
        <ser>
          <idx val="0"/>
          <order val="0"/>
          <tx>
            <strRef>
              <f>'Electricity Price Data'!B1</f>
            </strRef>
          </tx>
          <spPr>
            <a:ln xmlns:a="http://schemas.openxmlformats.org/drawingml/2006/main">
              <a:solidFill>
                <a:srgbClr val="2E75B6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val>
            <numRef>
              <f>'Electricity Price Data'!$B$2:$B$85</f>
            </numRef>
          </val>
        </ser>
        <ser>
          <idx val="1"/>
          <order val="1"/>
          <tx>
            <strRef>
              <f>'Electricity Price Data'!C1</f>
            </strRef>
          </tx>
          <spPr>
            <a:ln xmlns:a="http://schemas.openxmlformats.org/drawingml/2006/main">
              <a:solidFill>
                <a:srgbClr val="9DC3E6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val>
            <numRef>
              <f>'Electricity Price Data'!$C$2:$C$85</f>
            </numRef>
          </val>
        </ser>
        <axId val="10"/>
        <axId val="100"/>
      </lineChart>
      <catAx>
        <axId val="10"/>
        <scaling>
          <orientation val="minMax"/>
        </scaling>
        <axPos val="l"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Month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EUR/MWh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32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DK1 De-seasonalised Price Series (Primary)</a:t>
            </a:r>
          </a:p>
        </rich>
      </tx>
    </title>
    <plotArea>
      <lineChart>
        <grouping val="standard"/>
        <ser>
          <idx val="0"/>
          <order val="0"/>
          <tx>
            <strRef>
              <f>'Electricity Price Data'!E1</f>
            </strRef>
          </tx>
          <spPr>
            <a:ln xmlns:a="http://schemas.openxmlformats.org/drawingml/2006/main">
              <a:solidFill>
                <a:srgbClr val="2E75B6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val>
            <numRef>
              <f>'Electricity Price Data'!$E$2:$E$85</f>
            </numRef>
          </val>
        </ser>
        <axId val="10"/>
        <axId val="100"/>
      </lineChart>
      <catAx>
        <axId val="10"/>
        <scaling>
          <orientation val="minMax"/>
        </scaling>
        <axPos val="l"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Month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EUR/MWh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33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Monthly Spot Prices - DK1 (Primary) and DK2 (Robustness)</a:t>
            </a:r>
          </a:p>
        </rich>
      </tx>
    </title>
    <plotArea>
      <lineChart>
        <grouping val="standard"/>
        <ser>
          <idx val="0"/>
          <order val="0"/>
          <tx>
            <strRef>
              <f>'Electricity Price Data'!B1</f>
            </strRef>
          </tx>
          <spPr>
            <a:ln xmlns:a="http://schemas.openxmlformats.org/drawingml/2006/main">
              <a:solidFill>
                <a:srgbClr val="2E75B6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val>
            <numRef>
              <f>'Electricity Price Data'!$B$2:$B$85</f>
            </numRef>
          </val>
        </ser>
        <ser>
          <idx val="1"/>
          <order val="1"/>
          <tx>
            <strRef>
              <f>'Electricity Price Data'!C1</f>
            </strRef>
          </tx>
          <spPr>
            <a:ln xmlns:a="http://schemas.openxmlformats.org/drawingml/2006/main">
              <a:solidFill>
                <a:srgbClr val="9DC3E6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val>
            <numRef>
              <f>'Electricity Price Data'!$C$2:$C$85</f>
            </numRef>
          </val>
        </ser>
        <axId val="10"/>
        <axId val="100"/>
      </lineChart>
      <catAx>
        <axId val="10"/>
        <scaling>
          <orientation val="minMax"/>
        </scaling>
        <axPos val="l"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Month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EUR/MWh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34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DK1 De-seasonalised Price Series (Primary)</a:t>
            </a:r>
          </a:p>
        </rich>
      </tx>
    </title>
    <plotArea>
      <lineChart>
        <grouping val="standard"/>
        <ser>
          <idx val="0"/>
          <order val="0"/>
          <tx>
            <strRef>
              <f>'Electricity Price Data'!E1</f>
            </strRef>
          </tx>
          <spPr>
            <a:ln xmlns:a="http://schemas.openxmlformats.org/drawingml/2006/main">
              <a:solidFill>
                <a:srgbClr val="2E75B6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val>
            <numRef>
              <f>'Electricity Price Data'!$E$2:$E$85</f>
            </numRef>
          </val>
        </ser>
        <axId val="10"/>
        <axId val="100"/>
      </lineChart>
      <catAx>
        <axId val="10"/>
        <scaling>
          <orientation val="minMax"/>
        </scaling>
        <axPos val="l"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Month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EUR/MWh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35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Monthly Spot Prices - DK1 (Primary) and DK2 (Robustness)</a:t>
            </a:r>
          </a:p>
        </rich>
      </tx>
    </title>
    <plotArea>
      <lineChart>
        <grouping val="standard"/>
        <ser>
          <idx val="0"/>
          <order val="0"/>
          <tx>
            <strRef>
              <f>'Electricity Price Data'!B1</f>
            </strRef>
          </tx>
          <spPr>
            <a:ln xmlns:a="http://schemas.openxmlformats.org/drawingml/2006/main">
              <a:solidFill>
                <a:srgbClr val="2E75B6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val>
            <numRef>
              <f>'Electricity Price Data'!$B$2:$B$85</f>
            </numRef>
          </val>
        </ser>
        <ser>
          <idx val="1"/>
          <order val="1"/>
          <tx>
            <strRef>
              <f>'Electricity Price Data'!C1</f>
            </strRef>
          </tx>
          <spPr>
            <a:ln xmlns:a="http://schemas.openxmlformats.org/drawingml/2006/main">
              <a:solidFill>
                <a:srgbClr val="9DC3E6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val>
            <numRef>
              <f>'Electricity Price Data'!$C$2:$C$85</f>
            </numRef>
          </val>
        </ser>
        <axId val="10"/>
        <axId val="100"/>
      </lineChart>
      <catAx>
        <axId val="10"/>
        <scaling>
          <orientation val="minMax"/>
        </scaling>
        <axPos val="l"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Month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EUR/MWh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36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DK1 De-seasonalised Price Series (Primary)</a:t>
            </a:r>
          </a:p>
        </rich>
      </tx>
    </title>
    <plotArea>
      <lineChart>
        <grouping val="standard"/>
        <ser>
          <idx val="0"/>
          <order val="0"/>
          <tx>
            <strRef>
              <f>'Electricity Price Data'!E1</f>
            </strRef>
          </tx>
          <spPr>
            <a:ln xmlns:a="http://schemas.openxmlformats.org/drawingml/2006/main">
              <a:solidFill>
                <a:srgbClr val="2E75B6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val>
            <numRef>
              <f>'Electricity Price Data'!$E$2:$E$85</f>
            </numRef>
          </val>
        </ser>
        <axId val="10"/>
        <axId val="100"/>
      </lineChart>
      <catAx>
        <axId val="10"/>
        <scaling>
          <orientation val="minMax"/>
        </scaling>
        <axPos val="l"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Month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EUR/MWh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37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Monthly Spot Prices - DK1 (Primary) and DK2 (Robustness)</a:t>
            </a:r>
          </a:p>
        </rich>
      </tx>
    </title>
    <plotArea>
      <lineChart>
        <grouping val="standard"/>
        <ser>
          <idx val="0"/>
          <order val="0"/>
          <tx>
            <strRef>
              <f>'Electricity Price Data'!B1</f>
            </strRef>
          </tx>
          <spPr>
            <a:ln xmlns:a="http://schemas.openxmlformats.org/drawingml/2006/main">
              <a:solidFill>
                <a:srgbClr val="2E75B6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val>
            <numRef>
              <f>'Electricity Price Data'!$B$2:$B$85</f>
            </numRef>
          </val>
        </ser>
        <ser>
          <idx val="1"/>
          <order val="1"/>
          <tx>
            <strRef>
              <f>'Electricity Price Data'!C1</f>
            </strRef>
          </tx>
          <spPr>
            <a:ln xmlns:a="http://schemas.openxmlformats.org/drawingml/2006/main">
              <a:solidFill>
                <a:srgbClr val="9DC3E6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val>
            <numRef>
              <f>'Electricity Price Data'!$C$2:$C$85</f>
            </numRef>
          </val>
        </ser>
        <axId val="10"/>
        <axId val="100"/>
      </lineChart>
      <catAx>
        <axId val="10"/>
        <scaling>
          <orientation val="minMax"/>
        </scaling>
        <axPos val="l"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Month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EUR/MWh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38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DK1 De-seasonalised Price Series (Primary)</a:t>
            </a:r>
          </a:p>
        </rich>
      </tx>
    </title>
    <plotArea>
      <lineChart>
        <grouping val="standard"/>
        <ser>
          <idx val="0"/>
          <order val="0"/>
          <tx>
            <strRef>
              <f>'Electricity Price Data'!E1</f>
            </strRef>
          </tx>
          <spPr>
            <a:ln xmlns:a="http://schemas.openxmlformats.org/drawingml/2006/main">
              <a:solidFill>
                <a:srgbClr val="2E75B6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val>
            <numRef>
              <f>'Electricity Price Data'!$E$2:$E$85</f>
            </numRef>
          </val>
        </ser>
        <axId val="10"/>
        <axId val="100"/>
      </lineChart>
      <catAx>
        <axId val="10"/>
        <scaling>
          <orientation val="minMax"/>
        </scaling>
        <axPos val="l"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Month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EUR/MWh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39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Monthly Spot Prices - DK1 (Primary) and DK2 (Robustness)</a:t>
            </a:r>
          </a:p>
        </rich>
      </tx>
    </title>
    <plotArea>
      <lineChart>
        <grouping val="standard"/>
        <ser>
          <idx val="0"/>
          <order val="0"/>
          <tx>
            <strRef>
              <f>'Electricity Price Data'!B1</f>
            </strRef>
          </tx>
          <spPr>
            <a:ln xmlns:a="http://schemas.openxmlformats.org/drawingml/2006/main">
              <a:solidFill>
                <a:srgbClr val="2E75B6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val>
            <numRef>
              <f>'Electricity Price Data'!$B$2:$B$85</f>
            </numRef>
          </val>
        </ser>
        <ser>
          <idx val="1"/>
          <order val="1"/>
          <tx>
            <strRef>
              <f>'Electricity Price Data'!C1</f>
            </strRef>
          </tx>
          <spPr>
            <a:ln xmlns:a="http://schemas.openxmlformats.org/drawingml/2006/main">
              <a:solidFill>
                <a:srgbClr val="9DC3E6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val>
            <numRef>
              <f>'Electricity Price Data'!$C$2:$C$85</f>
            </numRef>
          </val>
        </ser>
        <axId val="10"/>
        <axId val="100"/>
      </lineChart>
      <catAx>
        <axId val="10"/>
        <scaling>
          <orientation val="minMax"/>
        </scaling>
        <axPos val="l"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Month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EUR/MWh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40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DK1 De-seasonalised Price Series (Primary)</a:t>
            </a:r>
          </a:p>
        </rich>
      </tx>
    </title>
    <plotArea>
      <lineChart>
        <grouping val="standard"/>
        <ser>
          <idx val="0"/>
          <order val="0"/>
          <tx>
            <strRef>
              <f>'Electricity Price Data'!E1</f>
            </strRef>
          </tx>
          <spPr>
            <a:ln xmlns:a="http://schemas.openxmlformats.org/drawingml/2006/main">
              <a:solidFill>
                <a:srgbClr val="2E75B6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val>
            <numRef>
              <f>'Electricity Price Data'!$E$2:$E$85</f>
            </numRef>
          </val>
        </ser>
        <axId val="10"/>
        <axId val="100"/>
      </lineChart>
      <catAx>
        <axId val="10"/>
        <scaling>
          <orientation val="minMax"/>
        </scaling>
        <axPos val="l"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Month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EUR/MWh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41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Monthly Spot Prices - DK1 (Primary) and DK2 (Robustness)</a:t>
            </a:r>
          </a:p>
        </rich>
      </tx>
    </title>
    <plotArea>
      <lineChart>
        <grouping val="standard"/>
        <ser>
          <idx val="0"/>
          <order val="0"/>
          <tx>
            <strRef>
              <f>'Electricity Price Data'!B1</f>
            </strRef>
          </tx>
          <spPr>
            <a:ln xmlns:a="http://schemas.openxmlformats.org/drawingml/2006/main">
              <a:solidFill>
                <a:srgbClr val="2E75B6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val>
            <numRef>
              <f>'Electricity Price Data'!$B$2:$B$85</f>
            </numRef>
          </val>
        </ser>
        <ser>
          <idx val="1"/>
          <order val="1"/>
          <tx>
            <strRef>
              <f>'Electricity Price Data'!C1</f>
            </strRef>
          </tx>
          <spPr>
            <a:ln xmlns:a="http://schemas.openxmlformats.org/drawingml/2006/main">
              <a:solidFill>
                <a:srgbClr val="9DC3E6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val>
            <numRef>
              <f>'Electricity Price Data'!$C$2:$C$85</f>
            </numRef>
          </val>
        </ser>
        <axId val="10"/>
        <axId val="100"/>
      </lineChart>
      <catAx>
        <axId val="10"/>
        <scaling>
          <orientation val="minMax"/>
        </scaling>
        <axPos val="l"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Month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EUR/MWh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42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DK1 De-seasonalised Price Series (Primary)</a:t>
            </a:r>
          </a:p>
        </rich>
      </tx>
    </title>
    <plotArea>
      <lineChart>
        <grouping val="standard"/>
        <ser>
          <idx val="0"/>
          <order val="0"/>
          <tx>
            <strRef>
              <f>'Electricity Price Data'!E1</f>
            </strRef>
          </tx>
          <spPr>
            <a:ln xmlns:a="http://schemas.openxmlformats.org/drawingml/2006/main">
              <a:solidFill>
                <a:srgbClr val="2E75B6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val>
            <numRef>
              <f>'Electricity Price Data'!$E$2:$E$85</f>
            </numRef>
          </val>
        </ser>
        <axId val="10"/>
        <axId val="100"/>
      </lineChart>
      <catAx>
        <axId val="10"/>
        <scaling>
          <orientation val="minMax"/>
        </scaling>
        <axPos val="l"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Month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EUR/MWh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43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Monthly Spot Prices - DK1 (Primary) and DK2 (Robustness)</a:t>
            </a:r>
          </a:p>
        </rich>
      </tx>
    </title>
    <plotArea>
      <lineChart>
        <grouping val="standard"/>
        <ser>
          <idx val="0"/>
          <order val="0"/>
          <tx>
            <strRef>
              <f>'Electricity Price Data'!B1</f>
            </strRef>
          </tx>
          <spPr>
            <a:ln xmlns:a="http://schemas.openxmlformats.org/drawingml/2006/main">
              <a:solidFill>
                <a:srgbClr val="2E75B6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val>
            <numRef>
              <f>'Electricity Price Data'!$B$2:$B$85</f>
            </numRef>
          </val>
        </ser>
        <ser>
          <idx val="1"/>
          <order val="1"/>
          <tx>
            <strRef>
              <f>'Electricity Price Data'!C1</f>
            </strRef>
          </tx>
          <spPr>
            <a:ln xmlns:a="http://schemas.openxmlformats.org/drawingml/2006/main">
              <a:solidFill>
                <a:srgbClr val="9DC3E6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val>
            <numRef>
              <f>'Electricity Price Data'!$C$2:$C$85</f>
            </numRef>
          </val>
        </ser>
        <axId val="10"/>
        <axId val="100"/>
      </lineChart>
      <catAx>
        <axId val="10"/>
        <scaling>
          <orientation val="minMax"/>
        </scaling>
        <axPos val="l"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Month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EUR/MWh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44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DK1 De-seasonalised Price Series (Primary)</a:t>
            </a:r>
          </a:p>
        </rich>
      </tx>
    </title>
    <plotArea>
      <lineChart>
        <grouping val="standard"/>
        <ser>
          <idx val="0"/>
          <order val="0"/>
          <tx>
            <strRef>
              <f>'Electricity Price Data'!E1</f>
            </strRef>
          </tx>
          <spPr>
            <a:ln xmlns:a="http://schemas.openxmlformats.org/drawingml/2006/main">
              <a:solidFill>
                <a:srgbClr val="2E75B6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val>
            <numRef>
              <f>'Electricity Price Data'!$E$2:$E$85</f>
            </numRef>
          </val>
        </ser>
        <axId val="10"/>
        <axId val="100"/>
      </lineChart>
      <catAx>
        <axId val="10"/>
        <scaling>
          <orientation val="minMax"/>
        </scaling>
        <axPos val="l"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Month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EUR/MWh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45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Monthly Spot Prices - DK1 (Primary) and DK2 (Robustness)</a:t>
            </a:r>
          </a:p>
        </rich>
      </tx>
    </title>
    <plotArea>
      <lineChart>
        <grouping val="standard"/>
        <ser>
          <idx val="0"/>
          <order val="0"/>
          <tx>
            <strRef>
              <f>'Electricity Price Data'!B1</f>
            </strRef>
          </tx>
          <spPr>
            <a:ln xmlns:a="http://schemas.openxmlformats.org/drawingml/2006/main">
              <a:solidFill>
                <a:srgbClr val="2E75B6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val>
            <numRef>
              <f>'Electricity Price Data'!$B$2:$B$85</f>
            </numRef>
          </val>
        </ser>
        <ser>
          <idx val="1"/>
          <order val="1"/>
          <tx>
            <strRef>
              <f>'Electricity Price Data'!C1</f>
            </strRef>
          </tx>
          <spPr>
            <a:ln xmlns:a="http://schemas.openxmlformats.org/drawingml/2006/main">
              <a:solidFill>
                <a:srgbClr val="9DC3E6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val>
            <numRef>
              <f>'Electricity Price Data'!$C$2:$C$85</f>
            </numRef>
          </val>
        </ser>
        <axId val="10"/>
        <axId val="100"/>
      </lineChart>
      <catAx>
        <axId val="10"/>
        <scaling>
          <orientation val="minMax"/>
        </scaling>
        <axPos val="l"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Month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EUR/MWh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46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DK1 De-seasonalised Price Series (Primary)</a:t>
            </a:r>
          </a:p>
        </rich>
      </tx>
    </title>
    <plotArea>
      <lineChart>
        <grouping val="standard"/>
        <ser>
          <idx val="0"/>
          <order val="0"/>
          <tx>
            <strRef>
              <f>'Electricity Price Data'!E1</f>
            </strRef>
          </tx>
          <spPr>
            <a:ln xmlns:a="http://schemas.openxmlformats.org/drawingml/2006/main">
              <a:solidFill>
                <a:srgbClr val="2E75B6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val>
            <numRef>
              <f>'Electricity Price Data'!$E$2:$E$85</f>
            </numRef>
          </val>
        </ser>
        <axId val="10"/>
        <axId val="100"/>
      </lineChart>
      <catAx>
        <axId val="10"/>
        <scaling>
          <orientation val="minMax"/>
        </scaling>
        <axPos val="l"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Month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EUR/MWh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47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Monthly Spot Prices - DK1 (Primary) and DK2 (Robustness)</a:t>
            </a:r>
          </a:p>
        </rich>
      </tx>
    </title>
    <plotArea>
      <lineChart>
        <grouping val="standard"/>
        <ser>
          <idx val="0"/>
          <order val="0"/>
          <tx>
            <strRef>
              <f>'Electricity Price Data'!B1</f>
            </strRef>
          </tx>
          <spPr>
            <a:ln xmlns:a="http://schemas.openxmlformats.org/drawingml/2006/main">
              <a:solidFill>
                <a:srgbClr val="2E75B6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val>
            <numRef>
              <f>'Electricity Price Data'!$B$2:$B$85</f>
            </numRef>
          </val>
        </ser>
        <ser>
          <idx val="1"/>
          <order val="1"/>
          <tx>
            <strRef>
              <f>'Electricity Price Data'!C1</f>
            </strRef>
          </tx>
          <spPr>
            <a:ln xmlns:a="http://schemas.openxmlformats.org/drawingml/2006/main">
              <a:solidFill>
                <a:srgbClr val="9DC3E6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val>
            <numRef>
              <f>'Electricity Price Data'!$C$2:$C$85</f>
            </numRef>
          </val>
        </ser>
        <axId val="10"/>
        <axId val="100"/>
      </lineChart>
      <catAx>
        <axId val="10"/>
        <scaling>
          <orientation val="minMax"/>
        </scaling>
        <axPos val="l"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Month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EUR/MWh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48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DK1 De-seasonalised Price Series (Primary)</a:t>
            </a:r>
          </a:p>
        </rich>
      </tx>
    </title>
    <plotArea>
      <lineChart>
        <grouping val="standard"/>
        <ser>
          <idx val="0"/>
          <order val="0"/>
          <tx>
            <strRef>
              <f>'Electricity Price Data'!E1</f>
            </strRef>
          </tx>
          <spPr>
            <a:ln xmlns:a="http://schemas.openxmlformats.org/drawingml/2006/main">
              <a:solidFill>
                <a:srgbClr val="2E75B6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val>
            <numRef>
              <f>'Electricity Price Data'!$E$2:$E$85</f>
            </numRef>
          </val>
        </ser>
        <axId val="10"/>
        <axId val="100"/>
      </lineChart>
      <catAx>
        <axId val="10"/>
        <scaling>
          <orientation val="minMax"/>
        </scaling>
        <axPos val="l"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Month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EUR/MWh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49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Monthly Spot Prices - DK1 (Primary) and DK2 (Robustness)</a:t>
            </a:r>
          </a:p>
        </rich>
      </tx>
    </title>
    <plotArea>
      <lineChart>
        <grouping val="standard"/>
        <ser>
          <idx val="0"/>
          <order val="0"/>
          <tx>
            <strRef>
              <f>'Electricity Price Data'!B1</f>
            </strRef>
          </tx>
          <spPr>
            <a:ln xmlns:a="http://schemas.openxmlformats.org/drawingml/2006/main">
              <a:solidFill>
                <a:srgbClr val="2E75B6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val>
            <numRef>
              <f>'Electricity Price Data'!$B$2:$B$85</f>
            </numRef>
          </val>
        </ser>
        <ser>
          <idx val="1"/>
          <order val="1"/>
          <tx>
            <strRef>
              <f>'Electricity Price Data'!C1</f>
            </strRef>
          </tx>
          <spPr>
            <a:ln xmlns:a="http://schemas.openxmlformats.org/drawingml/2006/main">
              <a:solidFill>
                <a:srgbClr val="9DC3E6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val>
            <numRef>
              <f>'Electricity Price Data'!$C$2:$C$85</f>
            </numRef>
          </val>
        </ser>
        <axId val="10"/>
        <axId val="100"/>
      </lineChart>
      <catAx>
        <axId val="10"/>
        <scaling>
          <orientation val="minMax"/>
        </scaling>
        <axPos val="l"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Month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EUR/MWh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50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DK1 De-seasonalised Price Series (Primary)</a:t>
            </a:r>
          </a:p>
        </rich>
      </tx>
    </title>
    <plotArea>
      <lineChart>
        <grouping val="standard"/>
        <ser>
          <idx val="0"/>
          <order val="0"/>
          <tx>
            <strRef>
              <f>'Electricity Price Data'!E1</f>
            </strRef>
          </tx>
          <spPr>
            <a:ln xmlns:a="http://schemas.openxmlformats.org/drawingml/2006/main">
              <a:solidFill>
                <a:srgbClr val="2E75B6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val>
            <numRef>
              <f>'Electricity Price Data'!$E$2:$E$85</f>
            </numRef>
          </val>
        </ser>
        <axId val="10"/>
        <axId val="100"/>
      </lineChart>
      <catAx>
        <axId val="10"/>
        <scaling>
          <orientation val="minMax"/>
        </scaling>
        <axPos val="l"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Month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EUR/MWh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51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Monthly Spot Prices - DK1 (Primary) and DK2 (Robustness)</a:t>
            </a:r>
          </a:p>
        </rich>
      </tx>
    </title>
    <plotArea>
      <lineChart>
        <grouping val="standard"/>
        <ser>
          <idx val="0"/>
          <order val="0"/>
          <tx>
            <strRef>
              <f>'Electricity Price Data'!B1</f>
            </strRef>
          </tx>
          <spPr>
            <a:ln xmlns:a="http://schemas.openxmlformats.org/drawingml/2006/main">
              <a:solidFill>
                <a:srgbClr val="2E75B6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val>
            <numRef>
              <f>'Electricity Price Data'!$B$2:$B$85</f>
            </numRef>
          </val>
        </ser>
        <ser>
          <idx val="1"/>
          <order val="1"/>
          <tx>
            <strRef>
              <f>'Electricity Price Data'!C1</f>
            </strRef>
          </tx>
          <spPr>
            <a:ln xmlns:a="http://schemas.openxmlformats.org/drawingml/2006/main">
              <a:solidFill>
                <a:srgbClr val="9DC3E6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val>
            <numRef>
              <f>'Electricity Price Data'!$C$2:$C$85</f>
            </numRef>
          </val>
        </ser>
        <axId val="10"/>
        <axId val="100"/>
      </lineChart>
      <catAx>
        <axId val="10"/>
        <scaling>
          <orientation val="minMax"/>
        </scaling>
        <axPos val="l"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Month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EUR/MWh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52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DK1 De-seasonalised Price Series (Primary)</a:t>
            </a:r>
          </a:p>
        </rich>
      </tx>
    </title>
    <plotArea>
      <lineChart>
        <grouping val="standard"/>
        <ser>
          <idx val="0"/>
          <order val="0"/>
          <tx>
            <strRef>
              <f>'Electricity Price Data'!E1</f>
            </strRef>
          </tx>
          <spPr>
            <a:ln xmlns:a="http://schemas.openxmlformats.org/drawingml/2006/main">
              <a:solidFill>
                <a:srgbClr val="2E75B6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val>
            <numRef>
              <f>'Electricity Price Data'!$E$2:$E$85</f>
            </numRef>
          </val>
        </ser>
        <axId val="10"/>
        <axId val="100"/>
      </lineChart>
      <catAx>
        <axId val="10"/>
        <scaling>
          <orientation val="minMax"/>
        </scaling>
        <axPos val="l"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Month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EUR/MWh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53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Monthly Spot Prices - DK1 (Primary) and DK2 (Robustness)</a:t>
            </a:r>
          </a:p>
        </rich>
      </tx>
    </title>
    <plotArea>
      <lineChart>
        <grouping val="standard"/>
        <ser>
          <idx val="0"/>
          <order val="0"/>
          <tx>
            <strRef>
              <f>'Electricity Price Data'!B1</f>
            </strRef>
          </tx>
          <spPr>
            <a:ln xmlns:a="http://schemas.openxmlformats.org/drawingml/2006/main">
              <a:solidFill>
                <a:srgbClr val="2E75B6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val>
            <numRef>
              <f>'Electricity Price Data'!$B$2:$B$85</f>
            </numRef>
          </val>
        </ser>
        <ser>
          <idx val="1"/>
          <order val="1"/>
          <tx>
            <strRef>
              <f>'Electricity Price Data'!C1</f>
            </strRef>
          </tx>
          <spPr>
            <a:ln xmlns:a="http://schemas.openxmlformats.org/drawingml/2006/main">
              <a:solidFill>
                <a:srgbClr val="9DC3E6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val>
            <numRef>
              <f>'Electricity Price Data'!$C$2:$C$85</f>
            </numRef>
          </val>
        </ser>
        <axId val="10"/>
        <axId val="100"/>
      </lineChart>
      <catAx>
        <axId val="10"/>
        <scaling>
          <orientation val="minMax"/>
        </scaling>
        <axPos val="l"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Month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EUR/MWh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54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DK1 De-seasonalised Price Series (Primary)</a:t>
            </a:r>
          </a:p>
        </rich>
      </tx>
    </title>
    <plotArea>
      <lineChart>
        <grouping val="standard"/>
        <ser>
          <idx val="0"/>
          <order val="0"/>
          <tx>
            <strRef>
              <f>'Electricity Price Data'!E1</f>
            </strRef>
          </tx>
          <spPr>
            <a:ln xmlns:a="http://schemas.openxmlformats.org/drawingml/2006/main">
              <a:solidFill>
                <a:srgbClr val="2E75B6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val>
            <numRef>
              <f>'Electricity Price Data'!$E$2:$E$85</f>
            </numRef>
          </val>
        </ser>
        <axId val="10"/>
        <axId val="100"/>
      </lineChart>
      <catAx>
        <axId val="10"/>
        <scaling>
          <orientation val="minMax"/>
        </scaling>
        <axPos val="l"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Month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EUR/MWh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55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Monthly Spot Prices - DK1 (Primary) and DK2 (Robustness)</a:t>
            </a:r>
          </a:p>
        </rich>
      </tx>
    </title>
    <plotArea>
      <lineChart>
        <grouping val="standard"/>
        <ser>
          <idx val="0"/>
          <order val="0"/>
          <tx>
            <strRef>
              <f>'Electricity Price Data'!B1</f>
            </strRef>
          </tx>
          <spPr>
            <a:ln xmlns:a="http://schemas.openxmlformats.org/drawingml/2006/main">
              <a:solidFill>
                <a:srgbClr val="2E75B6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val>
            <numRef>
              <f>'Electricity Price Data'!$B$2:$B$85</f>
            </numRef>
          </val>
        </ser>
        <ser>
          <idx val="1"/>
          <order val="1"/>
          <tx>
            <strRef>
              <f>'Electricity Price Data'!C1</f>
            </strRef>
          </tx>
          <spPr>
            <a:ln xmlns:a="http://schemas.openxmlformats.org/drawingml/2006/main">
              <a:solidFill>
                <a:srgbClr val="9DC3E6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val>
            <numRef>
              <f>'Electricity Price Data'!$C$2:$C$85</f>
            </numRef>
          </val>
        </ser>
        <axId val="10"/>
        <axId val="100"/>
      </lineChart>
      <catAx>
        <axId val="10"/>
        <scaling>
          <orientation val="minMax"/>
        </scaling>
        <axPos val="l"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Month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EUR/MWh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56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DK1 De-seasonalised Price Series (Primary)</a:t>
            </a:r>
          </a:p>
        </rich>
      </tx>
    </title>
    <plotArea>
      <lineChart>
        <grouping val="standard"/>
        <ser>
          <idx val="0"/>
          <order val="0"/>
          <tx>
            <strRef>
              <f>'Electricity Price Data'!E1</f>
            </strRef>
          </tx>
          <spPr>
            <a:ln xmlns:a="http://schemas.openxmlformats.org/drawingml/2006/main">
              <a:solidFill>
                <a:srgbClr val="2E75B6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val>
            <numRef>
              <f>'Electricity Price Data'!$E$2:$E$85</f>
            </numRef>
          </val>
        </ser>
        <axId val="10"/>
        <axId val="100"/>
      </lineChart>
      <catAx>
        <axId val="10"/>
        <scaling>
          <orientation val="minMax"/>
        </scaling>
        <axPos val="l"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Month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EUR/MWh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57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Monthly Spot Prices - DK1 (Primary) and DK2 (Robustness)</a:t>
            </a:r>
          </a:p>
        </rich>
      </tx>
    </title>
    <plotArea>
      <lineChart>
        <grouping val="standard"/>
        <ser>
          <idx val="0"/>
          <order val="0"/>
          <tx>
            <strRef>
              <f>'Electricity Price Data'!B1</f>
            </strRef>
          </tx>
          <spPr>
            <a:ln xmlns:a="http://schemas.openxmlformats.org/drawingml/2006/main">
              <a:solidFill>
                <a:srgbClr val="2E75B6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val>
            <numRef>
              <f>'Electricity Price Data'!$B$2:$B$85</f>
            </numRef>
          </val>
        </ser>
        <ser>
          <idx val="1"/>
          <order val="1"/>
          <tx>
            <strRef>
              <f>'Electricity Price Data'!C1</f>
            </strRef>
          </tx>
          <spPr>
            <a:ln xmlns:a="http://schemas.openxmlformats.org/drawingml/2006/main">
              <a:solidFill>
                <a:srgbClr val="9DC3E6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val>
            <numRef>
              <f>'Electricity Price Data'!$C$2:$C$85</f>
            </numRef>
          </val>
        </ser>
        <axId val="10"/>
        <axId val="100"/>
      </lineChart>
      <catAx>
        <axId val="10"/>
        <scaling>
          <orientation val="minMax"/>
        </scaling>
        <axPos val="l"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Month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EUR/MWh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58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DK1 De-seasonalised Price Series (Primary)</a:t>
            </a:r>
          </a:p>
        </rich>
      </tx>
    </title>
    <plotArea>
      <lineChart>
        <grouping val="standard"/>
        <ser>
          <idx val="0"/>
          <order val="0"/>
          <tx>
            <strRef>
              <f>'Electricity Price Data'!E1</f>
            </strRef>
          </tx>
          <spPr>
            <a:ln xmlns:a="http://schemas.openxmlformats.org/drawingml/2006/main">
              <a:solidFill>
                <a:srgbClr val="2E75B6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val>
            <numRef>
              <f>'Electricity Price Data'!$E$2:$E$85</f>
            </numRef>
          </val>
        </ser>
        <axId val="10"/>
        <axId val="100"/>
      </lineChart>
      <catAx>
        <axId val="10"/>
        <scaling>
          <orientation val="minMax"/>
        </scaling>
        <axPos val="l"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Month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EUR/MWh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59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Monthly Spot Prices - DK1 (Primary) and DK2 (Robustness)</a:t>
            </a:r>
          </a:p>
        </rich>
      </tx>
    </title>
    <plotArea>
      <lineChart>
        <grouping val="standard"/>
        <ser>
          <idx val="0"/>
          <order val="0"/>
          <tx>
            <strRef>
              <f>'Electricity Price Data'!B1</f>
            </strRef>
          </tx>
          <spPr>
            <a:ln xmlns:a="http://schemas.openxmlformats.org/drawingml/2006/main">
              <a:solidFill>
                <a:srgbClr val="2E75B6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val>
            <numRef>
              <f>'Electricity Price Data'!$B$2:$B$85</f>
            </numRef>
          </val>
        </ser>
        <ser>
          <idx val="1"/>
          <order val="1"/>
          <tx>
            <strRef>
              <f>'Electricity Price Data'!C1</f>
            </strRef>
          </tx>
          <spPr>
            <a:ln xmlns:a="http://schemas.openxmlformats.org/drawingml/2006/main">
              <a:solidFill>
                <a:srgbClr val="9DC3E6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val>
            <numRef>
              <f>'Electricity Price Data'!$C$2:$C$85</f>
            </numRef>
          </val>
        </ser>
        <axId val="10"/>
        <axId val="100"/>
      </lineChart>
      <catAx>
        <axId val="10"/>
        <scaling>
          <orientation val="minMax"/>
        </scaling>
        <axPos val="l"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Month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EUR/MWh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60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DK1 De-seasonalised Price Series (Primary)</a:t>
            </a:r>
          </a:p>
        </rich>
      </tx>
    </title>
    <plotArea>
      <lineChart>
        <grouping val="standard"/>
        <ser>
          <idx val="0"/>
          <order val="0"/>
          <tx>
            <strRef>
              <f>'Electricity Price Data'!E1</f>
            </strRef>
          </tx>
          <spPr>
            <a:ln xmlns:a="http://schemas.openxmlformats.org/drawingml/2006/main">
              <a:solidFill>
                <a:srgbClr val="2E75B6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val>
            <numRef>
              <f>'Electricity Price Data'!$E$2:$E$85</f>
            </numRef>
          </val>
        </ser>
        <axId val="10"/>
        <axId val="100"/>
      </lineChart>
      <catAx>
        <axId val="10"/>
        <scaling>
          <orientation val="minMax"/>
        </scaling>
        <axPos val="l"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Month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EUR/MWh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61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Monthly Spot Prices - DK1 (Primary) and DK2 (Robustness)</a:t>
            </a:r>
          </a:p>
        </rich>
      </tx>
    </title>
    <plotArea>
      <lineChart>
        <grouping val="standard"/>
        <ser>
          <idx val="0"/>
          <order val="0"/>
          <tx>
            <strRef>
              <f>'Electricity Price Data'!B1</f>
            </strRef>
          </tx>
          <spPr>
            <a:ln xmlns:a="http://schemas.openxmlformats.org/drawingml/2006/main">
              <a:solidFill>
                <a:srgbClr val="2E75B6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val>
            <numRef>
              <f>'Electricity Price Data'!$B$2:$B$85</f>
            </numRef>
          </val>
        </ser>
        <ser>
          <idx val="1"/>
          <order val="1"/>
          <tx>
            <strRef>
              <f>'Electricity Price Data'!C1</f>
            </strRef>
          </tx>
          <spPr>
            <a:ln xmlns:a="http://schemas.openxmlformats.org/drawingml/2006/main">
              <a:solidFill>
                <a:srgbClr val="9DC3E6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val>
            <numRef>
              <f>'Electricity Price Data'!$C$2:$C$85</f>
            </numRef>
          </val>
        </ser>
        <axId val="10"/>
        <axId val="100"/>
      </lineChart>
      <catAx>
        <axId val="10"/>
        <scaling>
          <orientation val="minMax"/>
        </scaling>
        <axPos val="l"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Month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EUR/MWh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62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DK1 De-seasonalised Price Series (Primary)</a:t>
            </a:r>
          </a:p>
        </rich>
      </tx>
    </title>
    <plotArea>
      <lineChart>
        <grouping val="standard"/>
        <ser>
          <idx val="0"/>
          <order val="0"/>
          <tx>
            <strRef>
              <f>'Electricity Price Data'!E1</f>
            </strRef>
          </tx>
          <spPr>
            <a:ln xmlns:a="http://schemas.openxmlformats.org/drawingml/2006/main">
              <a:solidFill>
                <a:srgbClr val="2E75B6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val>
            <numRef>
              <f>'Electricity Price Data'!$E$2:$E$85</f>
            </numRef>
          </val>
        </ser>
        <axId val="10"/>
        <axId val="100"/>
      </lineChart>
      <catAx>
        <axId val="10"/>
        <scaling>
          <orientation val="minMax"/>
        </scaling>
        <axPos val="l"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Month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EUR/MWh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63.xml><?xml version="1.0" encoding="utf-8"?>
<chartSpace xmlns="http://schemas.openxmlformats.org/drawingml/2006/chart">
  <chart>
    <title>
      <tx>
        <rich>
          <a:bodyPr xmlns:a="http://schemas.openxmlformats.org/drawingml/2006/main"/>
          <a:lstStyle xmlns:a="http://schemas.openxmlformats.org/drawingml/2006/main"/>
          <a:p xmlns:a="http://schemas.openxmlformats.org/drawingml/2006/main">
            <a:pPr>
              <a:defRPr sz="1200"/>
            </a:pPr>
            <a:r>
              <a:rPr lang="en-GB" sz="1200"/>
              <a:t>Monthly Solar Penetration — DK1 and DK2 (%)</a:t>
            </a:r>
          </a:p>
        </rich>
      </tx>
      <layout>
        <manualLayout>
          <xMode val="edge"/>
          <yMode val="edge"/>
          <wMode val="factor"/>
          <hMode val="factor"/>
          <x val="0.2747863782370164"/>
          <y val="0.03488372093023256"/>
        </manualLayout>
      </layout>
      <overlay val="1"/>
    </title>
    <plotArea>
      <layout>
        <manualLayout>
          <layoutTarget val="inner"/>
          <xMode val="edge"/>
          <yMode val="edge"/>
          <wMode val="factor"/>
          <hMode val="factor"/>
          <x val="0.09334100836673397"/>
          <y val="0.1453488372093023"/>
          <w val="0.7083005959995073"/>
          <h val="0.7034883720930233"/>
        </manualLayout>
      </layout>
      <lineChart>
        <grouping val="standard"/>
        <varyColors val="1"/>
        <ser>
          <idx val="0"/>
          <order val="0"/>
          <tx>
            <strRef>
              <f>'Capture Price Inputs'!$G$4</f>
              <strCache>
                <ptCount val="1"/>
                <pt idx="0">
                  <v>0</v>
                </pt>
              </strCache>
            </strRef>
          </tx>
          <spPr>
            <a:ln xmlns:a="http://schemas.openxmlformats.org/drawingml/2006/main">
              <a:solidFill>
                <a:srgbClr val="FF8C00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val>
            <numRef>
              <f>'Capture Price Inputs'!$G$6:$G$89</f>
              <numCache>
                <formatCode>General</formatCode>
                <ptCount val="84"/>
                <pt idx="0">
                  <v>0</v>
                </pt>
                <pt idx="1">
                  <v>0</v>
                </pt>
                <pt idx="2">
                  <v>0</v>
                </pt>
                <pt idx="3">
                  <v>0</v>
                </pt>
                <pt idx="4">
                  <v>0</v>
                </pt>
                <pt idx="5">
                  <v>0</v>
                </pt>
                <pt idx="6">
                  <v>0</v>
                </pt>
                <pt idx="7">
                  <v>0</v>
                </pt>
                <pt idx="8">
                  <v>0.001864323044087839</v>
                </pt>
                <pt idx="9">
                  <v>0.004961339344807235</v>
                </pt>
                <pt idx="10">
                  <v>0.01532033335337761</v>
                </pt>
                <pt idx="11">
                  <v>0.02618059513454593</v>
                </pt>
                <pt idx="12">
                  <v>0.03224093077416624</v>
                </pt>
                <pt idx="13">
                  <v>0.03065181208815584</v>
                </pt>
                <pt idx="14">
                  <v>0.02998206800974695</v>
                </pt>
                <pt idx="15">
                  <v>0.02803471341430708</v>
                </pt>
                <pt idx="16">
                  <v>0.02173647910159525</v>
                </pt>
                <pt idx="17">
                  <v>0.01107911770574695</v>
                </pt>
                <pt idx="18">
                  <v>0.0001104461157833284</v>
                </pt>
                <pt idx="19">
                  <v>5.635243358406259e-06</v>
                </pt>
                <pt idx="20">
                  <v>0.003104474131982996</v>
                </pt>
                <pt idx="21">
                  <v>0.009248336948772359</v>
                </pt>
                <pt idx="22">
                  <v>0.01847451704521283</v>
                </pt>
                <pt idx="23">
                  <v>0.03269440748331279</v>
                </pt>
                <pt idx="24">
                  <v>0.03294582929454019</v>
                </pt>
                <pt idx="25">
                  <v>0.04448013314005607</v>
                </pt>
                <pt idx="26">
                  <v>0.03704954253730217</v>
                </pt>
                <pt idx="27">
                  <v>0.03185776883426199</v>
                </pt>
                <pt idx="28">
                  <v>0.0223981137027396</v>
                </pt>
                <pt idx="29">
                  <v>0.01267326343754744</v>
                </pt>
                <pt idx="30">
                  <v>0.004013281085791027</v>
                </pt>
                <pt idx="31">
                  <v>0.001822629583826099</v>
                </pt>
                <pt idx="32">
                  <v>0.004939556742877535</v>
                </pt>
                <pt idx="33">
                  <v>0.01324848558669828</v>
                </pt>
                <pt idx="34">
                  <v>0.03408933034912105</v>
                </pt>
                <pt idx="35">
                  <v>0.05525443609957865</v>
                </pt>
                <pt idx="36">
                  <v>0.06581145996085939</v>
                </pt>
                <pt idx="37">
                  <v>0.06452822904586782</v>
                </pt>
                <pt idx="38">
                  <v>0.06702580380195292</v>
                </pt>
                <pt idx="39">
                  <v>0.06129992439719582</v>
                </pt>
                <pt idx="40">
                  <v>0.04578427610350702</v>
                </pt>
                <pt idx="41">
                  <v>0.0298090580270354</v>
                </pt>
                <pt idx="42">
                  <v>0.007865295261900549</v>
                </pt>
                <pt idx="43">
                  <v>0.004532355552973548</v>
                </pt>
                <pt idx="44">
                  <v>0.005862652723136608</v>
                </pt>
                <pt idx="45">
                  <v>0.01887764841837355</v>
                </pt>
                <pt idx="46">
                  <v>0.03709622939200571</v>
                </pt>
                <pt idx="47">
                  <v>0.08026996603382495</v>
                </pt>
                <pt idx="48">
                  <v>0.1080032082802261</v>
                </pt>
                <pt idx="49">
                  <v>0.1144244665352921</v>
                </pt>
                <pt idx="50">
                  <v>0.1020307450715976</v>
                </pt>
                <pt idx="51">
                  <v>0.07793101053296771</v>
                </pt>
                <pt idx="52">
                  <v>0.08090995463931874</v>
                </pt>
                <pt idx="53">
                  <v>0.02917234021559438</v>
                </pt>
                <pt idx="54">
                  <v>0.0104098691216888</v>
                </pt>
                <pt idx="55">
                  <v>0.003809030164374855</v>
                </pt>
                <pt idx="56">
                  <v>0.006178183072975508</v>
                </pt>
                <pt idx="57">
                  <v>0.01667231366864759</v>
                </pt>
                <pt idx="58">
                  <v>0.04111280636733766</v>
                </pt>
                <pt idx="59">
                  <v>0.06512337874480645</v>
                </pt>
                <pt idx="60">
                  <v>0.106315341440858</v>
                </pt>
                <pt idx="61">
                  <v>0.1072729076610999</v>
                </pt>
                <pt idx="62">
                  <v>0.1057942634887733</v>
                </pt>
                <pt idx="63">
                  <v>0.0936908322687052</v>
                </pt>
                <pt idx="64">
                  <v>0.07246320282040017</v>
                </pt>
                <pt idx="65">
                  <v>0.03614525389237988</v>
                </pt>
                <pt idx="66">
                  <v>0.008602841405423608</v>
                </pt>
                <pt idx="67">
                  <v>0.004171468465776758</v>
                </pt>
                <pt idx="68">
                  <v>0.007223240212576967</v>
                </pt>
                <pt idx="69">
                  <v>0.02010831138567791</v>
                </pt>
                <pt idx="70">
                  <v>0.04654786644745259</v>
                </pt>
                <pt idx="71">
                  <v>0.07168978364906199</v>
                </pt>
                <pt idx="72">
                  <v>0.09471412725623395</v>
                </pt>
                <pt idx="73">
                  <v>0.09982625001551076</v>
                </pt>
                <pt idx="74">
                  <v>0.09399641941869914</v>
                </pt>
                <pt idx="75">
                  <v>0.1057378118957395</v>
                </pt>
                <pt idx="76">
                  <v>0.09062887968652376</v>
                </pt>
                <pt idx="77">
                  <v>0.03957312567862663</v>
                </pt>
                <pt idx="78">
                  <v>0.01454364344794783</v>
                </pt>
                <pt idx="79">
                  <v>0.00906949116088333</v>
                </pt>
              </numCache>
            </numRef>
          </val>
          <smooth val="1"/>
        </ser>
        <ser>
          <idx val="1"/>
          <order val="1"/>
          <tx>
            <strRef>
              <f>'Capture Price Inputs'!$H$4</f>
              <strCache>
                <ptCount val="1"/>
              </strCache>
            </strRef>
          </tx>
          <spPr>
            <a:ln xmlns:a="http://schemas.openxmlformats.org/drawingml/2006/main">
              <a:solidFill>
                <a:srgbClr val="FFD700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val>
            <numRef>
              <f>'Capture Price Inputs'!$H$6:$H$89</f>
              <numCache>
                <formatCode>General</formatCode>
                <ptCount val="84"/>
                <pt idx="8">
                  <v>25.22320957280251</v>
                </pt>
                <pt idx="9">
                  <v>22.83581899109792</v>
                </pt>
                <pt idx="10">
                  <v>15.94107348554973</v>
                </pt>
                <pt idx="11">
                  <v>10.36487590420421</v>
                </pt>
                <pt idx="12">
                  <v>15.478548945086</v>
                </pt>
                <pt idx="13">
                  <v>27.31330822786869</v>
                </pt>
                <pt idx="14">
                  <v>24.83174517810916</v>
                </pt>
                <pt idx="15">
                  <v>33.87691542204785</v>
                </pt>
                <pt idx="16">
                  <v>38.93597900337959</v>
                </pt>
                <pt idx="17">
                  <v>31.92774153305919</v>
                </pt>
                <pt idx="18">
                  <v>26.00599326599326</v>
                </pt>
                <pt idx="19">
                  <v>34.79516129032258</v>
                </pt>
                <pt idx="20">
                  <v>55.42296760727792</v>
                </pt>
                <pt idx="21">
                  <v>47.54261097914259</v>
                </pt>
                <pt idx="22">
                  <v>44.55070091580549</v>
                </pt>
                <pt idx="23">
                  <v>43.594739828473</v>
                </pt>
                <pt idx="24">
                  <v>47.65587057500122</v>
                </pt>
                <pt idx="25">
                  <v>70.54354791111106</v>
                </pt>
                <pt idx="26">
                  <v>78.56831974775861</v>
                </pt>
                <pt idx="27">
                  <v>81.98335113640179</v>
                </pt>
                <pt idx="28">
                  <v>116.2002249554484</v>
                </pt>
                <pt idx="29">
                  <v>126.5303952032395</v>
                </pt>
                <pt idx="30">
                  <v>160.7705833010295</v>
                </pt>
                <pt idx="31">
                  <v>228.8621705579358</v>
                </pt>
                <pt idx="32">
                  <v>123.2012506791719</v>
                </pt>
                <pt idx="33">
                  <v>117.67077903546</v>
                </pt>
                <pt idx="34">
                  <v>191.508071735067</v>
                </pt>
                <pt idx="35">
                  <v>145.7013871592604</v>
                </pt>
                <pt idx="36">
                  <v>149.4185612445558</v>
                </pt>
                <pt idx="37">
                  <v>194.7110340948198</v>
                </pt>
                <pt idx="38">
                  <v>239.3981525107354</v>
                </pt>
                <pt idx="39">
                  <v>419.792637226606</v>
                </pt>
                <pt idx="40">
                  <v>310.7073992726671</v>
                </pt>
                <pt idx="41">
                  <v>125.6295598680838</v>
                </pt>
                <pt idx="42">
                  <v>131.7111886265582</v>
                </pt>
                <pt idx="43">
                  <v>282.8237937420726</v>
                </pt>
                <pt idx="44">
                  <v>138.5299886842633</v>
                </pt>
                <pt idx="45">
                  <v>109.8769757213503</v>
                </pt>
                <pt idx="46">
                  <v>93.77419094069538</v>
                </pt>
                <pt idx="47">
                  <v>76.25042822265543</v>
                </pt>
                <pt idx="48">
                  <v>50.54348776008261</v>
                </pt>
                <pt idx="49">
                  <v>74.88898277621806</v>
                </pt>
                <pt idx="50">
                  <v>52.09559943846345</v>
                </pt>
                <pt idx="51">
                  <v>74.18042603997819</v>
                </pt>
                <pt idx="52">
                  <v>68.11686962339694</v>
                </pt>
                <pt idx="53">
                  <v>50.53909051970285</v>
                </pt>
                <pt idx="54">
                  <v>90.68080556242518</v>
                </pt>
                <pt idx="55">
                  <v>63.45532768878803</v>
                </pt>
                <pt idx="56">
                  <v>78.57131644167831</v>
                </pt>
                <pt idx="57">
                  <v>59.47948676805509</v>
                </pt>
                <pt idx="58">
                  <v>51.26978324155493</v>
                </pt>
                <pt idx="59">
                  <v>49.38394056201121</v>
                </pt>
                <pt idx="60">
                  <v>35.89414827140887</v>
                </pt>
                <pt idx="61">
                  <v>47.03763372739765</v>
                </pt>
                <pt idx="62">
                  <v>42.52177322309952</v>
                </pt>
                <pt idx="63">
                  <v>52.17121747504909</v>
                </pt>
                <pt idx="64">
                  <v>45.64750462621701</v>
                </pt>
                <pt idx="65">
                  <v>58.44158378709199</v>
                </pt>
                <pt idx="66">
                  <v>97.58235261633192</v>
                </pt>
                <pt idx="67">
                  <v>92.07321769383398</v>
                </pt>
                <pt idx="68">
                  <v>111.1945655985155</v>
                </pt>
                <pt idx="69">
                  <v>105.4131597378828</v>
                </pt>
                <pt idx="70">
                  <v>57.84566339627056</v>
                </pt>
                <pt idx="71">
                  <v>45.84439577068735</v>
                </pt>
                <pt idx="72">
                  <v>40.06566739400938</v>
                </pt>
                <pt idx="73">
                  <v>33.4933819651966</v>
                </pt>
                <pt idx="74">
                  <v>61.32224821093979</v>
                </pt>
                <pt idx="75">
                  <v>47.75582456745756</v>
                </pt>
                <pt idx="76">
                  <v>49.42909499605724</v>
                </pt>
                <pt idx="77">
                  <v>74.26663453789526</v>
                </pt>
                <pt idx="78">
                  <v>95.56453180252134</v>
                </pt>
                <pt idx="79">
                  <v>80.95803424278026</v>
                </pt>
              </numCache>
            </numRef>
          </val>
          <smooth val="1"/>
        </ser>
        <ser>
          <idx val="2"/>
          <order val="2"/>
          <tx>
            <strRef>
              <f>'Capture Price Inputs'!$I$4</f>
              <strCache>
                <ptCount val="1"/>
              </strCache>
            </strRef>
          </tx>
          <spPr>
            <a:ln xmlns:a="http://schemas.openxmlformats.org/drawingml/2006/main">
              <a:solidFill>
                <a:srgbClr val="C00000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val>
            <numRef>
              <f>'Capture Price Inputs'!$I$6:$I$89</f>
              <numCache>
                <formatCode>General</formatCode>
                <ptCount val="84"/>
                <pt idx="8">
                  <v>29.86213642213642</v>
                </pt>
                <pt idx="9">
                  <v>23.55551782972189</v>
                </pt>
                <pt idx="10">
                  <v>17.14905069226102</v>
                </pt>
                <pt idx="11">
                  <v>13.25252312836708</v>
                </pt>
                <pt idx="12">
                  <v>18.59404938271605</v>
                </pt>
                <pt idx="13">
                  <v>35.21078005032583</v>
                </pt>
                <pt idx="14">
                  <v>26.450778046867</v>
                </pt>
                <pt idx="15">
                  <v>44.11376501540486</v>
                </pt>
                <pt idx="16">
                  <v>41.85304788087056</v>
                </pt>
                <pt idx="17">
                  <v>33.60087837290333</v>
                </pt>
                <pt idx="18">
                  <v>37.749765625</v>
                </pt>
                <pt idx="19">
                  <v>44.19142857142857</v>
                </pt>
                <pt idx="20">
                  <v>57.07213441008145</v>
                </pt>
                <pt idx="21">
                  <v>52.28508365452458</v>
                </pt>
                <pt idx="22">
                  <v>47.42264301189781</v>
                </pt>
                <pt idx="23">
                  <v>45.90136374824883</v>
                </pt>
                <pt idx="24">
                  <v>50.2587202314608</v>
                </pt>
                <pt idx="25">
                  <v>69.46934165377623</v>
                </pt>
                <pt idx="26">
                  <v>77.93311155139432</v>
                </pt>
                <pt idx="27">
                  <v>84.51274769025703</v>
                </pt>
                <pt idx="28">
                  <v>118.7457227855615</v>
                </pt>
                <pt idx="29">
                  <v>122.3841235967906</v>
                </pt>
                <pt idx="30">
                  <v>153.6267942781575</v>
                </pt>
                <pt idx="31">
                  <v>244.4872785976441</v>
                </pt>
                <pt idx="32">
                  <v>129.6774902315082</v>
                </pt>
                <pt idx="33">
                  <v>108.8033389925641</v>
                </pt>
                <pt idx="34">
                  <v>186.0504424586062</v>
                </pt>
                <pt idx="35">
                  <v>143.5375888642185</v>
                </pt>
                <pt idx="36">
                  <v>146.2536023446033</v>
                </pt>
                <pt idx="37">
                  <v>192.2325905808319</v>
                </pt>
                <pt idx="38">
                  <v>212.3625858003895</v>
                </pt>
                <pt idx="39">
                  <v>397.1798848597606</v>
                </pt>
                <pt idx="40">
                  <v>315.928842796779</v>
                </pt>
                <pt idx="41">
                  <v>120.1190076327392</v>
                </pt>
                <pt idx="42">
                  <v>134.0399027878758</v>
                </pt>
                <pt idx="43">
                  <v>303.2697848166857</v>
                </pt>
                <pt idx="44">
                  <v>120.8992864784306</v>
                </pt>
                <pt idx="45">
                  <v>103.112625406295</v>
                </pt>
                <pt idx="46">
                  <v>89.0984689216417</v>
                </pt>
                <pt idx="47">
                  <v>71.1250997055942</v>
                </pt>
                <pt idx="48">
                  <v>48.35808379645633</v>
                </pt>
                <pt idx="49">
                  <v>71.8620903722224</v>
                </pt>
                <pt idx="50">
                  <v>50.34596661709235</v>
                </pt>
                <pt idx="51">
                  <v>72.95799234798741</v>
                </pt>
                <pt idx="52">
                  <v>64.3944846724649</v>
                </pt>
                <pt idx="53">
                  <v>47.66025509428685</v>
                </pt>
                <pt idx="54">
                  <v>84.63997860526599</v>
                </pt>
                <pt idx="55">
                  <v>59.06174633307972</v>
                </pt>
                <pt idx="56">
                  <v>76.42720253521921</v>
                </pt>
                <pt idx="57">
                  <v>51.43437919654775</v>
                </pt>
                <pt idx="58">
                  <v>50.75116381305344</v>
                </pt>
                <pt idx="59">
                  <v>47.053967904828</v>
                </pt>
                <pt idx="60">
                  <v>34.29579411369289</v>
                </pt>
                <pt idx="61">
                  <v>46.37938403458337</v>
                </pt>
                <pt idx="62">
                  <v>38.81282196947117</v>
                </pt>
                <pt idx="63">
                  <v>47.15186311829253</v>
                </pt>
                <pt idx="64">
                  <v>43.35594635084219</v>
                </pt>
                <pt idx="65">
                  <v>59.53493763028656</v>
                </pt>
                <pt idx="66">
                  <v>89.61127747791728</v>
                </pt>
                <pt idx="67">
                  <v>100.7961313991171</v>
                </pt>
                <pt idx="68">
                  <v>115.0822593270056</v>
                </pt>
                <pt idx="69">
                  <v>106.9231820731682</v>
                </pt>
                <pt idx="70">
                  <v>50.01806296126875</v>
                </pt>
                <pt idx="71">
                  <v>41.82584156307518</v>
                </pt>
                <pt idx="72">
                  <v>34.32066034459122</v>
                </pt>
                <pt idx="73">
                  <v>24.31568572006325</v>
                </pt>
                <pt idx="74">
                  <v>59.76694388214769</v>
                </pt>
                <pt idx="75">
                  <v>43.06460478354486</v>
                </pt>
                <pt idx="76">
                  <v>52.94940515380836</v>
                </pt>
                <pt idx="77">
                  <v>78.64573032240668</v>
                </pt>
                <pt idx="78">
                  <v>92.69045487153267</v>
                </pt>
                <pt idx="79">
                  <v>79.63122802208366</v>
                </pt>
              </numCache>
            </numRef>
          </val>
          <smooth val="1"/>
        </ser>
        <dLbls>
          <showLegendKey val="0"/>
          <showVal val="0"/>
          <showCatName val="0"/>
          <showSerName val="0"/>
          <showPercent val="0"/>
          <showBubbleSize val="0"/>
        </dLbls>
        <smooth val="0"/>
        <axId val="10"/>
        <axId val="100"/>
      </lineChart>
      <catAx>
        <axId val="10"/>
        <scaling>
          <orientation val="minMax"/>
        </scaling>
        <delete val="0"/>
        <axPos val="b"/>
        <title>
          <tx>
            <rich>
              <a:bodyPr xmlns:a="http://schemas.openxmlformats.org/drawingml/2006/main"/>
              <a:lstStyle xmlns:a="http://schemas.openxmlformats.org/drawingml/2006/main"/>
              <a:p xmlns:a="http://schemas.openxmlformats.org/drawingml/2006/main">
                <a:pPr>
                  <a:defRPr/>
                </a:pPr>
                <a:r>
                  <a:rPr lang="en-GB"/>
                  <a:t>Month</a:t>
                </a:r>
              </a:p>
            </rich>
          </tx>
          <layout>
            <manualLayout>
              <xMode val="edge"/>
              <yMode val="edge"/>
              <wMode val="factor"/>
              <hMode val="factor"/>
              <x val="0.4046393208069208"/>
              <y val="0.9302325581395349"/>
            </manualLayout>
          </layout>
          <overlay val="1"/>
        </title>
        <majorTickMark val="out"/>
        <minorTickMark val="none"/>
        <tickLblPos val="low"/>
        <crossAx val="100"/>
        <crosses val="autoZero"/>
        <auto val="1"/>
        <lblAlgn val="ctr"/>
        <lblOffset val="100"/>
        <tickLblSkip val="12"/>
        <tickMarkSkip val="12"/>
        <noMultiLvlLbl val="1"/>
      </catAx>
      <valAx>
        <axId val="100"/>
        <scaling>
          <orientation val="minMax"/>
        </scaling>
        <delete val="0"/>
        <axPos val="l"/>
        <majorGridlines/>
        <title>
          <tx>
            <rich>
              <a:bodyPr xmlns:a="http://schemas.openxmlformats.org/drawingml/2006/main"/>
              <a:lstStyle xmlns:a="http://schemas.openxmlformats.org/drawingml/2006/main"/>
              <a:p xmlns:a="http://schemas.openxmlformats.org/drawingml/2006/main">
                <a:pPr>
                  <a:defRPr/>
                </a:pPr>
                <a:r>
                  <a:rPr lang="en-GB"/>
                  <a:t>Solar Penetration (%)</a:t>
                </a:r>
              </a:p>
            </rich>
          </tx>
          <layout>
            <manualLayout>
              <xMode val="edge"/>
              <yMode val="edge"/>
              <wMode val="factor"/>
              <hMode val="factor"/>
              <x val="0.02209547362536361"/>
              <y val="0.3642732558139535"/>
            </manualLayout>
          </layout>
          <overlay val="1"/>
        </title>
        <numFmt formatCode="General" sourceLinked="1"/>
        <majorTickMark val="out"/>
        <minorTickMark val="none"/>
        <tickLblPos val="nextTo"/>
        <crossAx val="10"/>
        <crosses val="autoZero"/>
        <crossBetween val="midCat"/>
      </valAx>
    </plotArea>
    <legend>
      <legendPos val="r"/>
      <overlay val="1"/>
    </legend>
    <plotVisOnly val="1"/>
    <dispBlanksAs val="gap"/>
  </chart>
</chartSpace>
</file>

<file path=xl/charts/chart64.xml><?xml version="1.0" encoding="utf-8"?>
<chartSpace xmlns="http://schemas.openxmlformats.org/drawingml/2006/chart">
  <chart>
    <title>
      <tx>
        <rich>
          <a:bodyPr xmlns:a="http://schemas.openxmlformats.org/drawingml/2006/main"/>
          <a:lstStyle xmlns:a="http://schemas.openxmlformats.org/drawingml/2006/main"/>
          <a:p xmlns:a="http://schemas.openxmlformats.org/drawingml/2006/main">
            <a:pPr>
              <a:defRPr sz="1100"/>
            </a:pPr>
            <a:r>
              <a:rPr lang="en-GB" sz="1100"/>
              <a:t>Monthly Capture Price — DK1 and DK2 (EUR/MWh)</a:t>
            </a:r>
          </a:p>
        </rich>
      </tx>
      <layout>
        <manualLayout>
          <xMode val="edge"/>
          <yMode val="edge"/>
          <wMode val="factor"/>
          <hMode val="factor"/>
          <x val="0.28049034935615"/>
          <y val="0.03821759259259259"/>
        </manualLayout>
      </layout>
      <overlay val="1"/>
    </title>
    <plotArea>
      <layout>
        <manualLayout>
          <layoutTarget val="inner"/>
          <xMode val="edge"/>
          <yMode val="edge"/>
          <wMode val="factor"/>
          <hMode val="factor"/>
          <x val="0.1022864019253911"/>
          <y val="0.1234722222222222"/>
          <w val="0.6931407942238267"/>
          <h val="0.7089583333333335"/>
        </manualLayout>
      </layout>
      <lineChart>
        <grouping val="standard"/>
        <varyColors val="1"/>
        <ser>
          <idx val="0"/>
          <order val="0"/>
          <tx>
            <strRef>
              <f>'Capture Price Inputs'!$J$4</f>
              <strCache>
                <ptCount val="1"/>
              </strCache>
            </strRef>
          </tx>
          <spPr>
            <a:ln xmlns:a="http://schemas.openxmlformats.org/drawingml/2006/main">
              <a:solidFill>
                <a:srgbClr val="2E75B6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val>
            <numRef>
              <f>'Capture Price Inputs'!$J$6:$J$89</f>
              <numCache>
                <formatCode>General</formatCode>
                <ptCount val="84"/>
                <pt idx="8">
                  <v>1.009148659447442</v>
                </pt>
                <pt idx="9">
                  <v>1.298591168695051</v>
                </pt>
                <pt idx="10">
                  <v>0.8710146939215303</v>
                </pt>
                <pt idx="11">
                  <v>0.7131577255881921</v>
                </pt>
                <pt idx="12">
                  <v>0.9641557693120565</v>
                </pt>
                <pt idx="13">
                  <v>1.039466413731094</v>
                </pt>
                <pt idx="14">
                  <v>1.008618155660831</v>
                </pt>
                <pt idx="15">
                  <v>0.9808226440750074</v>
                </pt>
                <pt idx="16">
                  <v>1.010404486913005</v>
                </pt>
                <pt idx="17">
                  <v>1.236802226812374</v>
                </pt>
                <pt idx="18">
                  <v>1.094777917215692</v>
                </pt>
                <pt idx="19">
                  <v>1.008230164182662</v>
                </pt>
                <pt idx="20">
                  <v>1.103930861568265</v>
                </pt>
                <pt idx="21">
                  <v>1.005947927705425</v>
                </pt>
                <pt idx="22">
                  <v>0.9871758725122356</v>
                </pt>
                <pt idx="23">
                  <v>0.9088464745665017</v>
                </pt>
                <pt idx="24">
                  <v>0.8775180518715436</v>
                </pt>
                <pt idx="25">
                  <v>0.9569142795347317</v>
                </pt>
                <pt idx="26">
                  <v>0.9821132371596978</v>
                </pt>
                <pt idx="27">
                  <v>0.9902714780245057</v>
                </pt>
                <pt idx="28">
                  <v>0.9269044048361358</v>
                </pt>
                <pt idx="29">
                  <v>1.081088507413439</v>
                </pt>
                <pt idx="30">
                  <v>1.133803408504466</v>
                </pt>
                <pt idx="31">
                  <v>1.208676962454928</v>
                </pt>
                <pt idx="32">
                  <v>1.044125730427727</v>
                </pt>
                <pt idx="33">
                  <v>1.04022281700981</v>
                </pt>
                <pt idx="34">
                  <v>0.8120775904420741</v>
                </pt>
                <pt idx="35">
                  <v>0.8903913338467833</v>
                </pt>
                <pt idx="36">
                  <v>0.8694301605049858</v>
                </pt>
                <pt idx="37">
                  <v>0.9080390201234191</v>
                </pt>
                <pt idx="38">
                  <v>0.8704179159294955</v>
                </pt>
                <pt idx="39">
                  <v>0.9190855304670003</v>
                </pt>
                <pt idx="40">
                  <v>0.9063290180568312</v>
                </pt>
                <pt idx="41">
                  <v>0.9161232525396177</v>
                </pt>
                <pt idx="42">
                  <v>0.9427861207466001</v>
                </pt>
                <pt idx="43">
                  <v>1.132810339248927</v>
                </pt>
                <pt idx="44">
                  <v>1.230919869122654</v>
                </pt>
                <pt idx="45">
                  <v>0.93008781340266</v>
                </pt>
                <pt idx="46">
                  <v>0.9461253975959896</v>
                </pt>
                <pt idx="47">
                  <v>0.7920396612038634</v>
                </pt>
                <pt idx="48">
                  <v>0.6833361056151995</v>
                </pt>
                <pt idx="49">
                  <v>0.8096506208621567</v>
                </pt>
                <pt idx="50">
                  <v>0.8038042195326093</v>
                </pt>
                <pt idx="51">
                  <v>0.8628930977720407</v>
                </pt>
                <pt idx="52">
                  <v>0.8038389922187259</v>
                </pt>
                <pt idx="53">
                  <v>0.8408360556054226</v>
                </pt>
                <pt idx="54">
                  <v>1.028656893611996</v>
                </pt>
                <pt idx="55">
                  <v>0.9132560776287663</v>
                </pt>
                <pt idx="56">
                  <v>1.051614630458469</v>
                </pt>
                <pt idx="57">
                  <v>1.014420829179444</v>
                </pt>
                <pt idx="58">
                  <v>0.8373818542217274</v>
                </pt>
                <pt idx="59">
                  <v>0.8346846016164379</v>
                </pt>
                <pt idx="60">
                  <v>0.6133984536650869</v>
                </pt>
                <pt idx="61">
                  <v>0.7378100322386865</v>
                </pt>
                <pt idx="62">
                  <v>0.685499494870618</v>
                </pt>
                <pt idx="63">
                  <v>0.7151267621934952</v>
                </pt>
                <pt idx="64">
                  <v>0.636525223039573</v>
                </pt>
                <pt idx="65">
                  <v>0.7617518807592967</v>
                </pt>
                <pt idx="66">
                  <v>1.017494003861172</v>
                </pt>
                <pt idx="67">
                  <v>1.002567416041121</v>
                </pt>
                <pt idx="68">
                  <v>1.135032584901597</v>
                </pt>
                <pt idx="69">
                  <v>0.9341166514187298</v>
                </pt>
                <pt idx="70">
                  <v>0.6857908168802248</v>
                </pt>
                <pt idx="71">
                  <v>0.609953535618325</v>
                </pt>
                <pt idx="72">
                  <v>0.6237511742318941</v>
                </pt>
                <pt idx="73">
                  <v>0.569764321286333</v>
                </pt>
                <pt idx="74">
                  <v>0.7405896710838001</v>
                </pt>
                <pt idx="75">
                  <v>0.6499711234459455</v>
                </pt>
                <pt idx="76">
                  <v>0.6827347489865859</v>
                </pt>
                <pt idx="77">
                  <v>0.9470151719348058</v>
                </pt>
                <pt idx="78">
                  <v>1.028976430956097</v>
                </pt>
                <pt idx="79">
                  <v>0.9820538861792604</v>
                </pt>
              </numCache>
            </numRef>
          </val>
          <smooth val="1"/>
        </ser>
        <ser>
          <idx val="1"/>
          <order val="1"/>
          <tx>
            <strRef>
              <f>'Capture Price Inputs'!$K$4</f>
              <strCache>
                <ptCount val="1"/>
              </strCache>
            </strRef>
          </tx>
          <spPr>
            <a:ln xmlns:a="http://schemas.openxmlformats.org/drawingml/2006/main">
              <a:solidFill>
                <a:srgbClr val="C00000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val>
            <numRef>
              <f>'Capture Price Inputs'!$K$6:$K$89</f>
              <numCache>
                <formatCode>General</formatCode>
                <ptCount val="84"/>
                <pt idx="8">
                  <v>1.090446324793763</v>
                </pt>
                <pt idx="9">
                  <v>1.251821301318464</v>
                </pt>
                <pt idx="10">
                  <v>0.8552077585127711</v>
                </pt>
                <pt idx="11">
                  <v>0.763620235478716</v>
                </pt>
                <pt idx="12">
                  <v>0.9763693823354528</v>
                </pt>
                <pt idx="13">
                  <v>1.180647007173951</v>
                </pt>
                <pt idx="14">
                  <v>1.021791049952987</v>
                </pt>
                <pt idx="15">
                  <v>1.077948442472481</v>
                </pt>
                <pt idx="16">
                  <v>1.059189092335807</v>
                </pt>
                <pt idx="17">
                  <v>1.247549053102559</v>
                </pt>
                <pt idx="18">
                  <v>1.057080411727209</v>
                </pt>
                <pt idx="19">
                  <v>1.125691191699302</v>
                </pt>
                <pt idx="20">
                  <v>1.122164979814525</v>
                </pt>
                <pt idx="21">
                  <v>0.9585139857498034</v>
                </pt>
                <pt idx="22">
                  <v>1.014774172650395</v>
                </pt>
                <pt idx="23">
                  <v>0.9590164366476613</v>
                </pt>
                <pt idx="24">
                  <v>0.9103388736117121</v>
                </pt>
                <pt idx="25">
                  <v>0.9440449187481634</v>
                </pt>
                <pt idx="26">
                  <v>0.9569285690465077</v>
                </pt>
                <pt idx="27">
                  <v>1.001768528067071</v>
                </pt>
                <pt idx="28">
                  <v>0.9583833699094481</v>
                </pt>
                <pt idx="29">
                  <v>1.144501265847132</v>
                </pt>
                <pt idx="30">
                  <v>1.126460857141801</v>
                </pt>
                <pt idx="31">
                  <v>1.279578427053047</v>
                </pt>
                <pt idx="32">
                  <v>1.161754652341282</v>
                </pt>
                <pt idx="33">
                  <v>1.084871924613185</v>
                </pt>
                <pt idx="34">
                  <v>0.8162958275837114</v>
                </pt>
                <pt idx="35">
                  <v>0.9391804877392103</v>
                </pt>
                <pt idx="36">
                  <v>0.8991456314331195</v>
                </pt>
                <pt idx="37">
                  <v>0.9015136745747578</v>
                </pt>
                <pt idx="38">
                  <v>0.909562444967756</v>
                </pt>
                <pt idx="39">
                  <v>0.8830756108422062</v>
                </pt>
                <pt idx="40">
                  <v>0.9608536982958826</v>
                </pt>
                <pt idx="41">
                  <v>0.8774354195736861</v>
                </pt>
                <pt idx="42">
                  <v>0.9240447439178995</v>
                </pt>
                <pt idx="43">
                  <v>1.218528056069729</v>
                </pt>
                <pt idx="44">
                  <v>1.21186632363043</v>
                </pt>
                <pt idx="45">
                  <v>1.024478122815962</v>
                </pt>
                <pt idx="46">
                  <v>0.992236312197012</v>
                </pt>
                <pt idx="47">
                  <v>0.8502587347820391</v>
                </pt>
                <pt idx="48">
                  <v>0.7310174827054021</v>
                </pt>
                <pt idx="49">
                  <v>0.7860381991736552</v>
                </pt>
                <pt idx="50">
                  <v>0.7717034871247128</v>
                </pt>
                <pt idx="51">
                  <v>0.8454610410569836</v>
                </pt>
                <pt idx="52">
                  <v>0.7532917330845335</v>
                </pt>
                <pt idx="53">
                  <v>0.837234490334641</v>
                </pt>
                <pt idx="54">
                  <v>1.038705241708771</v>
                </pt>
                <pt idx="55">
                  <v>0.8332670757562848</v>
                </pt>
                <pt idx="56">
                  <v>0.977144875107929</v>
                </pt>
                <pt idx="57">
                  <v>0.9399172603334611</v>
                </pt>
                <pt idx="58">
                  <v>0.8314293202728863</v>
                </pt>
                <pt idx="59">
                  <v>0.7780510745637418</v>
                </pt>
                <pt idx="60">
                  <v>0.5900556342707577</v>
                </pt>
                <pt idx="61">
                  <v>0.6943958569114143</v>
                </pt>
                <pt idx="62">
                  <v>0.6176283845394642</v>
                </pt>
                <pt idx="63">
                  <v>0.6493471479229646</v>
                </pt>
                <pt idx="64">
                  <v>0.6157480113547513</v>
                </pt>
                <pt idx="65">
                  <v>0.7800073506793195</v>
                </pt>
                <pt idx="66">
                  <v>0.9404779955101509</v>
                </pt>
                <pt idx="67">
                  <v>1.087006718547946</v>
                </pt>
                <pt idx="68">
                  <v>1.149400364807902</v>
                </pt>
                <pt idx="69">
                  <v>0.9066238427133391</v>
                </pt>
                <pt idx="70">
                  <v>0.603741164715803</v>
                </pt>
                <pt idx="71">
                  <v>0.5517436798810373</v>
                </pt>
                <pt idx="72">
                  <v>0.544059463307295</v>
                </pt>
                <pt idx="73">
                  <v>0.4307606652121766</v>
                </pt>
                <pt idx="74">
                  <v>0.7474634186196619</v>
                </pt>
                <pt idx="75">
                  <v>0.5717894234335987</v>
                </pt>
                <pt idx="76">
                  <v>0.635731600833678</v>
                </pt>
                <pt idx="77">
                  <v>0.9548084008156305</v>
                </pt>
                <pt idx="78">
                  <v>0.9892725129496999</v>
                </pt>
                <pt idx="79">
                  <v>0.9701479625359415</v>
                </pt>
              </numCache>
            </numRef>
          </val>
          <smooth val="1"/>
        </ser>
        <dLbls>
          <showLegendKey val="0"/>
          <showVal val="0"/>
          <showCatName val="0"/>
          <showSerName val="0"/>
          <showPercent val="0"/>
          <showBubbleSize val="0"/>
        </dLbls>
        <smooth val="0"/>
        <axId val="10"/>
        <axId val="100"/>
      </lineChart>
      <catAx>
        <axId val="10"/>
        <scaling>
          <orientation val="minMax"/>
        </scaling>
        <delete val="0"/>
        <axPos val="b"/>
        <title>
          <tx>
            <rich>
              <a:bodyPr xmlns:a="http://schemas.openxmlformats.org/drawingml/2006/main"/>
              <a:lstStyle xmlns:a="http://schemas.openxmlformats.org/drawingml/2006/main"/>
              <a:p xmlns:a="http://schemas.openxmlformats.org/drawingml/2006/main">
                <a:pPr>
                  <a:defRPr/>
                </a:pPr>
                <a:r>
                  <a:rPr lang="en-GB"/>
                  <a:t>Month</a:t>
                </a:r>
              </a:p>
            </rich>
          </tx>
          <layout>
            <manualLayout>
              <xMode val="edge"/>
              <yMode val="edge"/>
              <wMode val="factor"/>
              <hMode val="factor"/>
              <x val="0.4078098676293622"/>
              <y val="0.9265046296296298"/>
            </manualLayout>
          </layout>
          <overlay val="1"/>
        </title>
        <majorTickMark val="out"/>
        <minorTickMark val="none"/>
        <tickLblPos val="nextTo"/>
        <crossAx val="100"/>
        <crosses val="autoZero"/>
        <auto val="1"/>
        <lblAlgn val="ctr"/>
        <lblOffset val="100"/>
        <tickLblSkip val="12"/>
        <tickMarkSkip val="12"/>
        <noMultiLvlLbl val="1"/>
      </catAx>
      <valAx>
        <axId val="100"/>
        <scaling>
          <orientation val="minMax"/>
        </scaling>
        <delete val="0"/>
        <axPos val="l"/>
        <majorGridlines/>
        <title>
          <tx>
            <rich>
              <a:bodyPr xmlns:a="http://schemas.openxmlformats.org/drawingml/2006/main"/>
              <a:lstStyle xmlns:a="http://schemas.openxmlformats.org/drawingml/2006/main"/>
              <a:p xmlns:a="http://schemas.openxmlformats.org/drawingml/2006/main">
                <a:pPr>
                  <a:defRPr/>
                </a:pPr>
                <a:r>
                  <a:rPr lang="en-GB"/>
                  <a:t>EUR/MWh</a:t>
                </a:r>
              </a:p>
            </rich>
          </tx>
          <layout>
            <manualLayout>
              <xMode val="edge"/>
              <yMode val="edge"/>
              <wMode val="factor"/>
              <hMode val="factor"/>
              <x val="0.02261728114310621"/>
              <y val="0.4330456018518518"/>
            </manualLayout>
          </layout>
          <overlay val="1"/>
        </title>
        <numFmt formatCode="General" sourceLinked="1"/>
        <majorTickMark val="out"/>
        <minorTickMark val="none"/>
        <tickLblPos val="nextTo"/>
        <crossAx val="10"/>
        <crosses val="autoZero"/>
        <crossBetween val="between"/>
      </valAx>
    </plotArea>
    <legend>
      <legendPos val="r"/>
      <overlay val="1"/>
    </legend>
    <plotVisOnly val="1"/>
    <dispBlanksAs val="gap"/>
  </chart>
</chartSpace>
</file>

<file path=xl/charts/chart65.xml><?xml version="1.0" encoding="utf-8"?>
<chartSpace xmlns="http://schemas.openxmlformats.org/drawingml/2006/chart">
  <chart>
    <title>
      <tx>
        <rich>
          <a:bodyPr xmlns:a="http://schemas.openxmlformats.org/drawingml/2006/main"/>
          <a:lstStyle xmlns:a="http://schemas.openxmlformats.org/drawingml/2006/main"/>
          <a:p xmlns:a="http://schemas.openxmlformats.org/drawingml/2006/main">
            <a:pPr>
              <a:defRPr sz="1200"/>
            </a:pPr>
            <a:r>
              <a:rPr lang="en-GB" sz="1200"/>
              <a:t>Monthly Capture Price Ratio — DK1 and DK2</a:t>
            </a:r>
          </a:p>
        </rich>
      </tx>
      <layout>
        <manualLayout>
          <xMode val="edge"/>
          <yMode val="edge"/>
          <wMode val="factor"/>
          <hMode val="factor"/>
          <x val="0.2928252537709894"/>
          <y val="0.02939814814814815"/>
        </manualLayout>
      </layout>
      <overlay val="1"/>
    </title>
    <plotArea>
      <layout>
        <manualLayout>
          <layoutTarget val="inner"/>
          <xMode val="edge"/>
          <yMode val="edge"/>
          <wMode val="factor"/>
          <hMode val="factor"/>
          <x val="0.09879518072289156"/>
          <y val="0.1293518518518519"/>
          <w val="0.6903614457831325"/>
          <h val="0.6913194444444445"/>
        </manualLayout>
      </layout>
      <lineChart>
        <grouping val="standard"/>
        <varyColors val="1"/>
        <ser>
          <idx val="0"/>
          <order val="0"/>
          <tx>
            <strRef>
              <f>'Capture Price Inputs'!$L$4</f>
              <strCache>
                <ptCount val="1"/>
              </strCache>
            </strRef>
          </tx>
          <spPr>
            <a:ln xmlns:a="http://schemas.openxmlformats.org/drawingml/2006/main">
              <a:solidFill>
                <a:srgbClr val="2E75B6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val>
            <numRef>
              <f>'Capture Price Inputs'!$L$6:$L$89</f>
              <numCache>
                <formatCode>General</formatCode>
                <ptCount val="84"/>
              </numCache>
            </numRef>
          </val>
          <smooth val="1"/>
        </ser>
        <ser>
          <idx val="1"/>
          <order val="1"/>
          <tx>
            <strRef>
              <f>'Capture Price Inputs'!$M$4</f>
              <strCache>
                <ptCount val="1"/>
              </strCache>
            </strRef>
          </tx>
          <spPr>
            <a:ln xmlns:a="http://schemas.openxmlformats.org/drawingml/2006/main">
              <a:solidFill>
                <a:srgbClr val="C00000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val>
            <numRef>
              <f>'Capture Price Inputs'!$M$6:$M$89</f>
              <numCache>
                <formatCode>General</formatCode>
                <ptCount val="84"/>
              </numCache>
            </numRef>
          </val>
          <smooth val="1"/>
        </ser>
        <ser>
          <idx val="2"/>
          <order val="2"/>
          <tx>
            <strRef>
              <f>'Capture Price Inputs'!$N$4</f>
              <strCache>
                <ptCount val="1"/>
              </strCache>
            </strRef>
          </tx>
          <spPr>
            <a:ln xmlns:a="http://schemas.openxmlformats.org/drawingml/2006/main">
              <a:solidFill>
                <a:srgbClr val="FF8C00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val>
            <numRef>
              <f>'Capture Price Inputs'!$N$6:$N$89</f>
              <numCache>
                <formatCode>General</formatCode>
                <ptCount val="84"/>
              </numCache>
            </numRef>
          </val>
          <smooth val="1"/>
        </ser>
        <dLbls>
          <showLegendKey val="0"/>
          <showVal val="0"/>
          <showCatName val="0"/>
          <showSerName val="0"/>
          <showPercent val="0"/>
          <showBubbleSize val="0"/>
        </dLbls>
        <smooth val="0"/>
        <axId val="10"/>
        <axId val="100"/>
      </lineChart>
      <catAx>
        <axId val="10"/>
        <scaling>
          <orientation val="minMax"/>
        </scaling>
        <delete val="0"/>
        <axPos val="b"/>
        <title>
          <tx>
            <rich>
              <a:bodyPr xmlns:a="http://schemas.openxmlformats.org/drawingml/2006/main"/>
              <a:lstStyle xmlns:a="http://schemas.openxmlformats.org/drawingml/2006/main"/>
              <a:p xmlns:a="http://schemas.openxmlformats.org/drawingml/2006/main">
                <a:pPr>
                  <a:defRPr/>
                </a:pPr>
                <a:r>
                  <a:rPr lang="en-GB"/>
                  <a:t>Month</a:t>
                </a:r>
              </a:p>
            </rich>
          </tx>
          <layout>
            <manualLayout>
              <xMode val="edge"/>
              <yMode val="edge"/>
              <wMode val="factor"/>
              <hMode val="factor"/>
              <x val="0.4095060240963855"/>
              <y val="0.8971064814814815"/>
            </manualLayout>
          </layout>
          <overlay val="1"/>
        </title>
        <majorTickMark val="out"/>
        <minorTickMark val="none"/>
        <tickLblPos val="nextTo"/>
        <crossAx val="100"/>
        <crosses val="autoZero"/>
        <auto val="1"/>
        <lblAlgn val="ctr"/>
        <lblOffset val="100"/>
        <tickLblSkip val="12"/>
        <tickMarkSkip val="12"/>
        <noMultiLvlLbl val="1"/>
      </catAx>
      <valAx>
        <axId val="100"/>
        <scaling>
          <orientation val="minMax"/>
          <max val="1.8"/>
          <min val="0.2"/>
        </scaling>
        <delete val="0"/>
        <axPos val="l"/>
        <majorGridlines/>
        <title>
          <tx>
            <rich>
              <a:bodyPr xmlns:a="http://schemas.openxmlformats.org/drawingml/2006/main"/>
              <a:lstStyle xmlns:a="http://schemas.openxmlformats.org/drawingml/2006/main"/>
              <a:p xmlns:a="http://schemas.openxmlformats.org/drawingml/2006/main">
                <a:pPr>
                  <a:defRPr/>
                </a:pPr>
                <a:r>
                  <a:rPr lang="en-GB"/>
                  <a:t>CPR (Capture Price / Spot Price)</a:t>
                </a:r>
              </a:p>
            </rich>
          </tx>
          <layout>
            <manualLayout>
              <xMode val="edge"/>
              <yMode val="edge"/>
              <wMode val="factor"/>
              <hMode val="factor"/>
              <x val="0.02264453087942321"/>
              <y val="0.2936395833333333"/>
            </manualLayout>
          </layout>
          <overlay val="1"/>
        </title>
        <numFmt formatCode="General" sourceLinked="1"/>
        <majorTickMark val="out"/>
        <minorTickMark val="none"/>
        <tickLblPos val="nextTo"/>
        <crossAx val="10"/>
        <crosses val="autoZero"/>
        <crossBetween val="between"/>
        <majorUnit val="0.2"/>
      </valAx>
    </plotArea>
    <legend>
      <legendPos val="r"/>
      <layout>
        <manualLayout>
          <xMode val="edge"/>
          <yMode val="edge"/>
          <wMode val="factor"/>
          <hMode val="factor"/>
          <x val="0.8534939759036144"/>
          <y val="0.4231990740740741"/>
          <w val="0.07903614457831325"/>
          <h val="0.15948125"/>
        </manualLayout>
      </layout>
      <overlay val="1"/>
    </legend>
    <plotVisOnly val="1"/>
    <dispBlanksAs val="gap"/>
  </chart>
</chartSpace>
</file>

<file path=xl/charts/chart66.xml><?xml version="1.0" encoding="utf-8"?>
<chartSpace xmlns="http://schemas.openxmlformats.org/drawingml/2006/chart">
  <chart>
    <title>
      <tx>
        <rich>
          <a:bodyPr xmlns:a="http://schemas.openxmlformats.org/drawingml/2006/main"/>
          <a:lstStyle xmlns:a="http://schemas.openxmlformats.org/drawingml/2006/main"/>
          <a:p xmlns:a="http://schemas.openxmlformats.org/drawingml/2006/main">
            <a:pPr>
              <a:defRPr/>
            </a:pPr>
            <a:r>
              <a:rPr lang="en-GB"/>
              <a:t>Monthly Solar Penetration — DK1 and DK2 (%)</a:t>
            </a:r>
          </a:p>
        </rich>
      </tx>
      <overlay val="1"/>
    </title>
    <plotArea>
      <layout/>
      <lineChart>
        <grouping val="standard"/>
        <varyColors val="1"/>
        <ser>
          <idx val="0"/>
          <order val="0"/>
          <tx>
            <strRef>
              <f>'Capture Price Inputs'!$F$1</f>
              <strCache>
                <ptCount val="1"/>
                <pt idx="0">
                  <v>DK1 Solar Penetration (%) — Primary</v>
                </pt>
              </strCache>
            </strRef>
          </tx>
          <spPr>
            <a:ln xmlns:a="http://schemas.openxmlformats.org/drawingml/2006/main">
              <a:solidFill>
                <a:srgbClr val="FF8C00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val>
            <numRef>
              <f>'Capture Price Inputs'!$F$2:$F$85</f>
              <numCache>
                <formatCode>General</formatCode>
                <ptCount val="84"/>
                <pt idx="0">
                  <v>0</v>
                </pt>
                <pt idx="1">
                  <v>0</v>
                </pt>
                <pt idx="2">
                  <v>0</v>
                </pt>
                <pt idx="3">
                  <v>0</v>
                </pt>
                <pt idx="4">
                  <v>0</v>
                </pt>
                <pt idx="5">
                  <v>0</v>
                </pt>
                <pt idx="6">
                  <v>0</v>
                </pt>
                <pt idx="7">
                  <v>0</v>
                </pt>
                <pt idx="8">
                  <v>0</v>
                </pt>
                <pt idx="9">
                  <v>0</v>
                </pt>
                <pt idx="10">
                  <v>0</v>
                </pt>
                <pt idx="11">
                  <v>0</v>
                </pt>
                <pt idx="12">
                  <v>0.002264447892629483</v>
                </pt>
                <pt idx="13">
                  <v>0.005247452024482245</v>
                </pt>
                <pt idx="14">
                  <v>0.02020167759412729</v>
                </pt>
                <pt idx="15">
                  <v>0.0324279896123047</v>
                </pt>
                <pt idx="16">
                  <v>0.03608008723790357</v>
                </pt>
                <pt idx="17">
                  <v>0.03741361883164089</v>
                </pt>
                <pt idx="18">
                  <v>0.03399843385950392</v>
                </pt>
                <pt idx="19">
                  <v>0.03422476314253766</v>
                </pt>
                <pt idx="20">
                  <v>0.02433015193915724</v>
                </pt>
                <pt idx="21">
                  <v>0.01149038754944678</v>
                </pt>
                <pt idx="22">
                  <v>0.0001521101274151999</v>
                </pt>
                <pt idx="23">
                  <v>1.472410662127807e-05</v>
                </pt>
                <pt idx="24">
                  <v>0.003631355999035091</v>
                </pt>
                <pt idx="25">
                  <v>0.0108689417180573</v>
                </pt>
                <pt idx="26">
                  <v>0.02238230390737163</v>
                </pt>
                <pt idx="27">
                  <v>0.04212837115783985</v>
                </pt>
                <pt idx="28">
                  <v>0.03307505221196035</v>
                </pt>
                <pt idx="29">
                  <v>0.04984166182181952</v>
                </pt>
                <pt idx="30">
                  <v>0.0485715434854639</v>
                </pt>
                <pt idx="31">
                  <v>0.0388769479447087</v>
                </pt>
                <pt idx="32">
                  <v>0.02593285017943629</v>
                </pt>
                <pt idx="33">
                  <v>0.01746009643148906</v>
                </pt>
                <pt idx="34">
                  <v>0.007029306005813504</v>
                </pt>
                <pt idx="35">
                  <v>0.003243365391886713</v>
                </pt>
                <pt idx="36">
                  <v>0.006675315547248087</v>
                </pt>
                <pt idx="37">
                  <v>0.0173995712330029</v>
                </pt>
                <pt idx="38">
                  <v>0.06195507058644287</v>
                </pt>
                <pt idx="39">
                  <v>0.08404056603836467</v>
                </pt>
                <pt idx="40">
                  <v>0.09687689142031611</v>
                </pt>
                <pt idx="41">
                  <v>0.09496202074431148</v>
                </pt>
                <pt idx="42">
                  <v>0.09963556652585577</v>
                </pt>
                <pt idx="43">
                  <v>0.08962697832526678</v>
                </pt>
                <pt idx="44">
                  <v>0.06604649859170474</v>
                </pt>
                <pt idx="45">
                  <v>0.03746941447765471</v>
                </pt>
                <pt idx="46">
                  <v>0.01046932675470221</v>
                </pt>
                <pt idx="47">
                  <v>0.006229164645196865</v>
                </pt>
                <pt idx="48">
                  <v>0.01246069427686292</v>
                </pt>
                <pt idx="49">
                  <v>0.03437640419176364</v>
                </pt>
                <pt idx="50">
                  <v>0.05647796857705859</v>
                </pt>
                <pt idx="51">
                  <v>0.1509467292684683</v>
                </pt>
                <pt idx="52">
                  <v>0.18600333743842</v>
                </pt>
                <pt idx="53">
                  <v>0.218925737129461</v>
                </pt>
                <pt idx="54">
                  <v>0.1892952405634502</v>
                </pt>
                <pt idx="55">
                  <v>0.1493297980639493</v>
                </pt>
                <pt idx="56">
                  <v>0.1319165438654872</v>
                </pt>
                <pt idx="57">
                  <v>0.0428648864567301</v>
                </pt>
                <pt idx="58">
                  <v>0.01600349353715238</v>
                </pt>
                <pt idx="59">
                  <v>0.006390504672696534</v>
                </pt>
                <pt idx="60">
                  <v>0.01341718605060752</v>
                </pt>
                <pt idx="61">
                  <v>0.0264362238379265</v>
                </pt>
                <pt idx="62">
                  <v>0.06623397340035048</v>
                </pt>
                <pt idx="63">
                  <v>0.1084169878649764</v>
                </pt>
                <pt idx="64">
                  <v>0.1888703164988005</v>
                </pt>
                <pt idx="65">
                  <v>0.1715230569234828</v>
                </pt>
                <pt idx="66">
                  <v>0.1809062055635286</v>
                </pt>
                <pt idx="67">
                  <v>0.155121531117258</v>
                </pt>
                <pt idx="68">
                  <v>0.1275567235314205</v>
                </pt>
                <pt idx="69">
                  <v>0.06287376784741511</v>
                </pt>
                <pt idx="70">
                  <v>0.01780902737610289</v>
                </pt>
                <pt idx="71">
                  <v>0.006785797568345668</v>
                </pt>
                <pt idx="72">
                  <v>0.01366055484422285</v>
                </pt>
                <pt idx="73">
                  <v>0.04341993481717769</v>
                </pt>
                <pt idx="74">
                  <v>0.1120694547038418</v>
                </pt>
                <pt idx="75">
                  <v>0.1482754875605271</v>
                </pt>
                <pt idx="76">
                  <v>0.1924446817596716</v>
                </pt>
                <pt idx="77">
                  <v>0.1878482923852328</v>
                </pt>
                <pt idx="78">
                  <v>0.2182818884824121</v>
                </pt>
                <pt idx="79">
                  <v>0.1901168401280812</v>
                </pt>
                <pt idx="80">
                  <v>0.1381615272451792</v>
                </pt>
                <pt idx="81">
                  <v>0.06946207120205163</v>
                </pt>
                <pt idx="82">
                  <v>0.02660497040214753</v>
                </pt>
                <pt idx="83">
                  <v>0.0140253486520015</v>
                </pt>
              </numCache>
            </numRef>
          </val>
          <smooth val="1"/>
        </ser>
        <ser>
          <idx val="1"/>
          <order val="1"/>
          <tx>
            <strRef>
              <f>'Capture Price Inputs'!$G$1</f>
              <strCache>
                <ptCount val="1"/>
                <pt idx="0">
                  <v>DK2 Solar Penetration (%) — Robustness</v>
                </pt>
              </strCache>
            </strRef>
          </tx>
          <spPr>
            <a:ln xmlns:a="http://schemas.openxmlformats.org/drawingml/2006/main">
              <a:solidFill>
                <a:srgbClr val="FFD700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val>
            <numRef>
              <f>'Capture Price Inputs'!$G$2:$G$85</f>
              <numCache>
                <formatCode>General</formatCode>
                <ptCount val="84"/>
                <pt idx="0">
                  <v>0</v>
                </pt>
                <pt idx="1">
                  <v>0</v>
                </pt>
                <pt idx="2">
                  <v>0</v>
                </pt>
                <pt idx="3">
                  <v>0</v>
                </pt>
                <pt idx="4">
                  <v>0</v>
                </pt>
                <pt idx="5">
                  <v>0</v>
                </pt>
                <pt idx="6">
                  <v>0</v>
                </pt>
                <pt idx="7">
                  <v>0</v>
                </pt>
                <pt idx="8">
                  <v>0</v>
                </pt>
                <pt idx="9">
                  <v>0</v>
                </pt>
                <pt idx="10">
                  <v>0</v>
                </pt>
                <pt idx="11">
                  <v>0</v>
                </pt>
                <pt idx="12">
                  <v>0.001864323044087839</v>
                </pt>
                <pt idx="13">
                  <v>0.004961339344807235</v>
                </pt>
                <pt idx="14">
                  <v>0.01532033335337761</v>
                </pt>
                <pt idx="15">
                  <v>0.02618059513454593</v>
                </pt>
                <pt idx="16">
                  <v>0.03224093077416624</v>
                </pt>
                <pt idx="17">
                  <v>0.03065181208815584</v>
                </pt>
                <pt idx="18">
                  <v>0.02998206800974695</v>
                </pt>
                <pt idx="19">
                  <v>0.02803471341430708</v>
                </pt>
                <pt idx="20">
                  <v>0.02173647910159525</v>
                </pt>
                <pt idx="21">
                  <v>0.01107911770574695</v>
                </pt>
                <pt idx="22">
                  <v>0.0001104461157833284</v>
                </pt>
                <pt idx="23">
                  <v>5.635243358406259e-06</v>
                </pt>
                <pt idx="24">
                  <v>0.003104474131982996</v>
                </pt>
                <pt idx="25">
                  <v>0.009248336948772359</v>
                </pt>
                <pt idx="26">
                  <v>0.01847451704521283</v>
                </pt>
                <pt idx="27">
                  <v>0.03269440748331279</v>
                </pt>
                <pt idx="28">
                  <v>0.03294582929454019</v>
                </pt>
                <pt idx="29">
                  <v>0.04448013314005607</v>
                </pt>
                <pt idx="30">
                  <v>0.03704954253730217</v>
                </pt>
                <pt idx="31">
                  <v>0.03185776883426199</v>
                </pt>
                <pt idx="32">
                  <v>0.0223981137027396</v>
                </pt>
                <pt idx="33">
                  <v>0.01267326343754744</v>
                </pt>
                <pt idx="34">
                  <v>0.004013281085791027</v>
                </pt>
                <pt idx="35">
                  <v>0.001822629583826099</v>
                </pt>
                <pt idx="36">
                  <v>0.004939556742877535</v>
                </pt>
                <pt idx="37">
                  <v>0.01324848558669828</v>
                </pt>
                <pt idx="38">
                  <v>0.03408933034912105</v>
                </pt>
                <pt idx="39">
                  <v>0.05525443609957865</v>
                </pt>
                <pt idx="40">
                  <v>0.06581145996085939</v>
                </pt>
                <pt idx="41">
                  <v>0.06452822904586782</v>
                </pt>
                <pt idx="42">
                  <v>0.06702580380195292</v>
                </pt>
                <pt idx="43">
                  <v>0.06129992439719582</v>
                </pt>
                <pt idx="44">
                  <v>0.04578427610350702</v>
                </pt>
                <pt idx="45">
                  <v>0.0298090580270354</v>
                </pt>
                <pt idx="46">
                  <v>0.007865295261900549</v>
                </pt>
                <pt idx="47">
                  <v>0.004532355552973548</v>
                </pt>
                <pt idx="48">
                  <v>0.005862652723136608</v>
                </pt>
                <pt idx="49">
                  <v>0.01887764841837355</v>
                </pt>
                <pt idx="50">
                  <v>0.03709622939200571</v>
                </pt>
                <pt idx="51">
                  <v>0.08026996603382495</v>
                </pt>
                <pt idx="52">
                  <v>0.1080032082802261</v>
                </pt>
                <pt idx="53">
                  <v>0.1144244665352921</v>
                </pt>
                <pt idx="54">
                  <v>0.1020307450715976</v>
                </pt>
                <pt idx="55">
                  <v>0.07793101053296771</v>
                </pt>
                <pt idx="56">
                  <v>0.08090995463931874</v>
                </pt>
                <pt idx="57">
                  <v>0.02917234021559438</v>
                </pt>
                <pt idx="58">
                  <v>0.0104098691216888</v>
                </pt>
                <pt idx="59">
                  <v>0.003809030164374855</v>
                </pt>
                <pt idx="60">
                  <v>0.006178183072975508</v>
                </pt>
                <pt idx="61">
                  <v>0.01667231366864759</v>
                </pt>
                <pt idx="62">
                  <v>0.04111280636733766</v>
                </pt>
                <pt idx="63">
                  <v>0.06512337874480645</v>
                </pt>
                <pt idx="64">
                  <v>0.106315341440858</v>
                </pt>
                <pt idx="65">
                  <v>0.1072729076610999</v>
                </pt>
                <pt idx="66">
                  <v>0.1057942634887733</v>
                </pt>
                <pt idx="67">
                  <v>0.0936908322687052</v>
                </pt>
                <pt idx="68">
                  <v>0.07246320282040017</v>
                </pt>
                <pt idx="69">
                  <v>0.03614525389237988</v>
                </pt>
                <pt idx="70">
                  <v>0.008602841405423608</v>
                </pt>
                <pt idx="71">
                  <v>0.004171468465776758</v>
                </pt>
                <pt idx="72">
                  <v>0.007223240212576967</v>
                </pt>
                <pt idx="73">
                  <v>0.02010831138567791</v>
                </pt>
                <pt idx="74">
                  <v>0.04654786644745259</v>
                </pt>
                <pt idx="75">
                  <v>0.07168978364906199</v>
                </pt>
                <pt idx="76">
                  <v>0.09471412725623395</v>
                </pt>
                <pt idx="77">
                  <v>0.09982625001551076</v>
                </pt>
                <pt idx="78">
                  <v>0.09399641941869914</v>
                </pt>
                <pt idx="79">
                  <v>0.1057378118957395</v>
                </pt>
                <pt idx="80">
                  <v>0.09062887968652376</v>
                </pt>
                <pt idx="81">
                  <v>0.03957312567862663</v>
                </pt>
                <pt idx="82">
                  <v>0.01454364344794783</v>
                </pt>
                <pt idx="83">
                  <v>0.00906949116088333</v>
                </pt>
              </numCache>
            </numRef>
          </val>
          <smooth val="1"/>
        </ser>
        <ser>
          <idx val="2"/>
          <order val="2"/>
          <tx>
            <strRef>
              <f>'Capture Price Inputs'!$H$1</f>
              <strCache>
                <ptCount val="1"/>
                <pt idx="0">
                  <v>DK1 Capture Price (EUR/MWh) — Primary</v>
                </pt>
              </strCache>
            </strRef>
          </tx>
          <spPr>
            <a:ln xmlns:a="http://schemas.openxmlformats.org/drawingml/2006/main">
              <a:solidFill>
                <a:srgbClr val="C00000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val>
            <numRef>
              <f>'Capture Price Inputs'!$H$2:$H$85</f>
              <numCache>
                <formatCode>General</formatCode>
                <ptCount val="84"/>
                <pt idx="12">
                  <v>25.22320957280251</v>
                </pt>
                <pt idx="13">
                  <v>22.83581899109792</v>
                </pt>
                <pt idx="14">
                  <v>15.94107348554973</v>
                </pt>
                <pt idx="15">
                  <v>10.36487590420421</v>
                </pt>
                <pt idx="16">
                  <v>15.478548945086</v>
                </pt>
                <pt idx="17">
                  <v>27.31330822786869</v>
                </pt>
                <pt idx="18">
                  <v>24.83174517810916</v>
                </pt>
                <pt idx="19">
                  <v>33.87691542204785</v>
                </pt>
                <pt idx="20">
                  <v>38.93597900337959</v>
                </pt>
                <pt idx="21">
                  <v>31.92774153305919</v>
                </pt>
                <pt idx="22">
                  <v>26.00599326599326</v>
                </pt>
                <pt idx="23">
                  <v>34.79516129032258</v>
                </pt>
                <pt idx="24">
                  <v>55.42296760727792</v>
                </pt>
                <pt idx="25">
                  <v>47.54261097914259</v>
                </pt>
                <pt idx="26">
                  <v>44.55070091580549</v>
                </pt>
                <pt idx="27">
                  <v>43.594739828473</v>
                </pt>
                <pt idx="28">
                  <v>47.65587057500122</v>
                </pt>
                <pt idx="29">
                  <v>70.54354791111106</v>
                </pt>
                <pt idx="30">
                  <v>78.56831974775861</v>
                </pt>
                <pt idx="31">
                  <v>81.98335113640179</v>
                </pt>
                <pt idx="32">
                  <v>116.2002249554484</v>
                </pt>
                <pt idx="33">
                  <v>126.5303952032395</v>
                </pt>
                <pt idx="34">
                  <v>160.7705833010295</v>
                </pt>
                <pt idx="35">
                  <v>228.8621705579358</v>
                </pt>
                <pt idx="36">
                  <v>123.2012506791719</v>
                </pt>
                <pt idx="37">
                  <v>117.67077903546</v>
                </pt>
                <pt idx="38">
                  <v>191.508071735067</v>
                </pt>
                <pt idx="39">
                  <v>145.7013871592604</v>
                </pt>
                <pt idx="40">
                  <v>149.4185612445558</v>
                </pt>
                <pt idx="41">
                  <v>194.7110340948198</v>
                </pt>
                <pt idx="42">
                  <v>239.3981525107354</v>
                </pt>
                <pt idx="43">
                  <v>419.792637226606</v>
                </pt>
                <pt idx="44">
                  <v>310.7073992726671</v>
                </pt>
                <pt idx="45">
                  <v>125.6295598680838</v>
                </pt>
                <pt idx="46">
                  <v>131.7111886265582</v>
                </pt>
                <pt idx="47">
                  <v>282.8237937420726</v>
                </pt>
                <pt idx="48">
                  <v>138.5299886842633</v>
                </pt>
                <pt idx="49">
                  <v>109.8769757213503</v>
                </pt>
                <pt idx="50">
                  <v>93.77419094069538</v>
                </pt>
                <pt idx="51">
                  <v>76.25042822265543</v>
                </pt>
                <pt idx="52">
                  <v>50.54348776008261</v>
                </pt>
                <pt idx="53">
                  <v>74.88898277621806</v>
                </pt>
                <pt idx="54">
                  <v>52.09559943846345</v>
                </pt>
                <pt idx="55">
                  <v>74.18042603997819</v>
                </pt>
                <pt idx="56">
                  <v>68.11686962339694</v>
                </pt>
                <pt idx="57">
                  <v>50.53909051970285</v>
                </pt>
                <pt idx="58">
                  <v>90.68080556242518</v>
                </pt>
                <pt idx="59">
                  <v>63.45532768878803</v>
                </pt>
                <pt idx="60">
                  <v>78.57131644167831</v>
                </pt>
                <pt idx="61">
                  <v>59.47948676805509</v>
                </pt>
                <pt idx="62">
                  <v>51.26978324155493</v>
                </pt>
                <pt idx="63">
                  <v>49.38394056201121</v>
                </pt>
                <pt idx="64">
                  <v>35.89414827140887</v>
                </pt>
                <pt idx="65">
                  <v>47.03763372739765</v>
                </pt>
                <pt idx="66">
                  <v>42.52177322309952</v>
                </pt>
                <pt idx="67">
                  <v>52.17121747504909</v>
                </pt>
                <pt idx="68">
                  <v>45.64750462621701</v>
                </pt>
                <pt idx="69">
                  <v>58.44158378709199</v>
                </pt>
                <pt idx="70">
                  <v>97.58235261633192</v>
                </pt>
                <pt idx="71">
                  <v>92.07321769383398</v>
                </pt>
                <pt idx="72">
                  <v>111.1945655985155</v>
                </pt>
                <pt idx="73">
                  <v>105.4131597378828</v>
                </pt>
                <pt idx="74">
                  <v>57.84566339627056</v>
                </pt>
                <pt idx="75">
                  <v>45.84439577068735</v>
                </pt>
                <pt idx="76">
                  <v>40.06566739400938</v>
                </pt>
                <pt idx="77">
                  <v>33.4933819651966</v>
                </pt>
                <pt idx="78">
                  <v>61.32224821093979</v>
                </pt>
                <pt idx="79">
                  <v>47.75582456745756</v>
                </pt>
                <pt idx="80">
                  <v>49.42909499605724</v>
                </pt>
                <pt idx="81">
                  <v>74.26663453789526</v>
                </pt>
                <pt idx="82">
                  <v>95.56453180252134</v>
                </pt>
                <pt idx="83">
                  <v>80.95803424278026</v>
                </pt>
              </numCache>
            </numRef>
          </val>
          <smooth val="1"/>
        </ser>
        <dLbls>
          <showLegendKey val="0"/>
          <showVal val="0"/>
          <showCatName val="0"/>
          <showSerName val="0"/>
          <showPercent val="0"/>
          <showBubbleSize val="0"/>
        </dLbls>
        <smooth val="0"/>
        <axId val="10"/>
        <axId val="100"/>
      </lineChart>
      <catAx>
        <axId val="10"/>
        <scaling>
          <orientation val="minMax"/>
        </scaling>
        <delete val="1"/>
        <axPos val="b"/>
        <title>
          <tx>
            <rich>
              <a:bodyPr xmlns:a="http://schemas.openxmlformats.org/drawingml/2006/main"/>
              <a:lstStyle xmlns:a="http://schemas.openxmlformats.org/drawingml/2006/main"/>
              <a:p xmlns:a="http://schemas.openxmlformats.org/drawingml/2006/main">
                <a:pPr>
                  <a:defRPr/>
                </a:pPr>
                <a:r>
                  <a:rPr lang="en-GB"/>
                  <a:t>Month</a:t>
                </a:r>
              </a:p>
            </rich>
          </tx>
          <overlay val="1"/>
        </title>
        <majorTickMark val="none"/>
        <minorTickMark val="none"/>
        <tickLblPos val="nextTo"/>
        <crossAx val="100"/>
        <crosses val="autoZero"/>
        <auto val="1"/>
        <lblAlgn val="ctr"/>
        <lblOffset val="100"/>
        <noMultiLvlLbl val="1"/>
      </catAx>
      <valAx>
        <axId val="100"/>
        <scaling>
          <orientation val="minMax"/>
        </scaling>
        <delete val="1"/>
        <axPos val="l"/>
        <majorGridlines/>
        <title>
          <tx>
            <rich>
              <a:bodyPr xmlns:a="http://schemas.openxmlformats.org/drawingml/2006/main"/>
              <a:lstStyle xmlns:a="http://schemas.openxmlformats.org/drawingml/2006/main"/>
              <a:p xmlns:a="http://schemas.openxmlformats.org/drawingml/2006/main">
                <a:pPr>
                  <a:defRPr/>
                </a:pPr>
                <a:r>
                  <a:rPr lang="en-GB"/>
                  <a:t>Solar Penetration (%)</a:t>
                </a:r>
              </a:p>
            </rich>
          </tx>
          <overlay val="1"/>
        </title>
        <numFmt formatCode="General" sourceLinked="1"/>
        <majorTickMark val="none"/>
        <minorTickMark val="none"/>
        <tickLblPos val="nextTo"/>
        <crossAx val="10"/>
        <crosses val="autoZero"/>
        <crossBetween val="between"/>
      </valAx>
    </plotArea>
    <legend>
      <legendPos val="r"/>
      <overlay val="1"/>
    </legend>
    <plotVisOnly val="1"/>
    <dispBlanksAs val="gap"/>
  </chart>
</chartSpace>
</file>

<file path=xl/charts/chart67.xml><?xml version="1.0" encoding="utf-8"?>
<chartSpace xmlns="http://schemas.openxmlformats.org/drawingml/2006/chart">
  <chart>
    <title>
      <tx>
        <rich>
          <a:bodyPr xmlns:a="http://schemas.openxmlformats.org/drawingml/2006/main"/>
          <a:lstStyle xmlns:a="http://schemas.openxmlformats.org/drawingml/2006/main"/>
          <a:p xmlns:a="http://schemas.openxmlformats.org/drawingml/2006/main">
            <a:pPr>
              <a:defRPr/>
            </a:pPr>
            <a:r>
              <a:rPr lang="en-GB"/>
              <a:t>Monthly Capture Price — DK1 and DK2 (EUR/MWh)</a:t>
            </a:r>
          </a:p>
        </rich>
      </tx>
      <overlay val="1"/>
    </title>
    <plotArea>
      <layout/>
      <lineChart>
        <grouping val="standard"/>
        <varyColors val="1"/>
        <ser>
          <idx val="0"/>
          <order val="0"/>
          <tx>
            <strRef>
              <f>'Capture Price Inputs'!$I$1</f>
              <strCache>
                <ptCount val="1"/>
                <pt idx="0">
                  <v>DK2 Capture Price (EUR/MWh) — Robustness</v>
                </pt>
              </strCache>
            </strRef>
          </tx>
          <spPr>
            <a:ln xmlns:a="http://schemas.openxmlformats.org/drawingml/2006/main">
              <a:solidFill>
                <a:srgbClr val="2E75B6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val>
            <numRef>
              <f>'Capture Price Inputs'!$I$2:$I$85</f>
              <numCache>
                <formatCode>General</formatCode>
                <ptCount val="84"/>
                <pt idx="12">
                  <v>29.86213642213642</v>
                </pt>
                <pt idx="13">
                  <v>23.55551782972189</v>
                </pt>
                <pt idx="14">
                  <v>17.14905069226102</v>
                </pt>
                <pt idx="15">
                  <v>13.25252312836708</v>
                </pt>
                <pt idx="16">
                  <v>18.59404938271605</v>
                </pt>
                <pt idx="17">
                  <v>35.21078005032583</v>
                </pt>
                <pt idx="18">
                  <v>26.450778046867</v>
                </pt>
                <pt idx="19">
                  <v>44.11376501540486</v>
                </pt>
                <pt idx="20">
                  <v>41.85304788087056</v>
                </pt>
                <pt idx="21">
                  <v>33.60087837290333</v>
                </pt>
                <pt idx="22">
                  <v>37.749765625</v>
                </pt>
                <pt idx="23">
                  <v>44.19142857142857</v>
                </pt>
                <pt idx="24">
                  <v>57.07213441008145</v>
                </pt>
                <pt idx="25">
                  <v>52.28508365452458</v>
                </pt>
                <pt idx="26">
                  <v>47.42264301189781</v>
                </pt>
                <pt idx="27">
                  <v>45.90136374824883</v>
                </pt>
                <pt idx="28">
                  <v>50.2587202314608</v>
                </pt>
                <pt idx="29">
                  <v>69.46934165377623</v>
                </pt>
                <pt idx="30">
                  <v>77.93311155139432</v>
                </pt>
                <pt idx="31">
                  <v>84.51274769025703</v>
                </pt>
                <pt idx="32">
                  <v>118.7457227855615</v>
                </pt>
                <pt idx="33">
                  <v>122.3841235967906</v>
                </pt>
                <pt idx="34">
                  <v>153.6267942781575</v>
                </pt>
                <pt idx="35">
                  <v>244.4872785976441</v>
                </pt>
                <pt idx="36">
                  <v>129.6774902315082</v>
                </pt>
                <pt idx="37">
                  <v>108.8033389925641</v>
                </pt>
                <pt idx="38">
                  <v>186.0504424586062</v>
                </pt>
                <pt idx="39">
                  <v>143.5375888642185</v>
                </pt>
                <pt idx="40">
                  <v>146.2536023446033</v>
                </pt>
                <pt idx="41">
                  <v>192.2325905808319</v>
                </pt>
                <pt idx="42">
                  <v>212.3625858003895</v>
                </pt>
                <pt idx="43">
                  <v>397.1798848597606</v>
                </pt>
                <pt idx="44">
                  <v>315.928842796779</v>
                </pt>
                <pt idx="45">
                  <v>120.1190076327392</v>
                </pt>
                <pt idx="46">
                  <v>134.0399027878758</v>
                </pt>
                <pt idx="47">
                  <v>303.2697848166857</v>
                </pt>
                <pt idx="48">
                  <v>120.8992864784306</v>
                </pt>
                <pt idx="49">
                  <v>103.112625406295</v>
                </pt>
                <pt idx="50">
                  <v>89.0984689216417</v>
                </pt>
                <pt idx="51">
                  <v>71.1250997055942</v>
                </pt>
                <pt idx="52">
                  <v>48.35808379645633</v>
                </pt>
                <pt idx="53">
                  <v>71.8620903722224</v>
                </pt>
                <pt idx="54">
                  <v>50.34596661709235</v>
                </pt>
                <pt idx="55">
                  <v>72.95799234798741</v>
                </pt>
                <pt idx="56">
                  <v>64.3944846724649</v>
                </pt>
                <pt idx="57">
                  <v>47.66025509428685</v>
                </pt>
                <pt idx="58">
                  <v>84.63997860526599</v>
                </pt>
                <pt idx="59">
                  <v>59.06174633307972</v>
                </pt>
                <pt idx="60">
                  <v>76.42720253521921</v>
                </pt>
                <pt idx="61">
                  <v>51.43437919654775</v>
                </pt>
                <pt idx="62">
                  <v>50.75116381305344</v>
                </pt>
                <pt idx="63">
                  <v>47.053967904828</v>
                </pt>
                <pt idx="64">
                  <v>34.29579411369289</v>
                </pt>
                <pt idx="65">
                  <v>46.37938403458337</v>
                </pt>
                <pt idx="66">
                  <v>38.81282196947117</v>
                </pt>
                <pt idx="67">
                  <v>47.15186311829253</v>
                </pt>
                <pt idx="68">
                  <v>43.35594635084219</v>
                </pt>
                <pt idx="69">
                  <v>59.53493763028656</v>
                </pt>
                <pt idx="70">
                  <v>89.61127747791728</v>
                </pt>
                <pt idx="71">
                  <v>100.7961313991171</v>
                </pt>
                <pt idx="72">
                  <v>115.0822593270056</v>
                </pt>
                <pt idx="73">
                  <v>106.9231820731682</v>
                </pt>
                <pt idx="74">
                  <v>50.01806296126875</v>
                </pt>
                <pt idx="75">
                  <v>41.82584156307518</v>
                </pt>
                <pt idx="76">
                  <v>34.32066034459122</v>
                </pt>
                <pt idx="77">
                  <v>24.31568572006325</v>
                </pt>
                <pt idx="78">
                  <v>59.76694388214769</v>
                </pt>
                <pt idx="79">
                  <v>43.06460478354486</v>
                </pt>
                <pt idx="80">
                  <v>52.94940515380836</v>
                </pt>
                <pt idx="81">
                  <v>78.64573032240668</v>
                </pt>
                <pt idx="82">
                  <v>92.69045487153267</v>
                </pt>
                <pt idx="83">
                  <v>79.63122802208366</v>
                </pt>
              </numCache>
            </numRef>
          </val>
          <smooth val="1"/>
        </ser>
        <ser>
          <idx val="1"/>
          <order val="1"/>
          <tx>
            <strRef>
              <f>'Capture Price Inputs'!$J$1</f>
              <strCache>
                <ptCount val="1"/>
                <pt idx="0">
                  <v>DK1 CPR — Primary</v>
                </pt>
              </strCache>
            </strRef>
          </tx>
          <spPr>
            <a:ln xmlns:a="http://schemas.openxmlformats.org/drawingml/2006/main">
              <a:solidFill>
                <a:srgbClr val="C00000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val>
            <numRef>
              <f>'Capture Price Inputs'!$J$2:$J$85</f>
              <numCache>
                <formatCode>General</formatCode>
                <ptCount val="84"/>
                <pt idx="12">
                  <v>1.009148659447442</v>
                </pt>
                <pt idx="13">
                  <v>1.298591168695051</v>
                </pt>
                <pt idx="14">
                  <v>0.8710146939215303</v>
                </pt>
                <pt idx="15">
                  <v>0.7131577255881921</v>
                </pt>
                <pt idx="16">
                  <v>0.9641557693120565</v>
                </pt>
                <pt idx="17">
                  <v>1.039466413731094</v>
                </pt>
                <pt idx="18">
                  <v>1.008618155660831</v>
                </pt>
                <pt idx="19">
                  <v>0.9808226440750074</v>
                </pt>
                <pt idx="20">
                  <v>1.010404486913005</v>
                </pt>
                <pt idx="21">
                  <v>1.236802226812374</v>
                </pt>
                <pt idx="22">
                  <v>1.094777917215692</v>
                </pt>
                <pt idx="23">
                  <v>1.008230164182662</v>
                </pt>
                <pt idx="24">
                  <v>1.103930861568265</v>
                </pt>
                <pt idx="25">
                  <v>1.005947927705425</v>
                </pt>
                <pt idx="26">
                  <v>0.9871758725122356</v>
                </pt>
                <pt idx="27">
                  <v>0.9088464745665017</v>
                </pt>
                <pt idx="28">
                  <v>0.8775180518715436</v>
                </pt>
                <pt idx="29">
                  <v>0.9569142795347317</v>
                </pt>
                <pt idx="30">
                  <v>0.9821132371596978</v>
                </pt>
                <pt idx="31">
                  <v>0.9902714780245057</v>
                </pt>
                <pt idx="32">
                  <v>0.9269044048361358</v>
                </pt>
                <pt idx="33">
                  <v>1.081088507413439</v>
                </pt>
                <pt idx="34">
                  <v>1.133803408504466</v>
                </pt>
                <pt idx="35">
                  <v>1.208676962454928</v>
                </pt>
                <pt idx="36">
                  <v>1.044125730427727</v>
                </pt>
                <pt idx="37">
                  <v>1.04022281700981</v>
                </pt>
                <pt idx="38">
                  <v>0.8120775904420741</v>
                </pt>
                <pt idx="39">
                  <v>0.8903913338467833</v>
                </pt>
                <pt idx="40">
                  <v>0.8694301605049858</v>
                </pt>
                <pt idx="41">
                  <v>0.9080390201234191</v>
                </pt>
                <pt idx="42">
                  <v>0.8704179159294955</v>
                </pt>
                <pt idx="43">
                  <v>0.9190855304670003</v>
                </pt>
                <pt idx="44">
                  <v>0.9063290180568312</v>
                </pt>
                <pt idx="45">
                  <v>0.9161232525396177</v>
                </pt>
                <pt idx="46">
                  <v>0.9427861207466001</v>
                </pt>
                <pt idx="47">
                  <v>1.132810339248927</v>
                </pt>
                <pt idx="48">
                  <v>1.230919869122654</v>
                </pt>
                <pt idx="49">
                  <v>0.93008781340266</v>
                </pt>
                <pt idx="50">
                  <v>0.9461253975959896</v>
                </pt>
                <pt idx="51">
                  <v>0.7920396612038634</v>
                </pt>
                <pt idx="52">
                  <v>0.6833361056151995</v>
                </pt>
                <pt idx="53">
                  <v>0.8096506208621567</v>
                </pt>
                <pt idx="54">
                  <v>0.8038042195326093</v>
                </pt>
                <pt idx="55">
                  <v>0.8628930977720407</v>
                </pt>
                <pt idx="56">
                  <v>0.8038389922187259</v>
                </pt>
                <pt idx="57">
                  <v>0.8408360556054226</v>
                </pt>
                <pt idx="58">
                  <v>1.028656893611996</v>
                </pt>
                <pt idx="59">
                  <v>0.9132560776287663</v>
                </pt>
                <pt idx="60">
                  <v>1.051614630458469</v>
                </pt>
                <pt idx="61">
                  <v>1.014420829179444</v>
                </pt>
                <pt idx="62">
                  <v>0.8373818542217274</v>
                </pt>
                <pt idx="63">
                  <v>0.8346846016164379</v>
                </pt>
                <pt idx="64">
                  <v>0.6133984536650869</v>
                </pt>
                <pt idx="65">
                  <v>0.7378100322386865</v>
                </pt>
                <pt idx="66">
                  <v>0.685499494870618</v>
                </pt>
                <pt idx="67">
                  <v>0.7151267621934952</v>
                </pt>
                <pt idx="68">
                  <v>0.636525223039573</v>
                </pt>
                <pt idx="69">
                  <v>0.7617518807592967</v>
                </pt>
                <pt idx="70">
                  <v>1.017494003861172</v>
                </pt>
                <pt idx="71">
                  <v>1.002567416041121</v>
                </pt>
                <pt idx="72">
                  <v>1.135032584901597</v>
                </pt>
                <pt idx="73">
                  <v>0.9341166514187298</v>
                </pt>
                <pt idx="74">
                  <v>0.6857908168802248</v>
                </pt>
                <pt idx="75">
                  <v>0.609953535618325</v>
                </pt>
                <pt idx="76">
                  <v>0.6237511742318941</v>
                </pt>
                <pt idx="77">
                  <v>0.569764321286333</v>
                </pt>
                <pt idx="78">
                  <v>0.7405896710838001</v>
                </pt>
                <pt idx="79">
                  <v>0.6499711234459455</v>
                </pt>
                <pt idx="80">
                  <v>0.6827347489865859</v>
                </pt>
                <pt idx="81">
                  <v>0.9470151719348058</v>
                </pt>
                <pt idx="82">
                  <v>1.028976430956097</v>
                </pt>
                <pt idx="83">
                  <v>0.9820538861792604</v>
                </pt>
              </numCache>
            </numRef>
          </val>
          <smooth val="1"/>
        </ser>
        <dLbls>
          <showLegendKey val="0"/>
          <showVal val="0"/>
          <showCatName val="0"/>
          <showSerName val="0"/>
          <showPercent val="0"/>
          <showBubbleSize val="0"/>
        </dLbls>
        <smooth val="0"/>
        <axId val="10"/>
        <axId val="100"/>
      </lineChart>
      <catAx>
        <axId val="10"/>
        <scaling>
          <orientation val="minMax"/>
        </scaling>
        <delete val="1"/>
        <axPos val="b"/>
        <title>
          <tx>
            <rich>
              <a:bodyPr xmlns:a="http://schemas.openxmlformats.org/drawingml/2006/main"/>
              <a:lstStyle xmlns:a="http://schemas.openxmlformats.org/drawingml/2006/main"/>
              <a:p xmlns:a="http://schemas.openxmlformats.org/drawingml/2006/main">
                <a:pPr>
                  <a:defRPr/>
                </a:pPr>
                <a:r>
                  <a:rPr lang="en-GB"/>
                  <a:t>Month</a:t>
                </a:r>
              </a:p>
            </rich>
          </tx>
          <overlay val="1"/>
        </title>
        <majorTickMark val="none"/>
        <minorTickMark val="none"/>
        <tickLblPos val="nextTo"/>
        <crossAx val="100"/>
        <crosses val="autoZero"/>
        <auto val="1"/>
        <lblAlgn val="ctr"/>
        <lblOffset val="100"/>
        <noMultiLvlLbl val="1"/>
      </catAx>
      <valAx>
        <axId val="100"/>
        <scaling>
          <orientation val="minMax"/>
        </scaling>
        <delete val="1"/>
        <axPos val="l"/>
        <majorGridlines/>
        <title>
          <tx>
            <rich>
              <a:bodyPr xmlns:a="http://schemas.openxmlformats.org/drawingml/2006/main"/>
              <a:lstStyle xmlns:a="http://schemas.openxmlformats.org/drawingml/2006/main"/>
              <a:p xmlns:a="http://schemas.openxmlformats.org/drawingml/2006/main">
                <a:pPr>
                  <a:defRPr/>
                </a:pPr>
                <a:r>
                  <a:rPr lang="en-GB"/>
                  <a:t>EUR/MWh</a:t>
                </a:r>
              </a:p>
            </rich>
          </tx>
          <overlay val="1"/>
        </title>
        <numFmt formatCode="General" sourceLinked="1"/>
        <majorTickMark val="none"/>
        <minorTickMark val="none"/>
        <tickLblPos val="nextTo"/>
        <crossAx val="10"/>
        <crosses val="autoZero"/>
        <crossBetween val="between"/>
      </valAx>
    </plotArea>
    <legend>
      <legendPos val="r"/>
      <overlay val="1"/>
    </legend>
    <plotVisOnly val="1"/>
    <dispBlanksAs val="gap"/>
  </chart>
</chartSpace>
</file>

<file path=xl/charts/chart68.xml><?xml version="1.0" encoding="utf-8"?>
<chartSpace xmlns="http://schemas.openxmlformats.org/drawingml/2006/chart">
  <chart>
    <title>
      <tx>
        <rich>
          <a:bodyPr xmlns:a="http://schemas.openxmlformats.org/drawingml/2006/main"/>
          <a:lstStyle xmlns:a="http://schemas.openxmlformats.org/drawingml/2006/main"/>
          <a:p xmlns:a="http://schemas.openxmlformats.org/drawingml/2006/main">
            <a:pPr>
              <a:defRPr/>
            </a:pPr>
            <a:r>
              <a:rPr lang="en-GB"/>
              <a:t>Monthly Capture Price Ratio — DK1 and DK2</a:t>
            </a:r>
          </a:p>
        </rich>
      </tx>
      <overlay val="1"/>
    </title>
    <plotArea>
      <layout/>
      <lineChart>
        <grouping val="standard"/>
        <varyColors val="1"/>
        <ser>
          <idx val="0"/>
          <order val="0"/>
          <tx>
            <strRef>
              <f>'Capture Price Inputs'!$K$1</f>
              <strCache>
                <ptCount val="1"/>
                <pt idx="0">
                  <v>DK2 CPR — Robustness</v>
                </pt>
              </strCache>
            </strRef>
          </tx>
          <spPr>
            <a:ln xmlns:a="http://schemas.openxmlformats.org/drawingml/2006/main">
              <a:solidFill>
                <a:srgbClr val="2E75B6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val>
            <numRef>
              <f>'Capture Price Inputs'!$K$2:$K$85</f>
              <numCache>
                <formatCode>General</formatCode>
                <ptCount val="84"/>
                <pt idx="12">
                  <v>1.090446324793763</v>
                </pt>
                <pt idx="13">
                  <v>1.251821301318464</v>
                </pt>
                <pt idx="14">
                  <v>0.8552077585127711</v>
                </pt>
                <pt idx="15">
                  <v>0.763620235478716</v>
                </pt>
                <pt idx="16">
                  <v>0.9763693823354528</v>
                </pt>
                <pt idx="17">
                  <v>1.180647007173951</v>
                </pt>
                <pt idx="18">
                  <v>1.021791049952987</v>
                </pt>
                <pt idx="19">
                  <v>1.077948442472481</v>
                </pt>
                <pt idx="20">
                  <v>1.059189092335807</v>
                </pt>
                <pt idx="21">
                  <v>1.247549053102559</v>
                </pt>
                <pt idx="22">
                  <v>1.057080411727209</v>
                </pt>
                <pt idx="23">
                  <v>1.125691191699302</v>
                </pt>
                <pt idx="24">
                  <v>1.122164979814525</v>
                </pt>
                <pt idx="25">
                  <v>0.9585139857498034</v>
                </pt>
                <pt idx="26">
                  <v>1.014774172650395</v>
                </pt>
                <pt idx="27">
                  <v>0.9590164366476613</v>
                </pt>
                <pt idx="28">
                  <v>0.9103388736117121</v>
                </pt>
                <pt idx="29">
                  <v>0.9440449187481634</v>
                </pt>
                <pt idx="30">
                  <v>0.9569285690465077</v>
                </pt>
                <pt idx="31">
                  <v>1.001768528067071</v>
                </pt>
                <pt idx="32">
                  <v>0.9583833699094481</v>
                </pt>
                <pt idx="33">
                  <v>1.144501265847132</v>
                </pt>
                <pt idx="34">
                  <v>1.126460857141801</v>
                </pt>
                <pt idx="35">
                  <v>1.279578427053047</v>
                </pt>
                <pt idx="36">
                  <v>1.161754652341282</v>
                </pt>
                <pt idx="37">
                  <v>1.084871924613185</v>
                </pt>
                <pt idx="38">
                  <v>0.8162958275837114</v>
                </pt>
                <pt idx="39">
                  <v>0.9391804877392103</v>
                </pt>
                <pt idx="40">
                  <v>0.8991456314331195</v>
                </pt>
                <pt idx="41">
                  <v>0.9015136745747578</v>
                </pt>
                <pt idx="42">
                  <v>0.909562444967756</v>
                </pt>
                <pt idx="43">
                  <v>0.8830756108422062</v>
                </pt>
                <pt idx="44">
                  <v>0.9608536982958826</v>
                </pt>
                <pt idx="45">
                  <v>0.8774354195736861</v>
                </pt>
                <pt idx="46">
                  <v>0.9240447439178995</v>
                </pt>
                <pt idx="47">
                  <v>1.218528056069729</v>
                </pt>
                <pt idx="48">
                  <v>1.21186632363043</v>
                </pt>
                <pt idx="49">
                  <v>1.024478122815962</v>
                </pt>
                <pt idx="50">
                  <v>0.992236312197012</v>
                </pt>
                <pt idx="51">
                  <v>0.8502587347820391</v>
                </pt>
                <pt idx="52">
                  <v>0.7310174827054021</v>
                </pt>
                <pt idx="53">
                  <v>0.7860381991736552</v>
                </pt>
                <pt idx="54">
                  <v>0.7717034871247128</v>
                </pt>
                <pt idx="55">
                  <v>0.8454610410569836</v>
                </pt>
                <pt idx="56">
                  <v>0.7532917330845335</v>
                </pt>
                <pt idx="57">
                  <v>0.837234490334641</v>
                </pt>
                <pt idx="58">
                  <v>1.038705241708771</v>
                </pt>
                <pt idx="59">
                  <v>0.8332670757562848</v>
                </pt>
                <pt idx="60">
                  <v>0.977144875107929</v>
                </pt>
                <pt idx="61">
                  <v>0.9399172603334611</v>
                </pt>
                <pt idx="62">
                  <v>0.8314293202728863</v>
                </pt>
                <pt idx="63">
                  <v>0.7780510745637418</v>
                </pt>
                <pt idx="64">
                  <v>0.5900556342707577</v>
                </pt>
                <pt idx="65">
                  <v>0.6943958569114143</v>
                </pt>
                <pt idx="66">
                  <v>0.6176283845394642</v>
                </pt>
                <pt idx="67">
                  <v>0.6493471479229646</v>
                </pt>
                <pt idx="68">
                  <v>0.6157480113547513</v>
                </pt>
                <pt idx="69">
                  <v>0.7800073506793195</v>
                </pt>
                <pt idx="70">
                  <v>0.9404779955101509</v>
                </pt>
                <pt idx="71">
                  <v>1.087006718547946</v>
                </pt>
                <pt idx="72">
                  <v>1.149400364807902</v>
                </pt>
                <pt idx="73">
                  <v>0.9066238427133391</v>
                </pt>
                <pt idx="74">
                  <v>0.603741164715803</v>
                </pt>
                <pt idx="75">
                  <v>0.5517436798810373</v>
                </pt>
                <pt idx="76">
                  <v>0.544059463307295</v>
                </pt>
                <pt idx="77">
                  <v>0.4307606652121766</v>
                </pt>
                <pt idx="78">
                  <v>0.7474634186196619</v>
                </pt>
                <pt idx="79">
                  <v>0.5717894234335987</v>
                </pt>
                <pt idx="80">
                  <v>0.635731600833678</v>
                </pt>
                <pt idx="81">
                  <v>0.9548084008156305</v>
                </pt>
                <pt idx="82">
                  <v>0.9892725129496999</v>
                </pt>
                <pt idx="83">
                  <v>0.9701479625359415</v>
                </pt>
              </numCache>
            </numRef>
          </val>
          <smooth val="1"/>
        </ser>
        <ser>
          <idx val="1"/>
          <order val="1"/>
          <tx>
            <strRef>
              <f>'Capture Price Inputs'!$L$1</f>
              <strCache>
                <ptCount val="1"/>
              </strCache>
            </strRef>
          </tx>
          <spPr>
            <a:ln xmlns:a="http://schemas.openxmlformats.org/drawingml/2006/main">
              <a:solidFill>
                <a:srgbClr val="C00000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val>
            <numRef>
              <f>'Capture Price Inputs'!$L$2:$L$85</f>
              <numCache>
                <formatCode>General</formatCode>
                <ptCount val="84"/>
              </numCache>
            </numRef>
          </val>
          <smooth val="1"/>
        </ser>
        <ser>
          <idx val="2"/>
          <order val="2"/>
          <tx>
            <strRef>
              <f>'Capture Price Inputs'!$M$1</f>
              <strCache>
                <ptCount val="1"/>
              </strCache>
            </strRef>
          </tx>
          <spPr>
            <a:ln xmlns:a="http://schemas.openxmlformats.org/drawingml/2006/main">
              <a:solidFill>
                <a:srgbClr val="FF8C00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val>
            <numRef>
              <f>'Capture Price Inputs'!$M$2:$M$85</f>
              <numCache>
                <formatCode>General</formatCode>
                <ptCount val="84"/>
              </numCache>
            </numRef>
          </val>
          <smooth val="1"/>
        </ser>
        <dLbls>
          <showLegendKey val="0"/>
          <showVal val="0"/>
          <showCatName val="0"/>
          <showSerName val="0"/>
          <showPercent val="0"/>
          <showBubbleSize val="0"/>
        </dLbls>
        <smooth val="0"/>
        <axId val="10"/>
        <axId val="100"/>
      </lineChart>
      <catAx>
        <axId val="10"/>
        <scaling>
          <orientation val="minMax"/>
        </scaling>
        <delete val="1"/>
        <axPos val="b"/>
        <title>
          <tx>
            <rich>
              <a:bodyPr xmlns:a="http://schemas.openxmlformats.org/drawingml/2006/main"/>
              <a:lstStyle xmlns:a="http://schemas.openxmlformats.org/drawingml/2006/main"/>
              <a:p xmlns:a="http://schemas.openxmlformats.org/drawingml/2006/main">
                <a:pPr>
                  <a:defRPr/>
                </a:pPr>
                <a:r>
                  <a:rPr lang="en-GB"/>
                  <a:t>Month</a:t>
                </a:r>
              </a:p>
            </rich>
          </tx>
          <overlay val="1"/>
        </title>
        <majorTickMark val="none"/>
        <minorTickMark val="none"/>
        <tickLblPos val="nextTo"/>
        <crossAx val="100"/>
        <crosses val="autoZero"/>
        <auto val="1"/>
        <lblAlgn val="ctr"/>
        <lblOffset val="100"/>
        <noMultiLvlLbl val="1"/>
      </catAx>
      <valAx>
        <axId val="100"/>
        <scaling>
          <orientation val="minMax"/>
        </scaling>
        <delete val="1"/>
        <axPos val="l"/>
        <majorGridlines/>
        <title>
          <tx>
            <rich>
              <a:bodyPr xmlns:a="http://schemas.openxmlformats.org/drawingml/2006/main"/>
              <a:lstStyle xmlns:a="http://schemas.openxmlformats.org/drawingml/2006/main"/>
              <a:p xmlns:a="http://schemas.openxmlformats.org/drawingml/2006/main">
                <a:pPr>
                  <a:defRPr/>
                </a:pPr>
                <a:r>
                  <a:rPr lang="en-GB"/>
                  <a:t>CPR (Capture Price / Spot Price)</a:t>
                </a:r>
              </a:p>
            </rich>
          </tx>
          <overlay val="1"/>
        </title>
        <numFmt formatCode="General" sourceLinked="1"/>
        <majorTickMark val="none"/>
        <minorTickMark val="none"/>
        <tickLblPos val="nextTo"/>
        <crossAx val="10"/>
        <crosses val="autoZero"/>
        <crossBetween val="between"/>
      </valAx>
    </plotArea>
    <legend>
      <legendPos val="r"/>
      <overlay val="1"/>
    </legend>
    <plotVisOnly val="1"/>
    <dispBlanksAs val="gap"/>
  </chart>
</chartSpace>
</file>

<file path=xl/charts/chart69.xml><?xml version="1.0" encoding="utf-8"?>
<chartSpace xmlns="http://schemas.openxmlformats.org/drawingml/2006/chart">
  <chart>
    <title>
      <tx>
        <rich>
          <a:bodyPr xmlns:a="http://schemas.openxmlformats.org/drawingml/2006/main"/>
          <a:lstStyle xmlns:a="http://schemas.openxmlformats.org/drawingml/2006/main"/>
          <a:p xmlns:a="http://schemas.openxmlformats.org/drawingml/2006/main">
            <a:pPr>
              <a:defRPr/>
            </a:pPr>
            <a:r>
              <a:rPr lang="en-GB"/>
              <a:t>Monthly Solar Penetration — DK1 and DK2 (%)</a:t>
            </a:r>
          </a:p>
        </rich>
      </tx>
      <overlay val="1"/>
    </title>
    <plotArea>
      <layout/>
      <lineChart>
        <grouping val="standard"/>
        <varyColors val="1"/>
        <ser>
          <idx val="0"/>
          <order val="0"/>
          <tx>
            <strRef>
              <f>'Capture Price Inputs'!$F$1</f>
              <strCache>
                <ptCount val="1"/>
                <pt idx="0">
                  <v>DK1 Solar Penetration (%) — Primary</v>
                </pt>
              </strCache>
            </strRef>
          </tx>
          <spPr>
            <a:ln xmlns:a="http://schemas.openxmlformats.org/drawingml/2006/main">
              <a:solidFill>
                <a:srgbClr val="FF8C00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val>
            <numRef>
              <f>'Capture Price Inputs'!$F$2:$F$85</f>
              <numCache>
                <formatCode>General</formatCode>
                <ptCount val="84"/>
                <pt idx="0">
                  <v>0</v>
                </pt>
                <pt idx="1">
                  <v>0</v>
                </pt>
                <pt idx="2">
                  <v>0</v>
                </pt>
                <pt idx="3">
                  <v>0</v>
                </pt>
                <pt idx="4">
                  <v>0</v>
                </pt>
                <pt idx="5">
                  <v>0</v>
                </pt>
                <pt idx="6">
                  <v>0</v>
                </pt>
                <pt idx="7">
                  <v>0</v>
                </pt>
                <pt idx="8">
                  <v>0</v>
                </pt>
                <pt idx="9">
                  <v>0</v>
                </pt>
                <pt idx="10">
                  <v>0</v>
                </pt>
                <pt idx="11">
                  <v>0</v>
                </pt>
                <pt idx="12">
                  <v>0.002264447892629483</v>
                </pt>
                <pt idx="13">
                  <v>0.005247452024482245</v>
                </pt>
                <pt idx="14">
                  <v>0.02020167759412729</v>
                </pt>
                <pt idx="15">
                  <v>0.0324279896123047</v>
                </pt>
                <pt idx="16">
                  <v>0.03608008723790357</v>
                </pt>
                <pt idx="17">
                  <v>0.03741361883164089</v>
                </pt>
                <pt idx="18">
                  <v>0.03399843385950392</v>
                </pt>
                <pt idx="19">
                  <v>0.03422476314253766</v>
                </pt>
                <pt idx="20">
                  <v>0.02433015193915724</v>
                </pt>
                <pt idx="21">
                  <v>0.01149038754944678</v>
                </pt>
                <pt idx="22">
                  <v>0.0001521101274151999</v>
                </pt>
                <pt idx="23">
                  <v>1.472410662127807e-05</v>
                </pt>
                <pt idx="24">
                  <v>0.003631355999035091</v>
                </pt>
                <pt idx="25">
                  <v>0.0108689417180573</v>
                </pt>
                <pt idx="26">
                  <v>0.02238230390737163</v>
                </pt>
                <pt idx="27">
                  <v>0.04212837115783985</v>
                </pt>
                <pt idx="28">
                  <v>0.03307505221196035</v>
                </pt>
                <pt idx="29">
                  <v>0.04984166182181952</v>
                </pt>
                <pt idx="30">
                  <v>0.0485715434854639</v>
                </pt>
                <pt idx="31">
                  <v>0.0388769479447087</v>
                </pt>
                <pt idx="32">
                  <v>0.02593285017943629</v>
                </pt>
                <pt idx="33">
                  <v>0.01746009643148906</v>
                </pt>
                <pt idx="34">
                  <v>0.007029306005813504</v>
                </pt>
                <pt idx="35">
                  <v>0.003243365391886713</v>
                </pt>
                <pt idx="36">
                  <v>0.006675315547248087</v>
                </pt>
                <pt idx="37">
                  <v>0.0173995712330029</v>
                </pt>
                <pt idx="38">
                  <v>0.06195507058644287</v>
                </pt>
                <pt idx="39">
                  <v>0.08404056603836467</v>
                </pt>
                <pt idx="40">
                  <v>0.09687689142031611</v>
                </pt>
                <pt idx="41">
                  <v>0.09496202074431148</v>
                </pt>
                <pt idx="42">
                  <v>0.09963556652585577</v>
                </pt>
                <pt idx="43">
                  <v>0.08962697832526678</v>
                </pt>
                <pt idx="44">
                  <v>0.06604649859170474</v>
                </pt>
                <pt idx="45">
                  <v>0.03746941447765471</v>
                </pt>
                <pt idx="46">
                  <v>0.01046932675470221</v>
                </pt>
                <pt idx="47">
                  <v>0.006229164645196865</v>
                </pt>
                <pt idx="48">
                  <v>0.01246069427686292</v>
                </pt>
                <pt idx="49">
                  <v>0.03437640419176364</v>
                </pt>
                <pt idx="50">
                  <v>0.05647796857705859</v>
                </pt>
                <pt idx="51">
                  <v>0.1509467292684683</v>
                </pt>
                <pt idx="52">
                  <v>0.18600333743842</v>
                </pt>
                <pt idx="53">
                  <v>0.218925737129461</v>
                </pt>
                <pt idx="54">
                  <v>0.1892952405634502</v>
                </pt>
                <pt idx="55">
                  <v>0.1493297980639493</v>
                </pt>
                <pt idx="56">
                  <v>0.1319165438654872</v>
                </pt>
                <pt idx="57">
                  <v>0.0428648864567301</v>
                </pt>
                <pt idx="58">
                  <v>0.01600349353715238</v>
                </pt>
                <pt idx="59">
                  <v>0.006390504672696534</v>
                </pt>
                <pt idx="60">
                  <v>0.01341718605060752</v>
                </pt>
                <pt idx="61">
                  <v>0.0264362238379265</v>
                </pt>
                <pt idx="62">
                  <v>0.06623397340035048</v>
                </pt>
                <pt idx="63">
                  <v>0.1084169878649764</v>
                </pt>
                <pt idx="64">
                  <v>0.1888703164988005</v>
                </pt>
                <pt idx="65">
                  <v>0.1715230569234828</v>
                </pt>
                <pt idx="66">
                  <v>0.1809062055635286</v>
                </pt>
                <pt idx="67">
                  <v>0.155121531117258</v>
                </pt>
                <pt idx="68">
                  <v>0.1275567235314205</v>
                </pt>
                <pt idx="69">
                  <v>0.06287376784741511</v>
                </pt>
                <pt idx="70">
                  <v>0.01780902737610289</v>
                </pt>
                <pt idx="71">
                  <v>0.006785797568345668</v>
                </pt>
                <pt idx="72">
                  <v>0.01366055484422285</v>
                </pt>
                <pt idx="73">
                  <v>0.04341993481717769</v>
                </pt>
                <pt idx="74">
                  <v>0.1120694547038418</v>
                </pt>
                <pt idx="75">
                  <v>0.1482754875605271</v>
                </pt>
                <pt idx="76">
                  <v>0.1924446817596716</v>
                </pt>
                <pt idx="77">
                  <v>0.1878482923852328</v>
                </pt>
                <pt idx="78">
                  <v>0.2182818884824121</v>
                </pt>
                <pt idx="79">
                  <v>0.1901168401280812</v>
                </pt>
                <pt idx="80">
                  <v>0.1381615272451792</v>
                </pt>
                <pt idx="81">
                  <v>0.06946207120205163</v>
                </pt>
                <pt idx="82">
                  <v>0.02660497040214753</v>
                </pt>
                <pt idx="83">
                  <v>0.0140253486520015</v>
                </pt>
              </numCache>
            </numRef>
          </val>
          <smooth val="1"/>
        </ser>
        <ser>
          <idx val="1"/>
          <order val="1"/>
          <tx>
            <strRef>
              <f>'Capture Price Inputs'!$G$1</f>
              <strCache>
                <ptCount val="1"/>
                <pt idx="0">
                  <v>DK2 Solar Penetration (%) — Robustness</v>
                </pt>
              </strCache>
            </strRef>
          </tx>
          <spPr>
            <a:ln xmlns:a="http://schemas.openxmlformats.org/drawingml/2006/main">
              <a:solidFill>
                <a:srgbClr val="FFD700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val>
            <numRef>
              <f>'Capture Price Inputs'!$G$2:$G$85</f>
              <numCache>
                <formatCode>General</formatCode>
                <ptCount val="84"/>
                <pt idx="0">
                  <v>0</v>
                </pt>
                <pt idx="1">
                  <v>0</v>
                </pt>
                <pt idx="2">
                  <v>0</v>
                </pt>
                <pt idx="3">
                  <v>0</v>
                </pt>
                <pt idx="4">
                  <v>0</v>
                </pt>
                <pt idx="5">
                  <v>0</v>
                </pt>
                <pt idx="6">
                  <v>0</v>
                </pt>
                <pt idx="7">
                  <v>0</v>
                </pt>
                <pt idx="8">
                  <v>0</v>
                </pt>
                <pt idx="9">
                  <v>0</v>
                </pt>
                <pt idx="10">
                  <v>0</v>
                </pt>
                <pt idx="11">
                  <v>0</v>
                </pt>
                <pt idx="12">
                  <v>0.001864323044087839</v>
                </pt>
                <pt idx="13">
                  <v>0.004961339344807235</v>
                </pt>
                <pt idx="14">
                  <v>0.01532033335337761</v>
                </pt>
                <pt idx="15">
                  <v>0.02618059513454593</v>
                </pt>
                <pt idx="16">
                  <v>0.03224093077416624</v>
                </pt>
                <pt idx="17">
                  <v>0.03065181208815584</v>
                </pt>
                <pt idx="18">
                  <v>0.02998206800974695</v>
                </pt>
                <pt idx="19">
                  <v>0.02803471341430708</v>
                </pt>
                <pt idx="20">
                  <v>0.02173647910159525</v>
                </pt>
                <pt idx="21">
                  <v>0.01107911770574695</v>
                </pt>
                <pt idx="22">
                  <v>0.0001104461157833284</v>
                </pt>
                <pt idx="23">
                  <v>5.635243358406259e-06</v>
                </pt>
                <pt idx="24">
                  <v>0.003104474131982996</v>
                </pt>
                <pt idx="25">
                  <v>0.009248336948772359</v>
                </pt>
                <pt idx="26">
                  <v>0.01847451704521283</v>
                </pt>
                <pt idx="27">
                  <v>0.03269440748331279</v>
                </pt>
                <pt idx="28">
                  <v>0.03294582929454019</v>
                </pt>
                <pt idx="29">
                  <v>0.04448013314005607</v>
                </pt>
                <pt idx="30">
                  <v>0.03704954253730217</v>
                </pt>
                <pt idx="31">
                  <v>0.03185776883426199</v>
                </pt>
                <pt idx="32">
                  <v>0.0223981137027396</v>
                </pt>
                <pt idx="33">
                  <v>0.01267326343754744</v>
                </pt>
                <pt idx="34">
                  <v>0.004013281085791027</v>
                </pt>
                <pt idx="35">
                  <v>0.001822629583826099</v>
                </pt>
                <pt idx="36">
                  <v>0.004939556742877535</v>
                </pt>
                <pt idx="37">
                  <v>0.01324848558669828</v>
                </pt>
                <pt idx="38">
                  <v>0.03408933034912105</v>
                </pt>
                <pt idx="39">
                  <v>0.05525443609957865</v>
                </pt>
                <pt idx="40">
                  <v>0.06581145996085939</v>
                </pt>
                <pt idx="41">
                  <v>0.06452822904586782</v>
                </pt>
                <pt idx="42">
                  <v>0.06702580380195292</v>
                </pt>
                <pt idx="43">
                  <v>0.06129992439719582</v>
                </pt>
                <pt idx="44">
                  <v>0.04578427610350702</v>
                </pt>
                <pt idx="45">
                  <v>0.0298090580270354</v>
                </pt>
                <pt idx="46">
                  <v>0.007865295261900549</v>
                </pt>
                <pt idx="47">
                  <v>0.004532355552973548</v>
                </pt>
                <pt idx="48">
                  <v>0.005862652723136608</v>
                </pt>
                <pt idx="49">
                  <v>0.01887764841837355</v>
                </pt>
                <pt idx="50">
                  <v>0.03709622939200571</v>
                </pt>
                <pt idx="51">
                  <v>0.08026996603382495</v>
                </pt>
                <pt idx="52">
                  <v>0.1080032082802261</v>
                </pt>
                <pt idx="53">
                  <v>0.1144244665352921</v>
                </pt>
                <pt idx="54">
                  <v>0.1020307450715976</v>
                </pt>
                <pt idx="55">
                  <v>0.07793101053296771</v>
                </pt>
                <pt idx="56">
                  <v>0.08090995463931874</v>
                </pt>
                <pt idx="57">
                  <v>0.02917234021559438</v>
                </pt>
                <pt idx="58">
                  <v>0.0104098691216888</v>
                </pt>
                <pt idx="59">
                  <v>0.003809030164374855</v>
                </pt>
                <pt idx="60">
                  <v>0.006178183072975508</v>
                </pt>
                <pt idx="61">
                  <v>0.01667231366864759</v>
                </pt>
                <pt idx="62">
                  <v>0.04111280636733766</v>
                </pt>
                <pt idx="63">
                  <v>0.06512337874480645</v>
                </pt>
                <pt idx="64">
                  <v>0.106315341440858</v>
                </pt>
                <pt idx="65">
                  <v>0.1072729076610999</v>
                </pt>
                <pt idx="66">
                  <v>0.1057942634887733</v>
                </pt>
                <pt idx="67">
                  <v>0.0936908322687052</v>
                </pt>
                <pt idx="68">
                  <v>0.07246320282040017</v>
                </pt>
                <pt idx="69">
                  <v>0.03614525389237988</v>
                </pt>
                <pt idx="70">
                  <v>0.008602841405423608</v>
                </pt>
                <pt idx="71">
                  <v>0.004171468465776758</v>
                </pt>
                <pt idx="72">
                  <v>0.007223240212576967</v>
                </pt>
                <pt idx="73">
                  <v>0.02010831138567791</v>
                </pt>
                <pt idx="74">
                  <v>0.04654786644745259</v>
                </pt>
                <pt idx="75">
                  <v>0.07168978364906199</v>
                </pt>
                <pt idx="76">
                  <v>0.09471412725623395</v>
                </pt>
                <pt idx="77">
                  <v>0.09982625001551076</v>
                </pt>
                <pt idx="78">
                  <v>0.09399641941869914</v>
                </pt>
                <pt idx="79">
                  <v>0.1057378118957395</v>
                </pt>
                <pt idx="80">
                  <v>0.09062887968652376</v>
                </pt>
                <pt idx="81">
                  <v>0.03957312567862663</v>
                </pt>
                <pt idx="82">
                  <v>0.01454364344794783</v>
                </pt>
                <pt idx="83">
                  <v>0.00906949116088333</v>
                </pt>
              </numCache>
            </numRef>
          </val>
          <smooth val="1"/>
        </ser>
        <ser>
          <idx val="2"/>
          <order val="2"/>
          <tx>
            <strRef>
              <f>'Capture Price Inputs'!$H$1</f>
              <strCache>
                <ptCount val="1"/>
                <pt idx="0">
                  <v>DK1 Capture Price (EUR/MWh) — Primary</v>
                </pt>
              </strCache>
            </strRef>
          </tx>
          <spPr>
            <a:ln xmlns:a="http://schemas.openxmlformats.org/drawingml/2006/main">
              <a:solidFill>
                <a:srgbClr val="C00000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val>
            <numRef>
              <f>'Capture Price Inputs'!$H$2:$H$85</f>
              <numCache>
                <formatCode>General</formatCode>
                <ptCount val="84"/>
                <pt idx="12">
                  <v>25.22320957280251</v>
                </pt>
                <pt idx="13">
                  <v>22.83581899109792</v>
                </pt>
                <pt idx="14">
                  <v>15.94107348554973</v>
                </pt>
                <pt idx="15">
                  <v>10.36487590420421</v>
                </pt>
                <pt idx="16">
                  <v>15.478548945086</v>
                </pt>
                <pt idx="17">
                  <v>27.31330822786869</v>
                </pt>
                <pt idx="18">
                  <v>24.83174517810916</v>
                </pt>
                <pt idx="19">
                  <v>33.87691542204785</v>
                </pt>
                <pt idx="20">
                  <v>38.93597900337959</v>
                </pt>
                <pt idx="21">
                  <v>31.92774153305919</v>
                </pt>
                <pt idx="22">
                  <v>26.00599326599326</v>
                </pt>
                <pt idx="23">
                  <v>34.79516129032258</v>
                </pt>
                <pt idx="24">
                  <v>55.42296760727792</v>
                </pt>
                <pt idx="25">
                  <v>47.54261097914259</v>
                </pt>
                <pt idx="26">
                  <v>44.55070091580549</v>
                </pt>
                <pt idx="27">
                  <v>43.594739828473</v>
                </pt>
                <pt idx="28">
                  <v>47.65587057500122</v>
                </pt>
                <pt idx="29">
                  <v>70.54354791111106</v>
                </pt>
                <pt idx="30">
                  <v>78.56831974775861</v>
                </pt>
                <pt idx="31">
                  <v>81.98335113640179</v>
                </pt>
                <pt idx="32">
                  <v>116.2002249554484</v>
                </pt>
                <pt idx="33">
                  <v>126.5303952032395</v>
                </pt>
                <pt idx="34">
                  <v>160.7705833010295</v>
                </pt>
                <pt idx="35">
                  <v>228.8621705579358</v>
                </pt>
                <pt idx="36">
                  <v>123.2012506791719</v>
                </pt>
                <pt idx="37">
                  <v>117.67077903546</v>
                </pt>
                <pt idx="38">
                  <v>191.508071735067</v>
                </pt>
                <pt idx="39">
                  <v>145.7013871592604</v>
                </pt>
                <pt idx="40">
                  <v>149.4185612445558</v>
                </pt>
                <pt idx="41">
                  <v>194.7110340948198</v>
                </pt>
                <pt idx="42">
                  <v>239.3981525107354</v>
                </pt>
                <pt idx="43">
                  <v>419.792637226606</v>
                </pt>
                <pt idx="44">
                  <v>310.7073992726671</v>
                </pt>
                <pt idx="45">
                  <v>125.6295598680838</v>
                </pt>
                <pt idx="46">
                  <v>131.7111886265582</v>
                </pt>
                <pt idx="47">
                  <v>282.8237937420726</v>
                </pt>
                <pt idx="48">
                  <v>138.5299886842633</v>
                </pt>
                <pt idx="49">
                  <v>109.8769757213503</v>
                </pt>
                <pt idx="50">
                  <v>93.77419094069538</v>
                </pt>
                <pt idx="51">
                  <v>76.25042822265543</v>
                </pt>
                <pt idx="52">
                  <v>50.54348776008261</v>
                </pt>
                <pt idx="53">
                  <v>74.88898277621806</v>
                </pt>
                <pt idx="54">
                  <v>52.09559943846345</v>
                </pt>
                <pt idx="55">
                  <v>74.18042603997819</v>
                </pt>
                <pt idx="56">
                  <v>68.11686962339694</v>
                </pt>
                <pt idx="57">
                  <v>50.53909051970285</v>
                </pt>
                <pt idx="58">
                  <v>90.68080556242518</v>
                </pt>
                <pt idx="59">
                  <v>63.45532768878803</v>
                </pt>
                <pt idx="60">
                  <v>78.57131644167831</v>
                </pt>
                <pt idx="61">
                  <v>59.47948676805509</v>
                </pt>
                <pt idx="62">
                  <v>51.26978324155493</v>
                </pt>
                <pt idx="63">
                  <v>49.38394056201121</v>
                </pt>
                <pt idx="64">
                  <v>35.89414827140887</v>
                </pt>
                <pt idx="65">
                  <v>47.03763372739765</v>
                </pt>
                <pt idx="66">
                  <v>42.52177322309952</v>
                </pt>
                <pt idx="67">
                  <v>52.17121747504909</v>
                </pt>
                <pt idx="68">
                  <v>45.64750462621701</v>
                </pt>
                <pt idx="69">
                  <v>58.44158378709199</v>
                </pt>
                <pt idx="70">
                  <v>97.58235261633192</v>
                </pt>
                <pt idx="71">
                  <v>92.07321769383398</v>
                </pt>
                <pt idx="72">
                  <v>111.1945655985155</v>
                </pt>
                <pt idx="73">
                  <v>105.4131597378828</v>
                </pt>
                <pt idx="74">
                  <v>57.84566339627056</v>
                </pt>
                <pt idx="75">
                  <v>45.84439577068735</v>
                </pt>
                <pt idx="76">
                  <v>40.06566739400938</v>
                </pt>
                <pt idx="77">
                  <v>33.4933819651966</v>
                </pt>
                <pt idx="78">
                  <v>61.32224821093979</v>
                </pt>
                <pt idx="79">
                  <v>47.75582456745756</v>
                </pt>
                <pt idx="80">
                  <v>49.42909499605724</v>
                </pt>
                <pt idx="81">
                  <v>74.26663453789526</v>
                </pt>
                <pt idx="82">
                  <v>95.56453180252134</v>
                </pt>
                <pt idx="83">
                  <v>80.95803424278026</v>
                </pt>
              </numCache>
            </numRef>
          </val>
          <smooth val="1"/>
        </ser>
        <dLbls>
          <showLegendKey val="0"/>
          <showVal val="0"/>
          <showCatName val="0"/>
          <showSerName val="0"/>
          <showPercent val="0"/>
          <showBubbleSize val="0"/>
        </dLbls>
        <smooth val="0"/>
        <axId val="10"/>
        <axId val="100"/>
      </lineChart>
      <catAx>
        <axId val="10"/>
        <scaling>
          <orientation val="minMax"/>
        </scaling>
        <delete val="1"/>
        <axPos val="b"/>
        <title>
          <tx>
            <rich>
              <a:bodyPr xmlns:a="http://schemas.openxmlformats.org/drawingml/2006/main"/>
              <a:lstStyle xmlns:a="http://schemas.openxmlformats.org/drawingml/2006/main"/>
              <a:p xmlns:a="http://schemas.openxmlformats.org/drawingml/2006/main">
                <a:pPr>
                  <a:defRPr/>
                </a:pPr>
                <a:r>
                  <a:rPr lang="en-GB"/>
                  <a:t>Month</a:t>
                </a:r>
              </a:p>
            </rich>
          </tx>
          <overlay val="1"/>
        </title>
        <majorTickMark val="none"/>
        <minorTickMark val="none"/>
        <tickLblPos val="nextTo"/>
        <crossAx val="100"/>
        <crosses val="autoZero"/>
        <auto val="1"/>
        <lblAlgn val="ctr"/>
        <lblOffset val="100"/>
        <noMultiLvlLbl val="1"/>
      </catAx>
      <valAx>
        <axId val="100"/>
        <scaling>
          <orientation val="minMax"/>
        </scaling>
        <delete val="1"/>
        <axPos val="l"/>
        <majorGridlines/>
        <title>
          <tx>
            <rich>
              <a:bodyPr xmlns:a="http://schemas.openxmlformats.org/drawingml/2006/main"/>
              <a:lstStyle xmlns:a="http://schemas.openxmlformats.org/drawingml/2006/main"/>
              <a:p xmlns:a="http://schemas.openxmlformats.org/drawingml/2006/main">
                <a:pPr>
                  <a:defRPr/>
                </a:pPr>
                <a:r>
                  <a:rPr lang="en-GB"/>
                  <a:t>Solar Penetration (%)</a:t>
                </a:r>
              </a:p>
            </rich>
          </tx>
          <overlay val="1"/>
        </title>
        <numFmt formatCode="General" sourceLinked="1"/>
        <majorTickMark val="none"/>
        <minorTickMark val="none"/>
        <tickLblPos val="nextTo"/>
        <crossAx val="10"/>
        <crosses val="autoZero"/>
        <crossBetween val="between"/>
      </valAx>
    </plotArea>
    <legend>
      <legendPos val="r"/>
      <overlay val="1"/>
    </legend>
    <plotVisOnly val="1"/>
    <dispBlanksAs val="gap"/>
  </chart>
</chartSpace>
</file>

<file path=xl/charts/chart70.xml><?xml version="1.0" encoding="utf-8"?>
<chartSpace xmlns="http://schemas.openxmlformats.org/drawingml/2006/chart">
  <chart>
    <title>
      <tx>
        <rich>
          <a:bodyPr xmlns:a="http://schemas.openxmlformats.org/drawingml/2006/main"/>
          <a:lstStyle xmlns:a="http://schemas.openxmlformats.org/drawingml/2006/main"/>
          <a:p xmlns:a="http://schemas.openxmlformats.org/drawingml/2006/main">
            <a:pPr>
              <a:defRPr/>
            </a:pPr>
            <a:r>
              <a:rPr lang="en-GB"/>
              <a:t>Monthly Capture Price — DK1 and DK2 (EUR/MWh)</a:t>
            </a:r>
          </a:p>
        </rich>
      </tx>
      <overlay val="1"/>
    </title>
    <plotArea>
      <layout/>
      <lineChart>
        <grouping val="standard"/>
        <varyColors val="1"/>
        <ser>
          <idx val="0"/>
          <order val="0"/>
          <tx>
            <strRef>
              <f>'Capture Price Inputs'!$I$1</f>
              <strCache>
                <ptCount val="1"/>
                <pt idx="0">
                  <v>DK2 Capture Price (EUR/MWh) — Robustness</v>
                </pt>
              </strCache>
            </strRef>
          </tx>
          <spPr>
            <a:ln xmlns:a="http://schemas.openxmlformats.org/drawingml/2006/main">
              <a:solidFill>
                <a:srgbClr val="2E75B6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val>
            <numRef>
              <f>'Capture Price Inputs'!$I$2:$I$85</f>
              <numCache>
                <formatCode>General</formatCode>
                <ptCount val="84"/>
                <pt idx="12">
                  <v>29.86213642213642</v>
                </pt>
                <pt idx="13">
                  <v>23.55551782972189</v>
                </pt>
                <pt idx="14">
                  <v>17.14905069226102</v>
                </pt>
                <pt idx="15">
                  <v>13.25252312836708</v>
                </pt>
                <pt idx="16">
                  <v>18.59404938271605</v>
                </pt>
                <pt idx="17">
                  <v>35.21078005032583</v>
                </pt>
                <pt idx="18">
                  <v>26.450778046867</v>
                </pt>
                <pt idx="19">
                  <v>44.11376501540486</v>
                </pt>
                <pt idx="20">
                  <v>41.85304788087056</v>
                </pt>
                <pt idx="21">
                  <v>33.60087837290333</v>
                </pt>
                <pt idx="22">
                  <v>37.749765625</v>
                </pt>
                <pt idx="23">
                  <v>44.19142857142857</v>
                </pt>
                <pt idx="24">
                  <v>57.07213441008145</v>
                </pt>
                <pt idx="25">
                  <v>52.28508365452458</v>
                </pt>
                <pt idx="26">
                  <v>47.42264301189781</v>
                </pt>
                <pt idx="27">
                  <v>45.90136374824883</v>
                </pt>
                <pt idx="28">
                  <v>50.2587202314608</v>
                </pt>
                <pt idx="29">
                  <v>69.46934165377623</v>
                </pt>
                <pt idx="30">
                  <v>77.93311155139432</v>
                </pt>
                <pt idx="31">
                  <v>84.51274769025703</v>
                </pt>
                <pt idx="32">
                  <v>118.7457227855615</v>
                </pt>
                <pt idx="33">
                  <v>122.3841235967906</v>
                </pt>
                <pt idx="34">
                  <v>153.6267942781575</v>
                </pt>
                <pt idx="35">
                  <v>244.4872785976441</v>
                </pt>
                <pt idx="36">
                  <v>129.6774902315082</v>
                </pt>
                <pt idx="37">
                  <v>108.8033389925641</v>
                </pt>
                <pt idx="38">
                  <v>186.0504424586062</v>
                </pt>
                <pt idx="39">
                  <v>143.5375888642185</v>
                </pt>
                <pt idx="40">
                  <v>146.2536023446033</v>
                </pt>
                <pt idx="41">
                  <v>192.2325905808319</v>
                </pt>
                <pt idx="42">
                  <v>212.3625858003895</v>
                </pt>
                <pt idx="43">
                  <v>397.1798848597606</v>
                </pt>
                <pt idx="44">
                  <v>315.928842796779</v>
                </pt>
                <pt idx="45">
                  <v>120.1190076327392</v>
                </pt>
                <pt idx="46">
                  <v>134.0399027878758</v>
                </pt>
                <pt idx="47">
                  <v>303.2697848166857</v>
                </pt>
                <pt idx="48">
                  <v>120.8992864784306</v>
                </pt>
                <pt idx="49">
                  <v>103.112625406295</v>
                </pt>
                <pt idx="50">
                  <v>89.0984689216417</v>
                </pt>
                <pt idx="51">
                  <v>71.1250997055942</v>
                </pt>
                <pt idx="52">
                  <v>48.35808379645633</v>
                </pt>
                <pt idx="53">
                  <v>71.8620903722224</v>
                </pt>
                <pt idx="54">
                  <v>50.34596661709235</v>
                </pt>
                <pt idx="55">
                  <v>72.95799234798741</v>
                </pt>
                <pt idx="56">
                  <v>64.3944846724649</v>
                </pt>
                <pt idx="57">
                  <v>47.66025509428685</v>
                </pt>
                <pt idx="58">
                  <v>84.63997860526599</v>
                </pt>
                <pt idx="59">
                  <v>59.06174633307972</v>
                </pt>
                <pt idx="60">
                  <v>76.42720253521921</v>
                </pt>
                <pt idx="61">
                  <v>51.43437919654775</v>
                </pt>
                <pt idx="62">
                  <v>50.75116381305344</v>
                </pt>
                <pt idx="63">
                  <v>47.053967904828</v>
                </pt>
                <pt idx="64">
                  <v>34.29579411369289</v>
                </pt>
                <pt idx="65">
                  <v>46.37938403458337</v>
                </pt>
                <pt idx="66">
                  <v>38.81282196947117</v>
                </pt>
                <pt idx="67">
                  <v>47.15186311829253</v>
                </pt>
                <pt idx="68">
                  <v>43.35594635084219</v>
                </pt>
                <pt idx="69">
                  <v>59.53493763028656</v>
                </pt>
                <pt idx="70">
                  <v>89.61127747791728</v>
                </pt>
                <pt idx="71">
                  <v>100.7961313991171</v>
                </pt>
                <pt idx="72">
                  <v>115.0822593270056</v>
                </pt>
                <pt idx="73">
                  <v>106.9231820731682</v>
                </pt>
                <pt idx="74">
                  <v>50.01806296126875</v>
                </pt>
                <pt idx="75">
                  <v>41.82584156307518</v>
                </pt>
                <pt idx="76">
                  <v>34.32066034459122</v>
                </pt>
                <pt idx="77">
                  <v>24.31568572006325</v>
                </pt>
                <pt idx="78">
                  <v>59.76694388214769</v>
                </pt>
                <pt idx="79">
                  <v>43.06460478354486</v>
                </pt>
                <pt idx="80">
                  <v>52.94940515380836</v>
                </pt>
                <pt idx="81">
                  <v>78.64573032240668</v>
                </pt>
                <pt idx="82">
                  <v>92.69045487153267</v>
                </pt>
                <pt idx="83">
                  <v>79.63122802208366</v>
                </pt>
              </numCache>
            </numRef>
          </val>
          <smooth val="1"/>
        </ser>
        <ser>
          <idx val="1"/>
          <order val="1"/>
          <tx>
            <strRef>
              <f>'Capture Price Inputs'!$J$1</f>
              <strCache>
                <ptCount val="1"/>
                <pt idx="0">
                  <v>DK1 CPR — Primary</v>
                </pt>
              </strCache>
            </strRef>
          </tx>
          <spPr>
            <a:ln xmlns:a="http://schemas.openxmlformats.org/drawingml/2006/main">
              <a:solidFill>
                <a:srgbClr val="C00000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val>
            <numRef>
              <f>'Capture Price Inputs'!$J$2:$J$85</f>
              <numCache>
                <formatCode>General</formatCode>
                <ptCount val="84"/>
                <pt idx="12">
                  <v>1.009148659447442</v>
                </pt>
                <pt idx="13">
                  <v>1.298591168695051</v>
                </pt>
                <pt idx="14">
                  <v>0.8710146939215303</v>
                </pt>
                <pt idx="15">
                  <v>0.7131577255881921</v>
                </pt>
                <pt idx="16">
                  <v>0.9641557693120565</v>
                </pt>
                <pt idx="17">
                  <v>1.039466413731094</v>
                </pt>
                <pt idx="18">
                  <v>1.008618155660831</v>
                </pt>
                <pt idx="19">
                  <v>0.9808226440750074</v>
                </pt>
                <pt idx="20">
                  <v>1.010404486913005</v>
                </pt>
                <pt idx="21">
                  <v>1.236802226812374</v>
                </pt>
                <pt idx="22">
                  <v>1.094777917215692</v>
                </pt>
                <pt idx="23">
                  <v>1.008230164182662</v>
                </pt>
                <pt idx="24">
                  <v>1.103930861568265</v>
                </pt>
                <pt idx="25">
                  <v>1.005947927705425</v>
                </pt>
                <pt idx="26">
                  <v>0.9871758725122356</v>
                </pt>
                <pt idx="27">
                  <v>0.9088464745665017</v>
                </pt>
                <pt idx="28">
                  <v>0.8775180518715436</v>
                </pt>
                <pt idx="29">
                  <v>0.9569142795347317</v>
                </pt>
                <pt idx="30">
                  <v>0.9821132371596978</v>
                </pt>
                <pt idx="31">
                  <v>0.9902714780245057</v>
                </pt>
                <pt idx="32">
                  <v>0.9269044048361358</v>
                </pt>
                <pt idx="33">
                  <v>1.081088507413439</v>
                </pt>
                <pt idx="34">
                  <v>1.133803408504466</v>
                </pt>
                <pt idx="35">
                  <v>1.208676962454928</v>
                </pt>
                <pt idx="36">
                  <v>1.044125730427727</v>
                </pt>
                <pt idx="37">
                  <v>1.04022281700981</v>
                </pt>
                <pt idx="38">
                  <v>0.8120775904420741</v>
                </pt>
                <pt idx="39">
                  <v>0.8903913338467833</v>
                </pt>
                <pt idx="40">
                  <v>0.8694301605049858</v>
                </pt>
                <pt idx="41">
                  <v>0.9080390201234191</v>
                </pt>
                <pt idx="42">
                  <v>0.8704179159294955</v>
                </pt>
                <pt idx="43">
                  <v>0.9190855304670003</v>
                </pt>
                <pt idx="44">
                  <v>0.9063290180568312</v>
                </pt>
                <pt idx="45">
                  <v>0.9161232525396177</v>
                </pt>
                <pt idx="46">
                  <v>0.9427861207466001</v>
                </pt>
                <pt idx="47">
                  <v>1.132810339248927</v>
                </pt>
                <pt idx="48">
                  <v>1.230919869122654</v>
                </pt>
                <pt idx="49">
                  <v>0.93008781340266</v>
                </pt>
                <pt idx="50">
                  <v>0.9461253975959896</v>
                </pt>
                <pt idx="51">
                  <v>0.7920396612038634</v>
                </pt>
                <pt idx="52">
                  <v>0.6833361056151995</v>
                </pt>
                <pt idx="53">
                  <v>0.8096506208621567</v>
                </pt>
                <pt idx="54">
                  <v>0.8038042195326093</v>
                </pt>
                <pt idx="55">
                  <v>0.8628930977720407</v>
                </pt>
                <pt idx="56">
                  <v>0.8038389922187259</v>
                </pt>
                <pt idx="57">
                  <v>0.8408360556054226</v>
                </pt>
                <pt idx="58">
                  <v>1.028656893611996</v>
                </pt>
                <pt idx="59">
                  <v>0.9132560776287663</v>
                </pt>
                <pt idx="60">
                  <v>1.051614630458469</v>
                </pt>
                <pt idx="61">
                  <v>1.014420829179444</v>
                </pt>
                <pt idx="62">
                  <v>0.8373818542217274</v>
                </pt>
                <pt idx="63">
                  <v>0.8346846016164379</v>
                </pt>
                <pt idx="64">
                  <v>0.6133984536650869</v>
                </pt>
                <pt idx="65">
                  <v>0.7378100322386865</v>
                </pt>
                <pt idx="66">
                  <v>0.685499494870618</v>
                </pt>
                <pt idx="67">
                  <v>0.7151267621934952</v>
                </pt>
                <pt idx="68">
                  <v>0.636525223039573</v>
                </pt>
                <pt idx="69">
                  <v>0.7617518807592967</v>
                </pt>
                <pt idx="70">
                  <v>1.017494003861172</v>
                </pt>
                <pt idx="71">
                  <v>1.002567416041121</v>
                </pt>
                <pt idx="72">
                  <v>1.135032584901597</v>
                </pt>
                <pt idx="73">
                  <v>0.9341166514187298</v>
                </pt>
                <pt idx="74">
                  <v>0.6857908168802248</v>
                </pt>
                <pt idx="75">
                  <v>0.609953535618325</v>
                </pt>
                <pt idx="76">
                  <v>0.6237511742318941</v>
                </pt>
                <pt idx="77">
                  <v>0.569764321286333</v>
                </pt>
                <pt idx="78">
                  <v>0.7405896710838001</v>
                </pt>
                <pt idx="79">
                  <v>0.6499711234459455</v>
                </pt>
                <pt idx="80">
                  <v>0.6827347489865859</v>
                </pt>
                <pt idx="81">
                  <v>0.9470151719348058</v>
                </pt>
                <pt idx="82">
                  <v>1.028976430956097</v>
                </pt>
                <pt idx="83">
                  <v>0.9820538861792604</v>
                </pt>
              </numCache>
            </numRef>
          </val>
          <smooth val="1"/>
        </ser>
        <dLbls>
          <showLegendKey val="0"/>
          <showVal val="0"/>
          <showCatName val="0"/>
          <showSerName val="0"/>
          <showPercent val="0"/>
          <showBubbleSize val="0"/>
        </dLbls>
        <smooth val="0"/>
        <axId val="10"/>
        <axId val="100"/>
      </lineChart>
      <catAx>
        <axId val="10"/>
        <scaling>
          <orientation val="minMax"/>
        </scaling>
        <delete val="1"/>
        <axPos val="b"/>
        <title>
          <tx>
            <rich>
              <a:bodyPr xmlns:a="http://schemas.openxmlformats.org/drawingml/2006/main"/>
              <a:lstStyle xmlns:a="http://schemas.openxmlformats.org/drawingml/2006/main"/>
              <a:p xmlns:a="http://schemas.openxmlformats.org/drawingml/2006/main">
                <a:pPr>
                  <a:defRPr/>
                </a:pPr>
                <a:r>
                  <a:rPr lang="en-GB"/>
                  <a:t>Month</a:t>
                </a:r>
              </a:p>
            </rich>
          </tx>
          <overlay val="1"/>
        </title>
        <majorTickMark val="none"/>
        <minorTickMark val="none"/>
        <tickLblPos val="nextTo"/>
        <crossAx val="100"/>
        <crosses val="autoZero"/>
        <auto val="1"/>
        <lblAlgn val="ctr"/>
        <lblOffset val="100"/>
        <noMultiLvlLbl val="1"/>
      </catAx>
      <valAx>
        <axId val="100"/>
        <scaling>
          <orientation val="minMax"/>
        </scaling>
        <delete val="1"/>
        <axPos val="l"/>
        <majorGridlines/>
        <title>
          <tx>
            <rich>
              <a:bodyPr xmlns:a="http://schemas.openxmlformats.org/drawingml/2006/main"/>
              <a:lstStyle xmlns:a="http://schemas.openxmlformats.org/drawingml/2006/main"/>
              <a:p xmlns:a="http://schemas.openxmlformats.org/drawingml/2006/main">
                <a:pPr>
                  <a:defRPr/>
                </a:pPr>
                <a:r>
                  <a:rPr lang="en-GB"/>
                  <a:t>EUR/MWh</a:t>
                </a:r>
              </a:p>
            </rich>
          </tx>
          <overlay val="1"/>
        </title>
        <numFmt formatCode="General" sourceLinked="1"/>
        <majorTickMark val="none"/>
        <minorTickMark val="none"/>
        <tickLblPos val="nextTo"/>
        <crossAx val="10"/>
        <crosses val="autoZero"/>
        <crossBetween val="between"/>
      </valAx>
    </plotArea>
    <legend>
      <legendPos val="r"/>
      <overlay val="1"/>
    </legend>
    <plotVisOnly val="1"/>
    <dispBlanksAs val="gap"/>
  </chart>
</chartSpace>
</file>

<file path=xl/charts/chart71.xml><?xml version="1.0" encoding="utf-8"?>
<chartSpace xmlns="http://schemas.openxmlformats.org/drawingml/2006/chart">
  <chart>
    <title>
      <tx>
        <rich>
          <a:bodyPr xmlns:a="http://schemas.openxmlformats.org/drawingml/2006/main"/>
          <a:lstStyle xmlns:a="http://schemas.openxmlformats.org/drawingml/2006/main"/>
          <a:p xmlns:a="http://schemas.openxmlformats.org/drawingml/2006/main">
            <a:pPr>
              <a:defRPr/>
            </a:pPr>
            <a:r>
              <a:rPr lang="en-GB"/>
              <a:t>Monthly Capture Price Ratio — DK1 and DK2</a:t>
            </a:r>
          </a:p>
        </rich>
      </tx>
      <overlay val="1"/>
    </title>
    <plotArea>
      <layout/>
      <lineChart>
        <grouping val="standard"/>
        <varyColors val="1"/>
        <ser>
          <idx val="0"/>
          <order val="0"/>
          <tx>
            <strRef>
              <f>'Capture Price Inputs'!$K$1</f>
              <strCache>
                <ptCount val="1"/>
                <pt idx="0">
                  <v>DK2 CPR — Robustness</v>
                </pt>
              </strCache>
            </strRef>
          </tx>
          <spPr>
            <a:ln xmlns:a="http://schemas.openxmlformats.org/drawingml/2006/main">
              <a:solidFill>
                <a:srgbClr val="2E75B6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val>
            <numRef>
              <f>'Capture Price Inputs'!$K$2:$K$85</f>
              <numCache>
                <formatCode>General</formatCode>
                <ptCount val="84"/>
                <pt idx="12">
                  <v>1.090446324793763</v>
                </pt>
                <pt idx="13">
                  <v>1.251821301318464</v>
                </pt>
                <pt idx="14">
                  <v>0.8552077585127711</v>
                </pt>
                <pt idx="15">
                  <v>0.763620235478716</v>
                </pt>
                <pt idx="16">
                  <v>0.9763693823354528</v>
                </pt>
                <pt idx="17">
                  <v>1.180647007173951</v>
                </pt>
                <pt idx="18">
                  <v>1.021791049952987</v>
                </pt>
                <pt idx="19">
                  <v>1.077948442472481</v>
                </pt>
                <pt idx="20">
                  <v>1.059189092335807</v>
                </pt>
                <pt idx="21">
                  <v>1.247549053102559</v>
                </pt>
                <pt idx="22">
                  <v>1.057080411727209</v>
                </pt>
                <pt idx="23">
                  <v>1.125691191699302</v>
                </pt>
                <pt idx="24">
                  <v>1.122164979814525</v>
                </pt>
                <pt idx="25">
                  <v>0.9585139857498034</v>
                </pt>
                <pt idx="26">
                  <v>1.014774172650395</v>
                </pt>
                <pt idx="27">
                  <v>0.9590164366476613</v>
                </pt>
                <pt idx="28">
                  <v>0.9103388736117121</v>
                </pt>
                <pt idx="29">
                  <v>0.9440449187481634</v>
                </pt>
                <pt idx="30">
                  <v>0.9569285690465077</v>
                </pt>
                <pt idx="31">
                  <v>1.001768528067071</v>
                </pt>
                <pt idx="32">
                  <v>0.9583833699094481</v>
                </pt>
                <pt idx="33">
                  <v>1.144501265847132</v>
                </pt>
                <pt idx="34">
                  <v>1.126460857141801</v>
                </pt>
                <pt idx="35">
                  <v>1.279578427053047</v>
                </pt>
                <pt idx="36">
                  <v>1.161754652341282</v>
                </pt>
                <pt idx="37">
                  <v>1.084871924613185</v>
                </pt>
                <pt idx="38">
                  <v>0.8162958275837114</v>
                </pt>
                <pt idx="39">
                  <v>0.9391804877392103</v>
                </pt>
                <pt idx="40">
                  <v>0.8991456314331195</v>
                </pt>
                <pt idx="41">
                  <v>0.9015136745747578</v>
                </pt>
                <pt idx="42">
                  <v>0.909562444967756</v>
                </pt>
                <pt idx="43">
                  <v>0.8830756108422062</v>
                </pt>
                <pt idx="44">
                  <v>0.9608536982958826</v>
                </pt>
                <pt idx="45">
                  <v>0.8774354195736861</v>
                </pt>
                <pt idx="46">
                  <v>0.9240447439178995</v>
                </pt>
                <pt idx="47">
                  <v>1.218528056069729</v>
                </pt>
                <pt idx="48">
                  <v>1.21186632363043</v>
                </pt>
                <pt idx="49">
                  <v>1.024478122815962</v>
                </pt>
                <pt idx="50">
                  <v>0.992236312197012</v>
                </pt>
                <pt idx="51">
                  <v>0.8502587347820391</v>
                </pt>
                <pt idx="52">
                  <v>0.7310174827054021</v>
                </pt>
                <pt idx="53">
                  <v>0.7860381991736552</v>
                </pt>
                <pt idx="54">
                  <v>0.7717034871247128</v>
                </pt>
                <pt idx="55">
                  <v>0.8454610410569836</v>
                </pt>
                <pt idx="56">
                  <v>0.7532917330845335</v>
                </pt>
                <pt idx="57">
                  <v>0.837234490334641</v>
                </pt>
                <pt idx="58">
                  <v>1.038705241708771</v>
                </pt>
                <pt idx="59">
                  <v>0.8332670757562848</v>
                </pt>
                <pt idx="60">
                  <v>0.977144875107929</v>
                </pt>
                <pt idx="61">
                  <v>0.9399172603334611</v>
                </pt>
                <pt idx="62">
                  <v>0.8314293202728863</v>
                </pt>
                <pt idx="63">
                  <v>0.7780510745637418</v>
                </pt>
                <pt idx="64">
                  <v>0.5900556342707577</v>
                </pt>
                <pt idx="65">
                  <v>0.6943958569114143</v>
                </pt>
                <pt idx="66">
                  <v>0.6176283845394642</v>
                </pt>
                <pt idx="67">
                  <v>0.6493471479229646</v>
                </pt>
                <pt idx="68">
                  <v>0.6157480113547513</v>
                </pt>
                <pt idx="69">
                  <v>0.7800073506793195</v>
                </pt>
                <pt idx="70">
                  <v>0.9404779955101509</v>
                </pt>
                <pt idx="71">
                  <v>1.087006718547946</v>
                </pt>
                <pt idx="72">
                  <v>1.149400364807902</v>
                </pt>
                <pt idx="73">
                  <v>0.9066238427133391</v>
                </pt>
                <pt idx="74">
                  <v>0.603741164715803</v>
                </pt>
                <pt idx="75">
                  <v>0.5517436798810373</v>
                </pt>
                <pt idx="76">
                  <v>0.544059463307295</v>
                </pt>
                <pt idx="77">
                  <v>0.4307606652121766</v>
                </pt>
                <pt idx="78">
                  <v>0.7474634186196619</v>
                </pt>
                <pt idx="79">
                  <v>0.5717894234335987</v>
                </pt>
                <pt idx="80">
                  <v>0.635731600833678</v>
                </pt>
                <pt idx="81">
                  <v>0.9548084008156305</v>
                </pt>
                <pt idx="82">
                  <v>0.9892725129496999</v>
                </pt>
                <pt idx="83">
                  <v>0.9701479625359415</v>
                </pt>
              </numCache>
            </numRef>
          </val>
          <smooth val="1"/>
        </ser>
        <ser>
          <idx val="1"/>
          <order val="1"/>
          <tx>
            <strRef>
              <f>'Capture Price Inputs'!$L$1</f>
              <strCache>
                <ptCount val="1"/>
              </strCache>
            </strRef>
          </tx>
          <spPr>
            <a:ln xmlns:a="http://schemas.openxmlformats.org/drawingml/2006/main">
              <a:solidFill>
                <a:srgbClr val="C00000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val>
            <numRef>
              <f>'Capture Price Inputs'!$L$2:$L$85</f>
              <numCache>
                <formatCode>General</formatCode>
                <ptCount val="84"/>
              </numCache>
            </numRef>
          </val>
          <smooth val="1"/>
        </ser>
        <ser>
          <idx val="2"/>
          <order val="2"/>
          <tx>
            <strRef>
              <f>'Capture Price Inputs'!$M$1</f>
              <strCache>
                <ptCount val="1"/>
              </strCache>
            </strRef>
          </tx>
          <spPr>
            <a:ln xmlns:a="http://schemas.openxmlformats.org/drawingml/2006/main">
              <a:solidFill>
                <a:srgbClr val="FF8C00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val>
            <numRef>
              <f>'Capture Price Inputs'!$M$2:$M$85</f>
              <numCache>
                <formatCode>General</formatCode>
                <ptCount val="84"/>
              </numCache>
            </numRef>
          </val>
          <smooth val="1"/>
        </ser>
        <dLbls>
          <showLegendKey val="0"/>
          <showVal val="0"/>
          <showCatName val="0"/>
          <showSerName val="0"/>
          <showPercent val="0"/>
          <showBubbleSize val="0"/>
        </dLbls>
        <smooth val="0"/>
        <axId val="10"/>
        <axId val="100"/>
      </lineChart>
      <catAx>
        <axId val="10"/>
        <scaling>
          <orientation val="minMax"/>
        </scaling>
        <delete val="1"/>
        <axPos val="b"/>
        <title>
          <tx>
            <rich>
              <a:bodyPr xmlns:a="http://schemas.openxmlformats.org/drawingml/2006/main"/>
              <a:lstStyle xmlns:a="http://schemas.openxmlformats.org/drawingml/2006/main"/>
              <a:p xmlns:a="http://schemas.openxmlformats.org/drawingml/2006/main">
                <a:pPr>
                  <a:defRPr/>
                </a:pPr>
                <a:r>
                  <a:rPr lang="en-GB"/>
                  <a:t>Month</a:t>
                </a:r>
              </a:p>
            </rich>
          </tx>
          <overlay val="1"/>
        </title>
        <majorTickMark val="none"/>
        <minorTickMark val="none"/>
        <tickLblPos val="nextTo"/>
        <crossAx val="100"/>
        <crosses val="autoZero"/>
        <auto val="1"/>
        <lblAlgn val="ctr"/>
        <lblOffset val="100"/>
        <noMultiLvlLbl val="1"/>
      </catAx>
      <valAx>
        <axId val="100"/>
        <scaling>
          <orientation val="minMax"/>
        </scaling>
        <delete val="1"/>
        <axPos val="l"/>
        <majorGridlines/>
        <title>
          <tx>
            <rich>
              <a:bodyPr xmlns:a="http://schemas.openxmlformats.org/drawingml/2006/main"/>
              <a:lstStyle xmlns:a="http://schemas.openxmlformats.org/drawingml/2006/main"/>
              <a:p xmlns:a="http://schemas.openxmlformats.org/drawingml/2006/main">
                <a:pPr>
                  <a:defRPr/>
                </a:pPr>
                <a:r>
                  <a:rPr lang="en-GB"/>
                  <a:t>CPR (Capture Price / Spot Price)</a:t>
                </a:r>
              </a:p>
            </rich>
          </tx>
          <overlay val="1"/>
        </title>
        <numFmt formatCode="General" sourceLinked="1"/>
        <majorTickMark val="none"/>
        <minorTickMark val="none"/>
        <tickLblPos val="nextTo"/>
        <crossAx val="10"/>
        <crosses val="autoZero"/>
        <crossBetween val="between"/>
      </valAx>
    </plotArea>
    <legend>
      <legendPos val="r"/>
      <overlay val="1"/>
    </legend>
    <plotVisOnly val="1"/>
    <dispBlanksAs val="gap"/>
  </chart>
</chartSpace>
</file>

<file path=xl/charts/chart72.xml><?xml version="1.0" encoding="utf-8"?>
<chartSpace xmlns="http://schemas.openxmlformats.org/drawingml/2006/chart">
  <chart>
    <title>
      <tx>
        <rich>
          <a:bodyPr xmlns:a="http://schemas.openxmlformats.org/drawingml/2006/main"/>
          <a:lstStyle xmlns:a="http://schemas.openxmlformats.org/drawingml/2006/main"/>
          <a:p xmlns:a="http://schemas.openxmlformats.org/drawingml/2006/main">
            <a:pPr>
              <a:defRPr/>
            </a:pPr>
            <a:r>
              <a:rPr lang="en-GB"/>
              <a:t>Solar Penetration - DK1 Primary | DK2 Robustness</a:t>
            </a:r>
          </a:p>
        </rich>
      </tx>
      <overlay val="1"/>
    </title>
    <plotArea>
      <layout/>
      <lineChart>
        <grouping val="standard"/>
        <varyColors val="1"/>
        <ser>
          <idx val="0"/>
          <order val="0"/>
          <tx>
            <strRef>
              <f>'Capture Price Inputs'!$F$1</f>
              <strCache>
                <ptCount val="1"/>
                <pt idx="0">
                  <v>DK1 Solar Penetration (%) — Primary</v>
                </pt>
              </strCache>
            </strRef>
          </tx>
          <spPr>
            <a:ln xmlns:a="http://schemas.openxmlformats.org/drawingml/2006/main">
              <a:solidFill>
                <a:srgbClr val="FF8C00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val>
            <numRef>
              <f>'Capture Price Inputs'!$F$2:$F$85</f>
              <numCache>
                <formatCode>General</formatCode>
                <ptCount val="84"/>
                <pt idx="0">
                  <v>0</v>
                </pt>
                <pt idx="1">
                  <v>0</v>
                </pt>
                <pt idx="2">
                  <v>0</v>
                </pt>
                <pt idx="3">
                  <v>0</v>
                </pt>
                <pt idx="4">
                  <v>0</v>
                </pt>
                <pt idx="5">
                  <v>0</v>
                </pt>
                <pt idx="6">
                  <v>0</v>
                </pt>
                <pt idx="7">
                  <v>0</v>
                </pt>
                <pt idx="8">
                  <v>0</v>
                </pt>
                <pt idx="9">
                  <v>0</v>
                </pt>
                <pt idx="10">
                  <v>0</v>
                </pt>
                <pt idx="11">
                  <v>0</v>
                </pt>
                <pt idx="12">
                  <v>0.002264447892629483</v>
                </pt>
                <pt idx="13">
                  <v>0.005247452024482245</v>
                </pt>
                <pt idx="14">
                  <v>0.02020167759412729</v>
                </pt>
                <pt idx="15">
                  <v>0.0324279896123047</v>
                </pt>
                <pt idx="16">
                  <v>0.03608008723790357</v>
                </pt>
                <pt idx="17">
                  <v>0.03741361883164089</v>
                </pt>
                <pt idx="18">
                  <v>0.03399843385950392</v>
                </pt>
                <pt idx="19">
                  <v>0.03422476314253766</v>
                </pt>
                <pt idx="20">
                  <v>0.02433015193915724</v>
                </pt>
                <pt idx="21">
                  <v>0.01149038754944678</v>
                </pt>
                <pt idx="22">
                  <v>0.0001521101274151999</v>
                </pt>
                <pt idx="23">
                  <v>1.472410662127807e-05</v>
                </pt>
                <pt idx="24">
                  <v>0.003631355999035091</v>
                </pt>
                <pt idx="25">
                  <v>0.0108689417180573</v>
                </pt>
                <pt idx="26">
                  <v>0.02238230390737163</v>
                </pt>
                <pt idx="27">
                  <v>0.04212837115783985</v>
                </pt>
                <pt idx="28">
                  <v>0.03307505221196035</v>
                </pt>
                <pt idx="29">
                  <v>0.04984166182181952</v>
                </pt>
                <pt idx="30">
                  <v>0.0485715434854639</v>
                </pt>
                <pt idx="31">
                  <v>0.0388769479447087</v>
                </pt>
                <pt idx="32">
                  <v>0.02593285017943629</v>
                </pt>
                <pt idx="33">
                  <v>0.01746009643148906</v>
                </pt>
                <pt idx="34">
                  <v>0.007029306005813504</v>
                </pt>
                <pt idx="35">
                  <v>0.003243365391886713</v>
                </pt>
                <pt idx="36">
                  <v>0.006675315547248087</v>
                </pt>
                <pt idx="37">
                  <v>0.0173995712330029</v>
                </pt>
                <pt idx="38">
                  <v>0.06195507058644287</v>
                </pt>
                <pt idx="39">
                  <v>0.08404056603836467</v>
                </pt>
                <pt idx="40">
                  <v>0.09687689142031611</v>
                </pt>
                <pt idx="41">
                  <v>0.09496202074431148</v>
                </pt>
                <pt idx="42">
                  <v>0.09963556652585577</v>
                </pt>
                <pt idx="43">
                  <v>0.08962697832526678</v>
                </pt>
                <pt idx="44">
                  <v>0.06604649859170474</v>
                </pt>
                <pt idx="45">
                  <v>0.03746941447765471</v>
                </pt>
                <pt idx="46">
                  <v>0.01046932675470221</v>
                </pt>
                <pt idx="47">
                  <v>0.006229164645196865</v>
                </pt>
                <pt idx="48">
                  <v>0.01246069427686292</v>
                </pt>
                <pt idx="49">
                  <v>0.03437640419176364</v>
                </pt>
                <pt idx="50">
                  <v>0.05647796857705859</v>
                </pt>
                <pt idx="51">
                  <v>0.1509467292684683</v>
                </pt>
                <pt idx="52">
                  <v>0.18600333743842</v>
                </pt>
                <pt idx="53">
                  <v>0.218925737129461</v>
                </pt>
                <pt idx="54">
                  <v>0.1892952405634502</v>
                </pt>
                <pt idx="55">
                  <v>0.1493297980639493</v>
                </pt>
                <pt idx="56">
                  <v>0.1319165438654872</v>
                </pt>
                <pt idx="57">
                  <v>0.0428648864567301</v>
                </pt>
                <pt idx="58">
                  <v>0.01600349353715238</v>
                </pt>
                <pt idx="59">
                  <v>0.006390504672696534</v>
                </pt>
                <pt idx="60">
                  <v>0.01341718605060752</v>
                </pt>
                <pt idx="61">
                  <v>0.0264362238379265</v>
                </pt>
                <pt idx="62">
                  <v>0.06623397340035048</v>
                </pt>
                <pt idx="63">
                  <v>0.1084169878649764</v>
                </pt>
                <pt idx="64">
                  <v>0.1888703164988005</v>
                </pt>
                <pt idx="65">
                  <v>0.1715230569234828</v>
                </pt>
                <pt idx="66">
                  <v>0.1809062055635286</v>
                </pt>
                <pt idx="67">
                  <v>0.155121531117258</v>
                </pt>
                <pt idx="68">
                  <v>0.1275567235314205</v>
                </pt>
                <pt idx="69">
                  <v>0.06287376784741511</v>
                </pt>
                <pt idx="70">
                  <v>0.01780902737610289</v>
                </pt>
                <pt idx="71">
                  <v>0.006785797568345668</v>
                </pt>
                <pt idx="72">
                  <v>0.01366055484422285</v>
                </pt>
                <pt idx="73">
                  <v>0.04341993481717769</v>
                </pt>
                <pt idx="74">
                  <v>0.1120694547038418</v>
                </pt>
                <pt idx="75">
                  <v>0.1482754875605271</v>
                </pt>
                <pt idx="76">
                  <v>0.1924446817596716</v>
                </pt>
                <pt idx="77">
                  <v>0.1878482923852328</v>
                </pt>
                <pt idx="78">
                  <v>0.2182818884824121</v>
                </pt>
                <pt idx="79">
                  <v>0.1901168401280812</v>
                </pt>
                <pt idx="80">
                  <v>0.1381615272451792</v>
                </pt>
                <pt idx="81">
                  <v>0.06946207120205163</v>
                </pt>
                <pt idx="82">
                  <v>0.02660497040214753</v>
                </pt>
                <pt idx="83">
                  <v>0.0140253486520015</v>
                </pt>
              </numCache>
            </numRef>
          </val>
          <smooth val="1"/>
        </ser>
        <ser>
          <idx val="1"/>
          <order val="1"/>
          <tx>
            <strRef>
              <f>'Capture Price Inputs'!$G$1</f>
              <strCache>
                <ptCount val="1"/>
                <pt idx="0">
                  <v>DK2 Solar Penetration (%) — Robustness</v>
                </pt>
              </strCache>
            </strRef>
          </tx>
          <spPr>
            <a:ln xmlns:a="http://schemas.openxmlformats.org/drawingml/2006/main">
              <a:solidFill>
                <a:srgbClr val="FFD700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val>
            <numRef>
              <f>'Capture Price Inputs'!$G$2:$G$85</f>
              <numCache>
                <formatCode>General</formatCode>
                <ptCount val="84"/>
                <pt idx="0">
                  <v>0</v>
                </pt>
                <pt idx="1">
                  <v>0</v>
                </pt>
                <pt idx="2">
                  <v>0</v>
                </pt>
                <pt idx="3">
                  <v>0</v>
                </pt>
                <pt idx="4">
                  <v>0</v>
                </pt>
                <pt idx="5">
                  <v>0</v>
                </pt>
                <pt idx="6">
                  <v>0</v>
                </pt>
                <pt idx="7">
                  <v>0</v>
                </pt>
                <pt idx="8">
                  <v>0</v>
                </pt>
                <pt idx="9">
                  <v>0</v>
                </pt>
                <pt idx="10">
                  <v>0</v>
                </pt>
                <pt idx="11">
                  <v>0</v>
                </pt>
                <pt idx="12">
                  <v>0.001864323044087839</v>
                </pt>
                <pt idx="13">
                  <v>0.004961339344807235</v>
                </pt>
                <pt idx="14">
                  <v>0.01532033335337761</v>
                </pt>
                <pt idx="15">
                  <v>0.02618059513454593</v>
                </pt>
                <pt idx="16">
                  <v>0.03224093077416624</v>
                </pt>
                <pt idx="17">
                  <v>0.03065181208815584</v>
                </pt>
                <pt idx="18">
                  <v>0.02998206800974695</v>
                </pt>
                <pt idx="19">
                  <v>0.02803471341430708</v>
                </pt>
                <pt idx="20">
                  <v>0.02173647910159525</v>
                </pt>
                <pt idx="21">
                  <v>0.01107911770574695</v>
                </pt>
                <pt idx="22">
                  <v>0.0001104461157833284</v>
                </pt>
                <pt idx="23">
                  <v>5.635243358406259e-06</v>
                </pt>
                <pt idx="24">
                  <v>0.003104474131982996</v>
                </pt>
                <pt idx="25">
                  <v>0.009248336948772359</v>
                </pt>
                <pt idx="26">
                  <v>0.01847451704521283</v>
                </pt>
                <pt idx="27">
                  <v>0.03269440748331279</v>
                </pt>
                <pt idx="28">
                  <v>0.03294582929454019</v>
                </pt>
                <pt idx="29">
                  <v>0.04448013314005607</v>
                </pt>
                <pt idx="30">
                  <v>0.03704954253730217</v>
                </pt>
                <pt idx="31">
                  <v>0.03185776883426199</v>
                </pt>
                <pt idx="32">
                  <v>0.0223981137027396</v>
                </pt>
                <pt idx="33">
                  <v>0.01267326343754744</v>
                </pt>
                <pt idx="34">
                  <v>0.004013281085791027</v>
                </pt>
                <pt idx="35">
                  <v>0.001822629583826099</v>
                </pt>
                <pt idx="36">
                  <v>0.004939556742877535</v>
                </pt>
                <pt idx="37">
                  <v>0.01324848558669828</v>
                </pt>
                <pt idx="38">
                  <v>0.03408933034912105</v>
                </pt>
                <pt idx="39">
                  <v>0.05525443609957865</v>
                </pt>
                <pt idx="40">
                  <v>0.06581145996085939</v>
                </pt>
                <pt idx="41">
                  <v>0.06452822904586782</v>
                </pt>
                <pt idx="42">
                  <v>0.06702580380195292</v>
                </pt>
                <pt idx="43">
                  <v>0.06129992439719582</v>
                </pt>
                <pt idx="44">
                  <v>0.04578427610350702</v>
                </pt>
                <pt idx="45">
                  <v>0.0298090580270354</v>
                </pt>
                <pt idx="46">
                  <v>0.007865295261900549</v>
                </pt>
                <pt idx="47">
                  <v>0.004532355552973548</v>
                </pt>
                <pt idx="48">
                  <v>0.005862652723136608</v>
                </pt>
                <pt idx="49">
                  <v>0.01887764841837355</v>
                </pt>
                <pt idx="50">
                  <v>0.03709622939200571</v>
                </pt>
                <pt idx="51">
                  <v>0.08026996603382495</v>
                </pt>
                <pt idx="52">
                  <v>0.1080032082802261</v>
                </pt>
                <pt idx="53">
                  <v>0.1144244665352921</v>
                </pt>
                <pt idx="54">
                  <v>0.1020307450715976</v>
                </pt>
                <pt idx="55">
                  <v>0.07793101053296771</v>
                </pt>
                <pt idx="56">
                  <v>0.08090995463931874</v>
                </pt>
                <pt idx="57">
                  <v>0.02917234021559438</v>
                </pt>
                <pt idx="58">
                  <v>0.0104098691216888</v>
                </pt>
                <pt idx="59">
                  <v>0.003809030164374855</v>
                </pt>
                <pt idx="60">
                  <v>0.006178183072975508</v>
                </pt>
                <pt idx="61">
                  <v>0.01667231366864759</v>
                </pt>
                <pt idx="62">
                  <v>0.04111280636733766</v>
                </pt>
                <pt idx="63">
                  <v>0.06512337874480645</v>
                </pt>
                <pt idx="64">
                  <v>0.106315341440858</v>
                </pt>
                <pt idx="65">
                  <v>0.1072729076610999</v>
                </pt>
                <pt idx="66">
                  <v>0.1057942634887733</v>
                </pt>
                <pt idx="67">
                  <v>0.0936908322687052</v>
                </pt>
                <pt idx="68">
                  <v>0.07246320282040017</v>
                </pt>
                <pt idx="69">
                  <v>0.03614525389237988</v>
                </pt>
                <pt idx="70">
                  <v>0.008602841405423608</v>
                </pt>
                <pt idx="71">
                  <v>0.004171468465776758</v>
                </pt>
                <pt idx="72">
                  <v>0.007223240212576967</v>
                </pt>
                <pt idx="73">
                  <v>0.02010831138567791</v>
                </pt>
                <pt idx="74">
                  <v>0.04654786644745259</v>
                </pt>
                <pt idx="75">
                  <v>0.07168978364906199</v>
                </pt>
                <pt idx="76">
                  <v>0.09471412725623395</v>
                </pt>
                <pt idx="77">
                  <v>0.09982625001551076</v>
                </pt>
                <pt idx="78">
                  <v>0.09399641941869914</v>
                </pt>
                <pt idx="79">
                  <v>0.1057378118957395</v>
                </pt>
                <pt idx="80">
                  <v>0.09062887968652376</v>
                </pt>
                <pt idx="81">
                  <v>0.03957312567862663</v>
                </pt>
                <pt idx="82">
                  <v>0.01454364344794783</v>
                </pt>
                <pt idx="83">
                  <v>0.00906949116088333</v>
                </pt>
              </numCache>
            </numRef>
          </val>
          <smooth val="1"/>
        </ser>
        <dLbls>
          <showLegendKey val="0"/>
          <showVal val="0"/>
          <showCatName val="0"/>
          <showSerName val="0"/>
          <showPercent val="0"/>
          <showBubbleSize val="0"/>
        </dLbls>
        <smooth val="0"/>
        <axId val="10"/>
        <axId val="100"/>
      </lineChart>
      <catAx>
        <axId val="10"/>
        <scaling>
          <orientation val="minMax"/>
        </scaling>
        <delete val="1"/>
        <axPos val="b"/>
        <title>
          <tx>
            <rich>
              <a:bodyPr xmlns:a="http://schemas.openxmlformats.org/drawingml/2006/main"/>
              <a:lstStyle xmlns:a="http://schemas.openxmlformats.org/drawingml/2006/main"/>
              <a:p xmlns:a="http://schemas.openxmlformats.org/drawingml/2006/main">
                <a:pPr>
                  <a:defRPr/>
                </a:pPr>
                <a:r>
                  <a:rPr lang="en-GB"/>
                  <a:t>Month</a:t>
                </a:r>
              </a:p>
            </rich>
          </tx>
          <overlay val="1"/>
        </title>
        <majorTickMark val="none"/>
        <minorTickMark val="none"/>
        <tickLblPos val="nextTo"/>
        <crossAx val="100"/>
        <crosses val="autoZero"/>
        <auto val="1"/>
        <lblAlgn val="ctr"/>
        <lblOffset val="100"/>
        <noMultiLvlLbl val="1"/>
      </catAx>
      <valAx>
        <axId val="100"/>
        <scaling>
          <orientation val="minMax"/>
        </scaling>
        <delete val="1"/>
        <axPos val="l"/>
        <majorGridlines/>
        <title>
          <tx>
            <rich>
              <a:bodyPr xmlns:a="http://schemas.openxmlformats.org/drawingml/2006/main"/>
              <a:lstStyle xmlns:a="http://schemas.openxmlformats.org/drawingml/2006/main"/>
              <a:p xmlns:a="http://schemas.openxmlformats.org/drawingml/2006/main">
                <a:pPr>
                  <a:defRPr/>
                </a:pPr>
                <a:r>
                  <a:rPr lang="en-GB"/>
                  <a:t>Solar Penetration (%)</a:t>
                </a:r>
              </a:p>
            </rich>
          </tx>
          <overlay val="1"/>
        </title>
        <numFmt formatCode="General" sourceLinked="1"/>
        <majorTickMark val="none"/>
        <minorTickMark val="none"/>
        <tickLblPos val="nextTo"/>
        <crossAx val="10"/>
        <crosses val="autoZero"/>
        <crossBetween val="between"/>
      </valAx>
    </plotArea>
    <legend>
      <legendPos val="r"/>
      <overlay val="1"/>
    </legend>
    <plotVisOnly val="1"/>
    <dispBlanksAs val="gap"/>
  </chart>
</chartSpace>
</file>

<file path=xl/charts/chart73.xml><?xml version="1.0" encoding="utf-8"?>
<chartSpace xmlns="http://schemas.openxmlformats.org/drawingml/2006/chart">
  <chart>
    <title>
      <tx>
        <rich>
          <a:bodyPr xmlns:a="http://schemas.openxmlformats.org/drawingml/2006/main"/>
          <a:lstStyle xmlns:a="http://schemas.openxmlformats.org/drawingml/2006/main"/>
          <a:p xmlns:a="http://schemas.openxmlformats.org/drawingml/2006/main">
            <a:pPr>
              <a:defRPr/>
            </a:pPr>
            <a:r>
              <a:rPr lang="en-GB"/>
              <a:t>Capture Price - DK1 Primary | DK2 Robustness</a:t>
            </a:r>
          </a:p>
        </rich>
      </tx>
      <overlay val="1"/>
    </title>
    <plotArea>
      <layout/>
      <lineChart>
        <grouping val="standard"/>
        <varyColors val="1"/>
        <ser>
          <idx val="0"/>
          <order val="0"/>
          <tx>
            <strRef>
              <f>'Capture Price Inputs'!$H$1</f>
              <strCache>
                <ptCount val="1"/>
                <pt idx="0">
                  <v>DK1 Capture Price (EUR/MWh) — Primary</v>
                </pt>
              </strCache>
            </strRef>
          </tx>
          <spPr>
            <a:ln xmlns:a="http://schemas.openxmlformats.org/drawingml/2006/main">
              <a:solidFill>
                <a:srgbClr val="2E75B6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val>
            <numRef>
              <f>'Capture Price Inputs'!$H$2:$H$85</f>
              <numCache>
                <formatCode>General</formatCode>
                <ptCount val="84"/>
                <pt idx="12">
                  <v>25.22320957280251</v>
                </pt>
                <pt idx="13">
                  <v>22.83581899109792</v>
                </pt>
                <pt idx="14">
                  <v>15.94107348554973</v>
                </pt>
                <pt idx="15">
                  <v>10.36487590420421</v>
                </pt>
                <pt idx="16">
                  <v>15.478548945086</v>
                </pt>
                <pt idx="17">
                  <v>27.31330822786869</v>
                </pt>
                <pt idx="18">
                  <v>24.83174517810916</v>
                </pt>
                <pt idx="19">
                  <v>33.87691542204785</v>
                </pt>
                <pt idx="20">
                  <v>38.93597900337959</v>
                </pt>
                <pt idx="21">
                  <v>31.92774153305919</v>
                </pt>
                <pt idx="22">
                  <v>26.00599326599326</v>
                </pt>
                <pt idx="23">
                  <v>34.79516129032258</v>
                </pt>
                <pt idx="24">
                  <v>55.42296760727792</v>
                </pt>
                <pt idx="25">
                  <v>47.54261097914259</v>
                </pt>
                <pt idx="26">
                  <v>44.55070091580549</v>
                </pt>
                <pt idx="27">
                  <v>43.594739828473</v>
                </pt>
                <pt idx="28">
                  <v>47.65587057500122</v>
                </pt>
                <pt idx="29">
                  <v>70.54354791111106</v>
                </pt>
                <pt idx="30">
                  <v>78.56831974775861</v>
                </pt>
                <pt idx="31">
                  <v>81.98335113640179</v>
                </pt>
                <pt idx="32">
                  <v>116.2002249554484</v>
                </pt>
                <pt idx="33">
                  <v>126.5303952032395</v>
                </pt>
                <pt idx="34">
                  <v>160.7705833010295</v>
                </pt>
                <pt idx="35">
                  <v>228.8621705579358</v>
                </pt>
                <pt idx="36">
                  <v>123.2012506791719</v>
                </pt>
                <pt idx="37">
                  <v>117.67077903546</v>
                </pt>
                <pt idx="38">
                  <v>191.508071735067</v>
                </pt>
                <pt idx="39">
                  <v>145.7013871592604</v>
                </pt>
                <pt idx="40">
                  <v>149.4185612445558</v>
                </pt>
                <pt idx="41">
                  <v>194.7110340948198</v>
                </pt>
                <pt idx="42">
                  <v>239.3981525107354</v>
                </pt>
                <pt idx="43">
                  <v>419.792637226606</v>
                </pt>
                <pt idx="44">
                  <v>310.7073992726671</v>
                </pt>
                <pt idx="45">
                  <v>125.6295598680838</v>
                </pt>
                <pt idx="46">
                  <v>131.7111886265582</v>
                </pt>
                <pt idx="47">
                  <v>282.8237937420726</v>
                </pt>
                <pt idx="48">
                  <v>138.5299886842633</v>
                </pt>
                <pt idx="49">
                  <v>109.8769757213503</v>
                </pt>
                <pt idx="50">
                  <v>93.77419094069538</v>
                </pt>
                <pt idx="51">
                  <v>76.25042822265543</v>
                </pt>
                <pt idx="52">
                  <v>50.54348776008261</v>
                </pt>
                <pt idx="53">
                  <v>74.88898277621806</v>
                </pt>
                <pt idx="54">
                  <v>52.09559943846345</v>
                </pt>
                <pt idx="55">
                  <v>74.18042603997819</v>
                </pt>
                <pt idx="56">
                  <v>68.11686962339694</v>
                </pt>
                <pt idx="57">
                  <v>50.53909051970285</v>
                </pt>
                <pt idx="58">
                  <v>90.68080556242518</v>
                </pt>
                <pt idx="59">
                  <v>63.45532768878803</v>
                </pt>
                <pt idx="60">
                  <v>78.57131644167831</v>
                </pt>
                <pt idx="61">
                  <v>59.47948676805509</v>
                </pt>
                <pt idx="62">
                  <v>51.26978324155493</v>
                </pt>
                <pt idx="63">
                  <v>49.38394056201121</v>
                </pt>
                <pt idx="64">
                  <v>35.89414827140887</v>
                </pt>
                <pt idx="65">
                  <v>47.03763372739765</v>
                </pt>
                <pt idx="66">
                  <v>42.52177322309952</v>
                </pt>
                <pt idx="67">
                  <v>52.17121747504909</v>
                </pt>
                <pt idx="68">
                  <v>45.64750462621701</v>
                </pt>
                <pt idx="69">
                  <v>58.44158378709199</v>
                </pt>
                <pt idx="70">
                  <v>97.58235261633192</v>
                </pt>
                <pt idx="71">
                  <v>92.07321769383398</v>
                </pt>
                <pt idx="72">
                  <v>111.1945655985155</v>
                </pt>
                <pt idx="73">
                  <v>105.4131597378828</v>
                </pt>
                <pt idx="74">
                  <v>57.84566339627056</v>
                </pt>
                <pt idx="75">
                  <v>45.84439577068735</v>
                </pt>
                <pt idx="76">
                  <v>40.06566739400938</v>
                </pt>
                <pt idx="77">
                  <v>33.4933819651966</v>
                </pt>
                <pt idx="78">
                  <v>61.32224821093979</v>
                </pt>
                <pt idx="79">
                  <v>47.75582456745756</v>
                </pt>
                <pt idx="80">
                  <v>49.42909499605724</v>
                </pt>
                <pt idx="81">
                  <v>74.26663453789526</v>
                </pt>
                <pt idx="82">
                  <v>95.56453180252134</v>
                </pt>
                <pt idx="83">
                  <v>80.95803424278026</v>
                </pt>
              </numCache>
            </numRef>
          </val>
          <smooth val="1"/>
        </ser>
        <ser>
          <idx val="1"/>
          <order val="1"/>
          <tx>
            <strRef>
              <f>'Capture Price Inputs'!$I$1</f>
              <strCache>
                <ptCount val="1"/>
                <pt idx="0">
                  <v>DK2 Capture Price (EUR/MWh) — Robustness</v>
                </pt>
              </strCache>
            </strRef>
          </tx>
          <spPr>
            <a:ln xmlns:a="http://schemas.openxmlformats.org/drawingml/2006/main">
              <a:solidFill>
                <a:srgbClr val="9DC3E6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val>
            <numRef>
              <f>'Capture Price Inputs'!$I$2:$I$85</f>
              <numCache>
                <formatCode>General</formatCode>
                <ptCount val="84"/>
                <pt idx="12">
                  <v>29.86213642213642</v>
                </pt>
                <pt idx="13">
                  <v>23.55551782972189</v>
                </pt>
                <pt idx="14">
                  <v>17.14905069226102</v>
                </pt>
                <pt idx="15">
                  <v>13.25252312836708</v>
                </pt>
                <pt idx="16">
                  <v>18.59404938271605</v>
                </pt>
                <pt idx="17">
                  <v>35.21078005032583</v>
                </pt>
                <pt idx="18">
                  <v>26.450778046867</v>
                </pt>
                <pt idx="19">
                  <v>44.11376501540486</v>
                </pt>
                <pt idx="20">
                  <v>41.85304788087056</v>
                </pt>
                <pt idx="21">
                  <v>33.60087837290333</v>
                </pt>
                <pt idx="22">
                  <v>37.749765625</v>
                </pt>
                <pt idx="23">
                  <v>44.19142857142857</v>
                </pt>
                <pt idx="24">
                  <v>57.07213441008145</v>
                </pt>
                <pt idx="25">
                  <v>52.28508365452458</v>
                </pt>
                <pt idx="26">
                  <v>47.42264301189781</v>
                </pt>
                <pt idx="27">
                  <v>45.90136374824883</v>
                </pt>
                <pt idx="28">
                  <v>50.2587202314608</v>
                </pt>
                <pt idx="29">
                  <v>69.46934165377623</v>
                </pt>
                <pt idx="30">
                  <v>77.93311155139432</v>
                </pt>
                <pt idx="31">
                  <v>84.51274769025703</v>
                </pt>
                <pt idx="32">
                  <v>118.7457227855615</v>
                </pt>
                <pt idx="33">
                  <v>122.3841235967906</v>
                </pt>
                <pt idx="34">
                  <v>153.6267942781575</v>
                </pt>
                <pt idx="35">
                  <v>244.4872785976441</v>
                </pt>
                <pt idx="36">
                  <v>129.6774902315082</v>
                </pt>
                <pt idx="37">
                  <v>108.8033389925641</v>
                </pt>
                <pt idx="38">
                  <v>186.0504424586062</v>
                </pt>
                <pt idx="39">
                  <v>143.5375888642185</v>
                </pt>
                <pt idx="40">
                  <v>146.2536023446033</v>
                </pt>
                <pt idx="41">
                  <v>192.2325905808319</v>
                </pt>
                <pt idx="42">
                  <v>212.3625858003895</v>
                </pt>
                <pt idx="43">
                  <v>397.1798848597606</v>
                </pt>
                <pt idx="44">
                  <v>315.928842796779</v>
                </pt>
                <pt idx="45">
                  <v>120.1190076327392</v>
                </pt>
                <pt idx="46">
                  <v>134.0399027878758</v>
                </pt>
                <pt idx="47">
                  <v>303.2697848166857</v>
                </pt>
                <pt idx="48">
                  <v>120.8992864784306</v>
                </pt>
                <pt idx="49">
                  <v>103.112625406295</v>
                </pt>
                <pt idx="50">
                  <v>89.0984689216417</v>
                </pt>
                <pt idx="51">
                  <v>71.1250997055942</v>
                </pt>
                <pt idx="52">
                  <v>48.35808379645633</v>
                </pt>
                <pt idx="53">
                  <v>71.8620903722224</v>
                </pt>
                <pt idx="54">
                  <v>50.34596661709235</v>
                </pt>
                <pt idx="55">
                  <v>72.95799234798741</v>
                </pt>
                <pt idx="56">
                  <v>64.3944846724649</v>
                </pt>
                <pt idx="57">
                  <v>47.66025509428685</v>
                </pt>
                <pt idx="58">
                  <v>84.63997860526599</v>
                </pt>
                <pt idx="59">
                  <v>59.06174633307972</v>
                </pt>
                <pt idx="60">
                  <v>76.42720253521921</v>
                </pt>
                <pt idx="61">
                  <v>51.43437919654775</v>
                </pt>
                <pt idx="62">
                  <v>50.75116381305344</v>
                </pt>
                <pt idx="63">
                  <v>47.053967904828</v>
                </pt>
                <pt idx="64">
                  <v>34.29579411369289</v>
                </pt>
                <pt idx="65">
                  <v>46.37938403458337</v>
                </pt>
                <pt idx="66">
                  <v>38.81282196947117</v>
                </pt>
                <pt idx="67">
                  <v>47.15186311829253</v>
                </pt>
                <pt idx="68">
                  <v>43.35594635084219</v>
                </pt>
                <pt idx="69">
                  <v>59.53493763028656</v>
                </pt>
                <pt idx="70">
                  <v>89.61127747791728</v>
                </pt>
                <pt idx="71">
                  <v>100.7961313991171</v>
                </pt>
                <pt idx="72">
                  <v>115.0822593270056</v>
                </pt>
                <pt idx="73">
                  <v>106.9231820731682</v>
                </pt>
                <pt idx="74">
                  <v>50.01806296126875</v>
                </pt>
                <pt idx="75">
                  <v>41.82584156307518</v>
                </pt>
                <pt idx="76">
                  <v>34.32066034459122</v>
                </pt>
                <pt idx="77">
                  <v>24.31568572006325</v>
                </pt>
                <pt idx="78">
                  <v>59.76694388214769</v>
                </pt>
                <pt idx="79">
                  <v>43.06460478354486</v>
                </pt>
                <pt idx="80">
                  <v>52.94940515380836</v>
                </pt>
                <pt idx="81">
                  <v>78.64573032240668</v>
                </pt>
                <pt idx="82">
                  <v>92.69045487153267</v>
                </pt>
                <pt idx="83">
                  <v>79.63122802208366</v>
                </pt>
              </numCache>
            </numRef>
          </val>
          <smooth val="1"/>
        </ser>
        <dLbls>
          <showLegendKey val="0"/>
          <showVal val="0"/>
          <showCatName val="0"/>
          <showSerName val="0"/>
          <showPercent val="0"/>
          <showBubbleSize val="0"/>
        </dLbls>
        <smooth val="0"/>
        <axId val="10"/>
        <axId val="100"/>
      </lineChart>
      <catAx>
        <axId val="10"/>
        <scaling>
          <orientation val="minMax"/>
        </scaling>
        <delete val="1"/>
        <axPos val="b"/>
        <title>
          <tx>
            <rich>
              <a:bodyPr xmlns:a="http://schemas.openxmlformats.org/drawingml/2006/main"/>
              <a:lstStyle xmlns:a="http://schemas.openxmlformats.org/drawingml/2006/main"/>
              <a:p xmlns:a="http://schemas.openxmlformats.org/drawingml/2006/main">
                <a:pPr>
                  <a:defRPr/>
                </a:pPr>
                <a:r>
                  <a:rPr lang="en-GB"/>
                  <a:t>Month</a:t>
                </a:r>
              </a:p>
            </rich>
          </tx>
          <overlay val="1"/>
        </title>
        <majorTickMark val="none"/>
        <minorTickMark val="none"/>
        <tickLblPos val="nextTo"/>
        <crossAx val="100"/>
        <crosses val="autoZero"/>
        <auto val="1"/>
        <lblAlgn val="ctr"/>
        <lblOffset val="100"/>
        <noMultiLvlLbl val="1"/>
      </catAx>
      <valAx>
        <axId val="100"/>
        <scaling>
          <orientation val="minMax"/>
        </scaling>
        <delete val="1"/>
        <axPos val="l"/>
        <majorGridlines/>
        <title>
          <tx>
            <rich>
              <a:bodyPr xmlns:a="http://schemas.openxmlformats.org/drawingml/2006/main"/>
              <a:lstStyle xmlns:a="http://schemas.openxmlformats.org/drawingml/2006/main"/>
              <a:p xmlns:a="http://schemas.openxmlformats.org/drawingml/2006/main">
                <a:pPr>
                  <a:defRPr/>
                </a:pPr>
                <a:r>
                  <a:rPr lang="en-GB"/>
                  <a:t>EUR/MWh</a:t>
                </a:r>
              </a:p>
            </rich>
          </tx>
          <overlay val="1"/>
        </title>
        <numFmt formatCode="General" sourceLinked="1"/>
        <majorTickMark val="none"/>
        <minorTickMark val="none"/>
        <tickLblPos val="nextTo"/>
        <crossAx val="10"/>
        <crosses val="autoZero"/>
        <crossBetween val="between"/>
      </valAx>
    </plotArea>
    <legend>
      <legendPos val="r"/>
      <overlay val="1"/>
    </legend>
    <plotVisOnly val="1"/>
    <dispBlanksAs val="gap"/>
  </chart>
</chartSpace>
</file>

<file path=xl/charts/chart74.xml><?xml version="1.0" encoding="utf-8"?>
<chartSpace xmlns="http://schemas.openxmlformats.org/drawingml/2006/chart">
  <chart>
    <title>
      <tx>
        <rich>
          <a:bodyPr xmlns:a="http://schemas.openxmlformats.org/drawingml/2006/main"/>
          <a:lstStyle xmlns:a="http://schemas.openxmlformats.org/drawingml/2006/main"/>
          <a:p xmlns:a="http://schemas.openxmlformats.org/drawingml/2006/main">
            <a:pPr>
              <a:defRPr/>
            </a:pPr>
            <a:r>
              <a:rPr lang="en-GB"/>
              <a:t>Capture Price Ratio - DK1 Primary | DK2 Robustness</a:t>
            </a:r>
          </a:p>
        </rich>
      </tx>
      <overlay val="1"/>
    </title>
    <plotArea>
      <layout/>
      <lineChart>
        <grouping val="standard"/>
        <varyColors val="1"/>
        <ser>
          <idx val="0"/>
          <order val="0"/>
          <tx>
            <strRef>
              <f>'Capture Price Inputs'!$J$1</f>
              <strCache>
                <ptCount val="1"/>
                <pt idx="0">
                  <v>DK1 CPR — Primary</v>
                </pt>
              </strCache>
            </strRef>
          </tx>
          <spPr>
            <a:ln xmlns:a="http://schemas.openxmlformats.org/drawingml/2006/main">
              <a:solidFill>
                <a:srgbClr val="2E75B6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val>
            <numRef>
              <f>'Capture Price Inputs'!$J$2:$J$85</f>
              <numCache>
                <formatCode>General</formatCode>
                <ptCount val="84"/>
                <pt idx="12">
                  <v>1.009148659447442</v>
                </pt>
                <pt idx="13">
                  <v>1.298591168695051</v>
                </pt>
                <pt idx="14">
                  <v>0.8710146939215303</v>
                </pt>
                <pt idx="15">
                  <v>0.7131577255881921</v>
                </pt>
                <pt idx="16">
                  <v>0.9641557693120565</v>
                </pt>
                <pt idx="17">
                  <v>1.039466413731094</v>
                </pt>
                <pt idx="18">
                  <v>1.008618155660831</v>
                </pt>
                <pt idx="19">
                  <v>0.9808226440750074</v>
                </pt>
                <pt idx="20">
                  <v>1.010404486913005</v>
                </pt>
                <pt idx="21">
                  <v>1.236802226812374</v>
                </pt>
                <pt idx="22">
                  <v>1.094777917215692</v>
                </pt>
                <pt idx="23">
                  <v>1.008230164182662</v>
                </pt>
                <pt idx="24">
                  <v>1.103930861568265</v>
                </pt>
                <pt idx="25">
                  <v>1.005947927705425</v>
                </pt>
                <pt idx="26">
                  <v>0.9871758725122356</v>
                </pt>
                <pt idx="27">
                  <v>0.9088464745665017</v>
                </pt>
                <pt idx="28">
                  <v>0.8775180518715436</v>
                </pt>
                <pt idx="29">
                  <v>0.9569142795347317</v>
                </pt>
                <pt idx="30">
                  <v>0.9821132371596978</v>
                </pt>
                <pt idx="31">
                  <v>0.9902714780245057</v>
                </pt>
                <pt idx="32">
                  <v>0.9269044048361358</v>
                </pt>
                <pt idx="33">
                  <v>1.081088507413439</v>
                </pt>
                <pt idx="34">
                  <v>1.133803408504466</v>
                </pt>
                <pt idx="35">
                  <v>1.208676962454928</v>
                </pt>
                <pt idx="36">
                  <v>1.044125730427727</v>
                </pt>
                <pt idx="37">
                  <v>1.04022281700981</v>
                </pt>
                <pt idx="38">
                  <v>0.8120775904420741</v>
                </pt>
                <pt idx="39">
                  <v>0.8903913338467833</v>
                </pt>
                <pt idx="40">
                  <v>0.8694301605049858</v>
                </pt>
                <pt idx="41">
                  <v>0.9080390201234191</v>
                </pt>
                <pt idx="42">
                  <v>0.8704179159294955</v>
                </pt>
                <pt idx="43">
                  <v>0.9190855304670003</v>
                </pt>
                <pt idx="44">
                  <v>0.9063290180568312</v>
                </pt>
                <pt idx="45">
                  <v>0.9161232525396177</v>
                </pt>
                <pt idx="46">
                  <v>0.9427861207466001</v>
                </pt>
                <pt idx="47">
                  <v>1.132810339248927</v>
                </pt>
                <pt idx="48">
                  <v>1.230919869122654</v>
                </pt>
                <pt idx="49">
                  <v>0.93008781340266</v>
                </pt>
                <pt idx="50">
                  <v>0.9461253975959896</v>
                </pt>
                <pt idx="51">
                  <v>0.7920396612038634</v>
                </pt>
                <pt idx="52">
                  <v>0.6833361056151995</v>
                </pt>
                <pt idx="53">
                  <v>0.8096506208621567</v>
                </pt>
                <pt idx="54">
                  <v>0.8038042195326093</v>
                </pt>
                <pt idx="55">
                  <v>0.8628930977720407</v>
                </pt>
                <pt idx="56">
                  <v>0.8038389922187259</v>
                </pt>
                <pt idx="57">
                  <v>0.8408360556054226</v>
                </pt>
                <pt idx="58">
                  <v>1.028656893611996</v>
                </pt>
                <pt idx="59">
                  <v>0.9132560776287663</v>
                </pt>
                <pt idx="60">
                  <v>1.051614630458469</v>
                </pt>
                <pt idx="61">
                  <v>1.014420829179444</v>
                </pt>
                <pt idx="62">
                  <v>0.8373818542217274</v>
                </pt>
                <pt idx="63">
                  <v>0.8346846016164379</v>
                </pt>
                <pt idx="64">
                  <v>0.6133984536650869</v>
                </pt>
                <pt idx="65">
                  <v>0.7378100322386865</v>
                </pt>
                <pt idx="66">
                  <v>0.685499494870618</v>
                </pt>
                <pt idx="67">
                  <v>0.7151267621934952</v>
                </pt>
                <pt idx="68">
                  <v>0.636525223039573</v>
                </pt>
                <pt idx="69">
                  <v>0.7617518807592967</v>
                </pt>
                <pt idx="70">
                  <v>1.017494003861172</v>
                </pt>
                <pt idx="71">
                  <v>1.002567416041121</v>
                </pt>
                <pt idx="72">
                  <v>1.135032584901597</v>
                </pt>
                <pt idx="73">
                  <v>0.9341166514187298</v>
                </pt>
                <pt idx="74">
                  <v>0.6857908168802248</v>
                </pt>
                <pt idx="75">
                  <v>0.609953535618325</v>
                </pt>
                <pt idx="76">
                  <v>0.6237511742318941</v>
                </pt>
                <pt idx="77">
                  <v>0.569764321286333</v>
                </pt>
                <pt idx="78">
                  <v>0.7405896710838001</v>
                </pt>
                <pt idx="79">
                  <v>0.6499711234459455</v>
                </pt>
                <pt idx="80">
                  <v>0.6827347489865859</v>
                </pt>
                <pt idx="81">
                  <v>0.9470151719348058</v>
                </pt>
                <pt idx="82">
                  <v>1.028976430956097</v>
                </pt>
                <pt idx="83">
                  <v>0.9820538861792604</v>
                </pt>
              </numCache>
            </numRef>
          </val>
          <smooth val="1"/>
        </ser>
        <ser>
          <idx val="1"/>
          <order val="1"/>
          <tx>
            <strRef>
              <f>'Capture Price Inputs'!$K$1</f>
              <strCache>
                <ptCount val="1"/>
                <pt idx="0">
                  <v>DK2 CPR — Robustness</v>
                </pt>
              </strCache>
            </strRef>
          </tx>
          <spPr>
            <a:ln xmlns:a="http://schemas.openxmlformats.org/drawingml/2006/main">
              <a:solidFill>
                <a:srgbClr val="9DC3E6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val>
            <numRef>
              <f>'Capture Price Inputs'!$K$2:$K$85</f>
              <numCache>
                <formatCode>General</formatCode>
                <ptCount val="84"/>
                <pt idx="12">
                  <v>1.090446324793763</v>
                </pt>
                <pt idx="13">
                  <v>1.251821301318464</v>
                </pt>
                <pt idx="14">
                  <v>0.8552077585127711</v>
                </pt>
                <pt idx="15">
                  <v>0.763620235478716</v>
                </pt>
                <pt idx="16">
                  <v>0.9763693823354528</v>
                </pt>
                <pt idx="17">
                  <v>1.180647007173951</v>
                </pt>
                <pt idx="18">
                  <v>1.021791049952987</v>
                </pt>
                <pt idx="19">
                  <v>1.077948442472481</v>
                </pt>
                <pt idx="20">
                  <v>1.059189092335807</v>
                </pt>
                <pt idx="21">
                  <v>1.247549053102559</v>
                </pt>
                <pt idx="22">
                  <v>1.057080411727209</v>
                </pt>
                <pt idx="23">
                  <v>1.125691191699302</v>
                </pt>
                <pt idx="24">
                  <v>1.122164979814525</v>
                </pt>
                <pt idx="25">
                  <v>0.9585139857498034</v>
                </pt>
                <pt idx="26">
                  <v>1.014774172650395</v>
                </pt>
                <pt idx="27">
                  <v>0.9590164366476613</v>
                </pt>
                <pt idx="28">
                  <v>0.9103388736117121</v>
                </pt>
                <pt idx="29">
                  <v>0.9440449187481634</v>
                </pt>
                <pt idx="30">
                  <v>0.9569285690465077</v>
                </pt>
                <pt idx="31">
                  <v>1.001768528067071</v>
                </pt>
                <pt idx="32">
                  <v>0.9583833699094481</v>
                </pt>
                <pt idx="33">
                  <v>1.144501265847132</v>
                </pt>
                <pt idx="34">
                  <v>1.126460857141801</v>
                </pt>
                <pt idx="35">
                  <v>1.279578427053047</v>
                </pt>
                <pt idx="36">
                  <v>1.161754652341282</v>
                </pt>
                <pt idx="37">
                  <v>1.084871924613185</v>
                </pt>
                <pt idx="38">
                  <v>0.8162958275837114</v>
                </pt>
                <pt idx="39">
                  <v>0.9391804877392103</v>
                </pt>
                <pt idx="40">
                  <v>0.8991456314331195</v>
                </pt>
                <pt idx="41">
                  <v>0.9015136745747578</v>
                </pt>
                <pt idx="42">
                  <v>0.909562444967756</v>
                </pt>
                <pt idx="43">
                  <v>0.8830756108422062</v>
                </pt>
                <pt idx="44">
                  <v>0.9608536982958826</v>
                </pt>
                <pt idx="45">
                  <v>0.8774354195736861</v>
                </pt>
                <pt idx="46">
                  <v>0.9240447439178995</v>
                </pt>
                <pt idx="47">
                  <v>1.218528056069729</v>
                </pt>
                <pt idx="48">
                  <v>1.21186632363043</v>
                </pt>
                <pt idx="49">
                  <v>1.024478122815962</v>
                </pt>
                <pt idx="50">
                  <v>0.992236312197012</v>
                </pt>
                <pt idx="51">
                  <v>0.8502587347820391</v>
                </pt>
                <pt idx="52">
                  <v>0.7310174827054021</v>
                </pt>
                <pt idx="53">
                  <v>0.7860381991736552</v>
                </pt>
                <pt idx="54">
                  <v>0.7717034871247128</v>
                </pt>
                <pt idx="55">
                  <v>0.8454610410569836</v>
                </pt>
                <pt idx="56">
                  <v>0.7532917330845335</v>
                </pt>
                <pt idx="57">
                  <v>0.837234490334641</v>
                </pt>
                <pt idx="58">
                  <v>1.038705241708771</v>
                </pt>
                <pt idx="59">
                  <v>0.8332670757562848</v>
                </pt>
                <pt idx="60">
                  <v>0.977144875107929</v>
                </pt>
                <pt idx="61">
                  <v>0.9399172603334611</v>
                </pt>
                <pt idx="62">
                  <v>0.8314293202728863</v>
                </pt>
                <pt idx="63">
                  <v>0.7780510745637418</v>
                </pt>
                <pt idx="64">
                  <v>0.5900556342707577</v>
                </pt>
                <pt idx="65">
                  <v>0.6943958569114143</v>
                </pt>
                <pt idx="66">
                  <v>0.6176283845394642</v>
                </pt>
                <pt idx="67">
                  <v>0.6493471479229646</v>
                </pt>
                <pt idx="68">
                  <v>0.6157480113547513</v>
                </pt>
                <pt idx="69">
                  <v>0.7800073506793195</v>
                </pt>
                <pt idx="70">
                  <v>0.9404779955101509</v>
                </pt>
                <pt idx="71">
                  <v>1.087006718547946</v>
                </pt>
                <pt idx="72">
                  <v>1.149400364807902</v>
                </pt>
                <pt idx="73">
                  <v>0.9066238427133391</v>
                </pt>
                <pt idx="74">
                  <v>0.603741164715803</v>
                </pt>
                <pt idx="75">
                  <v>0.5517436798810373</v>
                </pt>
                <pt idx="76">
                  <v>0.544059463307295</v>
                </pt>
                <pt idx="77">
                  <v>0.4307606652121766</v>
                </pt>
                <pt idx="78">
                  <v>0.7474634186196619</v>
                </pt>
                <pt idx="79">
                  <v>0.5717894234335987</v>
                </pt>
                <pt idx="80">
                  <v>0.635731600833678</v>
                </pt>
                <pt idx="81">
                  <v>0.9548084008156305</v>
                </pt>
                <pt idx="82">
                  <v>0.9892725129496999</v>
                </pt>
                <pt idx="83">
                  <v>0.9701479625359415</v>
                </pt>
              </numCache>
            </numRef>
          </val>
          <smooth val="1"/>
        </ser>
        <dLbls>
          <showLegendKey val="0"/>
          <showVal val="0"/>
          <showCatName val="0"/>
          <showSerName val="0"/>
          <showPercent val="0"/>
          <showBubbleSize val="0"/>
        </dLbls>
        <smooth val="0"/>
        <axId val="10"/>
        <axId val="100"/>
      </lineChart>
      <catAx>
        <axId val="10"/>
        <scaling>
          <orientation val="minMax"/>
        </scaling>
        <delete val="1"/>
        <axPos val="b"/>
        <title>
          <tx>
            <rich>
              <a:bodyPr xmlns:a="http://schemas.openxmlformats.org/drawingml/2006/main"/>
              <a:lstStyle xmlns:a="http://schemas.openxmlformats.org/drawingml/2006/main"/>
              <a:p xmlns:a="http://schemas.openxmlformats.org/drawingml/2006/main">
                <a:pPr>
                  <a:defRPr/>
                </a:pPr>
                <a:r>
                  <a:rPr lang="en-GB"/>
                  <a:t>Month</a:t>
                </a:r>
              </a:p>
            </rich>
          </tx>
          <overlay val="1"/>
        </title>
        <majorTickMark val="none"/>
        <minorTickMark val="none"/>
        <tickLblPos val="nextTo"/>
        <crossAx val="100"/>
        <crosses val="autoZero"/>
        <auto val="1"/>
        <lblAlgn val="ctr"/>
        <lblOffset val="100"/>
        <noMultiLvlLbl val="1"/>
      </catAx>
      <valAx>
        <axId val="100"/>
        <scaling>
          <orientation val="minMax"/>
        </scaling>
        <delete val="1"/>
        <axPos val="l"/>
        <majorGridlines/>
        <title>
          <tx>
            <rich>
              <a:bodyPr xmlns:a="http://schemas.openxmlformats.org/drawingml/2006/main"/>
              <a:lstStyle xmlns:a="http://schemas.openxmlformats.org/drawingml/2006/main"/>
              <a:p xmlns:a="http://schemas.openxmlformats.org/drawingml/2006/main">
                <a:pPr>
                  <a:defRPr/>
                </a:pPr>
                <a:r>
                  <a:rPr lang="en-GB"/>
                  <a:t>CPR</a:t>
                </a:r>
              </a:p>
            </rich>
          </tx>
          <overlay val="1"/>
        </title>
        <numFmt formatCode="General" sourceLinked="1"/>
        <majorTickMark val="none"/>
        <minorTickMark val="none"/>
        <tickLblPos val="nextTo"/>
        <crossAx val="10"/>
        <crosses val="autoZero"/>
        <crossBetween val="between"/>
      </valAx>
    </plotArea>
    <legend>
      <legendPos val="r"/>
      <overlay val="1"/>
    </legend>
    <plotVisOnly val="1"/>
    <dispBlanksAs val="gap"/>
  </chart>
</chartSpace>
</file>

<file path=xl/charts/chart75.xml><?xml version="1.0" encoding="utf-8"?>
<chartSpace xmlns="http://schemas.openxmlformats.org/drawingml/2006/chart">
  <chart>
    <title>
      <tx>
        <rich>
          <a:bodyPr xmlns:a="http://schemas.openxmlformats.org/drawingml/2006/main"/>
          <a:lstStyle xmlns:a="http://schemas.openxmlformats.org/drawingml/2006/main"/>
          <a:p xmlns:a="http://schemas.openxmlformats.org/drawingml/2006/main">
            <a:pPr>
              <a:defRPr/>
            </a:pPr>
            <a:r>
              <a:rPr lang="en-GB"/>
              <a:t>Solar Penetration - DK1 Primary | DK2 Robustness</a:t>
            </a:r>
          </a:p>
        </rich>
      </tx>
      <overlay val="1"/>
    </title>
    <plotArea>
      <layout/>
      <lineChart>
        <grouping val="standard"/>
        <varyColors val="1"/>
        <ser>
          <idx val="0"/>
          <order val="0"/>
          <tx>
            <strRef>
              <f>'Capture Price Inputs'!$F$1</f>
              <strCache>
                <ptCount val="1"/>
                <pt idx="0">
                  <v>DK1 Solar Penetration (%) — Primary</v>
                </pt>
              </strCache>
            </strRef>
          </tx>
          <spPr>
            <a:ln xmlns:a="http://schemas.openxmlformats.org/drawingml/2006/main">
              <a:solidFill>
                <a:srgbClr val="FF8C00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val>
            <numRef>
              <f>'Capture Price Inputs'!$F$2:$F$85</f>
              <numCache>
                <formatCode>General</formatCode>
                <ptCount val="84"/>
                <pt idx="0">
                  <v>0</v>
                </pt>
                <pt idx="1">
                  <v>0</v>
                </pt>
                <pt idx="2">
                  <v>0</v>
                </pt>
                <pt idx="3">
                  <v>0</v>
                </pt>
                <pt idx="4">
                  <v>0</v>
                </pt>
                <pt idx="5">
                  <v>0</v>
                </pt>
                <pt idx="6">
                  <v>0</v>
                </pt>
                <pt idx="7">
                  <v>0</v>
                </pt>
                <pt idx="8">
                  <v>0</v>
                </pt>
                <pt idx="9">
                  <v>0</v>
                </pt>
                <pt idx="10">
                  <v>0</v>
                </pt>
                <pt idx="11">
                  <v>0</v>
                </pt>
                <pt idx="12">
                  <v>0.002264447892629483</v>
                </pt>
                <pt idx="13">
                  <v>0.005247452024482245</v>
                </pt>
                <pt idx="14">
                  <v>0.02020167759412729</v>
                </pt>
                <pt idx="15">
                  <v>0.0324279896123047</v>
                </pt>
                <pt idx="16">
                  <v>0.03608008723790357</v>
                </pt>
                <pt idx="17">
                  <v>0.03741361883164089</v>
                </pt>
                <pt idx="18">
                  <v>0.03399843385950392</v>
                </pt>
                <pt idx="19">
                  <v>0.03422476314253766</v>
                </pt>
                <pt idx="20">
                  <v>0.02433015193915724</v>
                </pt>
                <pt idx="21">
                  <v>0.01149038754944678</v>
                </pt>
                <pt idx="22">
                  <v>0.0001521101274151999</v>
                </pt>
                <pt idx="23">
                  <v>1.472410662127807e-05</v>
                </pt>
                <pt idx="24">
                  <v>0.003631355999035091</v>
                </pt>
                <pt idx="25">
                  <v>0.0108689417180573</v>
                </pt>
                <pt idx="26">
                  <v>0.02238230390737163</v>
                </pt>
                <pt idx="27">
                  <v>0.04212837115783985</v>
                </pt>
                <pt idx="28">
                  <v>0.03307505221196035</v>
                </pt>
                <pt idx="29">
                  <v>0.04984166182181952</v>
                </pt>
                <pt idx="30">
                  <v>0.0485715434854639</v>
                </pt>
                <pt idx="31">
                  <v>0.0388769479447087</v>
                </pt>
                <pt idx="32">
                  <v>0.02593285017943629</v>
                </pt>
                <pt idx="33">
                  <v>0.01746009643148906</v>
                </pt>
                <pt idx="34">
                  <v>0.007029306005813504</v>
                </pt>
                <pt idx="35">
                  <v>0.003243365391886713</v>
                </pt>
                <pt idx="36">
                  <v>0.006675315547248087</v>
                </pt>
                <pt idx="37">
                  <v>0.0173995712330029</v>
                </pt>
                <pt idx="38">
                  <v>0.06195507058644287</v>
                </pt>
                <pt idx="39">
                  <v>0.08404056603836467</v>
                </pt>
                <pt idx="40">
                  <v>0.09687689142031611</v>
                </pt>
                <pt idx="41">
                  <v>0.09496202074431148</v>
                </pt>
                <pt idx="42">
                  <v>0.09963556652585577</v>
                </pt>
                <pt idx="43">
                  <v>0.08962697832526678</v>
                </pt>
                <pt idx="44">
                  <v>0.06604649859170474</v>
                </pt>
                <pt idx="45">
                  <v>0.03746941447765471</v>
                </pt>
                <pt idx="46">
                  <v>0.01046932675470221</v>
                </pt>
                <pt idx="47">
                  <v>0.006229164645196865</v>
                </pt>
                <pt idx="48">
                  <v>0.01246069427686292</v>
                </pt>
                <pt idx="49">
                  <v>0.03437640419176364</v>
                </pt>
                <pt idx="50">
                  <v>0.05647796857705859</v>
                </pt>
                <pt idx="51">
                  <v>0.1509467292684683</v>
                </pt>
                <pt idx="52">
                  <v>0.18600333743842</v>
                </pt>
                <pt idx="53">
                  <v>0.218925737129461</v>
                </pt>
                <pt idx="54">
                  <v>0.1892952405634502</v>
                </pt>
                <pt idx="55">
                  <v>0.1493297980639493</v>
                </pt>
                <pt idx="56">
                  <v>0.1319165438654872</v>
                </pt>
                <pt idx="57">
                  <v>0.0428648864567301</v>
                </pt>
                <pt idx="58">
                  <v>0.01600349353715238</v>
                </pt>
                <pt idx="59">
                  <v>0.006390504672696534</v>
                </pt>
                <pt idx="60">
                  <v>0.01341718605060752</v>
                </pt>
                <pt idx="61">
                  <v>0.0264362238379265</v>
                </pt>
                <pt idx="62">
                  <v>0.06623397340035048</v>
                </pt>
                <pt idx="63">
                  <v>0.1084169878649764</v>
                </pt>
                <pt idx="64">
                  <v>0.1888703164988005</v>
                </pt>
                <pt idx="65">
                  <v>0.1715230569234828</v>
                </pt>
                <pt idx="66">
                  <v>0.1809062055635286</v>
                </pt>
                <pt idx="67">
                  <v>0.155121531117258</v>
                </pt>
                <pt idx="68">
                  <v>0.1275567235314205</v>
                </pt>
                <pt idx="69">
                  <v>0.06287376784741511</v>
                </pt>
                <pt idx="70">
                  <v>0.01780902737610289</v>
                </pt>
                <pt idx="71">
                  <v>0.006785797568345668</v>
                </pt>
                <pt idx="72">
                  <v>0.01366055484422285</v>
                </pt>
                <pt idx="73">
                  <v>0.04341993481717769</v>
                </pt>
                <pt idx="74">
                  <v>0.1120694547038418</v>
                </pt>
                <pt idx="75">
                  <v>0.1482754875605271</v>
                </pt>
                <pt idx="76">
                  <v>0.1924446817596716</v>
                </pt>
                <pt idx="77">
                  <v>0.1878482923852328</v>
                </pt>
                <pt idx="78">
                  <v>0.2182818884824121</v>
                </pt>
                <pt idx="79">
                  <v>0.1901168401280812</v>
                </pt>
                <pt idx="80">
                  <v>0.1381615272451792</v>
                </pt>
                <pt idx="81">
                  <v>0.06946207120205163</v>
                </pt>
                <pt idx="82">
                  <v>0.02660497040214753</v>
                </pt>
                <pt idx="83">
                  <v>0.0140253486520015</v>
                </pt>
              </numCache>
            </numRef>
          </val>
          <smooth val="1"/>
        </ser>
        <ser>
          <idx val="1"/>
          <order val="1"/>
          <tx>
            <strRef>
              <f>'Capture Price Inputs'!$G$1</f>
              <strCache>
                <ptCount val="1"/>
                <pt idx="0">
                  <v>DK2 Solar Penetration (%) — Robustness</v>
                </pt>
              </strCache>
            </strRef>
          </tx>
          <spPr>
            <a:ln xmlns:a="http://schemas.openxmlformats.org/drawingml/2006/main">
              <a:solidFill>
                <a:srgbClr val="FFD700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val>
            <numRef>
              <f>'Capture Price Inputs'!$G$2:$G$85</f>
              <numCache>
                <formatCode>General</formatCode>
                <ptCount val="84"/>
                <pt idx="0">
                  <v>0</v>
                </pt>
                <pt idx="1">
                  <v>0</v>
                </pt>
                <pt idx="2">
                  <v>0</v>
                </pt>
                <pt idx="3">
                  <v>0</v>
                </pt>
                <pt idx="4">
                  <v>0</v>
                </pt>
                <pt idx="5">
                  <v>0</v>
                </pt>
                <pt idx="6">
                  <v>0</v>
                </pt>
                <pt idx="7">
                  <v>0</v>
                </pt>
                <pt idx="8">
                  <v>0</v>
                </pt>
                <pt idx="9">
                  <v>0</v>
                </pt>
                <pt idx="10">
                  <v>0</v>
                </pt>
                <pt idx="11">
                  <v>0</v>
                </pt>
                <pt idx="12">
                  <v>0.001864323044087839</v>
                </pt>
                <pt idx="13">
                  <v>0.004961339344807235</v>
                </pt>
                <pt idx="14">
                  <v>0.01532033335337761</v>
                </pt>
                <pt idx="15">
                  <v>0.02618059513454593</v>
                </pt>
                <pt idx="16">
                  <v>0.03224093077416624</v>
                </pt>
                <pt idx="17">
                  <v>0.03065181208815584</v>
                </pt>
                <pt idx="18">
                  <v>0.02998206800974695</v>
                </pt>
                <pt idx="19">
                  <v>0.02803471341430708</v>
                </pt>
                <pt idx="20">
                  <v>0.02173647910159525</v>
                </pt>
                <pt idx="21">
                  <v>0.01107911770574695</v>
                </pt>
                <pt idx="22">
                  <v>0.0001104461157833284</v>
                </pt>
                <pt idx="23">
                  <v>5.635243358406259e-06</v>
                </pt>
                <pt idx="24">
                  <v>0.003104474131982996</v>
                </pt>
                <pt idx="25">
                  <v>0.009248336948772359</v>
                </pt>
                <pt idx="26">
                  <v>0.01847451704521283</v>
                </pt>
                <pt idx="27">
                  <v>0.03269440748331279</v>
                </pt>
                <pt idx="28">
                  <v>0.03294582929454019</v>
                </pt>
                <pt idx="29">
                  <v>0.04448013314005607</v>
                </pt>
                <pt idx="30">
                  <v>0.03704954253730217</v>
                </pt>
                <pt idx="31">
                  <v>0.03185776883426199</v>
                </pt>
                <pt idx="32">
                  <v>0.0223981137027396</v>
                </pt>
                <pt idx="33">
                  <v>0.01267326343754744</v>
                </pt>
                <pt idx="34">
                  <v>0.004013281085791027</v>
                </pt>
                <pt idx="35">
                  <v>0.001822629583826099</v>
                </pt>
                <pt idx="36">
                  <v>0.004939556742877535</v>
                </pt>
                <pt idx="37">
                  <v>0.01324848558669828</v>
                </pt>
                <pt idx="38">
                  <v>0.03408933034912105</v>
                </pt>
                <pt idx="39">
                  <v>0.05525443609957865</v>
                </pt>
                <pt idx="40">
                  <v>0.06581145996085939</v>
                </pt>
                <pt idx="41">
                  <v>0.06452822904586782</v>
                </pt>
                <pt idx="42">
                  <v>0.06702580380195292</v>
                </pt>
                <pt idx="43">
                  <v>0.06129992439719582</v>
                </pt>
                <pt idx="44">
                  <v>0.04578427610350702</v>
                </pt>
                <pt idx="45">
                  <v>0.0298090580270354</v>
                </pt>
                <pt idx="46">
                  <v>0.007865295261900549</v>
                </pt>
                <pt idx="47">
                  <v>0.004532355552973548</v>
                </pt>
                <pt idx="48">
                  <v>0.005862652723136608</v>
                </pt>
                <pt idx="49">
                  <v>0.01887764841837355</v>
                </pt>
                <pt idx="50">
                  <v>0.03709622939200571</v>
                </pt>
                <pt idx="51">
                  <v>0.08026996603382495</v>
                </pt>
                <pt idx="52">
                  <v>0.1080032082802261</v>
                </pt>
                <pt idx="53">
                  <v>0.1144244665352921</v>
                </pt>
                <pt idx="54">
                  <v>0.1020307450715976</v>
                </pt>
                <pt idx="55">
                  <v>0.07793101053296771</v>
                </pt>
                <pt idx="56">
                  <v>0.08090995463931874</v>
                </pt>
                <pt idx="57">
                  <v>0.02917234021559438</v>
                </pt>
                <pt idx="58">
                  <v>0.0104098691216888</v>
                </pt>
                <pt idx="59">
                  <v>0.003809030164374855</v>
                </pt>
                <pt idx="60">
                  <v>0.006178183072975508</v>
                </pt>
                <pt idx="61">
                  <v>0.01667231366864759</v>
                </pt>
                <pt idx="62">
                  <v>0.04111280636733766</v>
                </pt>
                <pt idx="63">
                  <v>0.06512337874480645</v>
                </pt>
                <pt idx="64">
                  <v>0.106315341440858</v>
                </pt>
                <pt idx="65">
                  <v>0.1072729076610999</v>
                </pt>
                <pt idx="66">
                  <v>0.1057942634887733</v>
                </pt>
                <pt idx="67">
                  <v>0.0936908322687052</v>
                </pt>
                <pt idx="68">
                  <v>0.07246320282040017</v>
                </pt>
                <pt idx="69">
                  <v>0.03614525389237988</v>
                </pt>
                <pt idx="70">
                  <v>0.008602841405423608</v>
                </pt>
                <pt idx="71">
                  <v>0.004171468465776758</v>
                </pt>
                <pt idx="72">
                  <v>0.007223240212576967</v>
                </pt>
                <pt idx="73">
                  <v>0.02010831138567791</v>
                </pt>
                <pt idx="74">
                  <v>0.04654786644745259</v>
                </pt>
                <pt idx="75">
                  <v>0.07168978364906199</v>
                </pt>
                <pt idx="76">
                  <v>0.09471412725623395</v>
                </pt>
                <pt idx="77">
                  <v>0.09982625001551076</v>
                </pt>
                <pt idx="78">
                  <v>0.09399641941869914</v>
                </pt>
                <pt idx="79">
                  <v>0.1057378118957395</v>
                </pt>
                <pt idx="80">
                  <v>0.09062887968652376</v>
                </pt>
                <pt idx="81">
                  <v>0.03957312567862663</v>
                </pt>
                <pt idx="82">
                  <v>0.01454364344794783</v>
                </pt>
                <pt idx="83">
                  <v>0.00906949116088333</v>
                </pt>
              </numCache>
            </numRef>
          </val>
          <smooth val="1"/>
        </ser>
        <dLbls>
          <showLegendKey val="0"/>
          <showVal val="0"/>
          <showCatName val="0"/>
          <showSerName val="0"/>
          <showPercent val="0"/>
          <showBubbleSize val="0"/>
        </dLbls>
        <smooth val="0"/>
        <axId val="10"/>
        <axId val="100"/>
      </lineChart>
      <catAx>
        <axId val="10"/>
        <scaling>
          <orientation val="minMax"/>
        </scaling>
        <delete val="1"/>
        <axPos val="b"/>
        <title>
          <tx>
            <rich>
              <a:bodyPr xmlns:a="http://schemas.openxmlformats.org/drawingml/2006/main"/>
              <a:lstStyle xmlns:a="http://schemas.openxmlformats.org/drawingml/2006/main"/>
              <a:p xmlns:a="http://schemas.openxmlformats.org/drawingml/2006/main">
                <a:pPr>
                  <a:defRPr/>
                </a:pPr>
                <a:r>
                  <a:rPr lang="en-GB"/>
                  <a:t>Month</a:t>
                </a:r>
              </a:p>
            </rich>
          </tx>
          <overlay val="1"/>
        </title>
        <majorTickMark val="none"/>
        <minorTickMark val="none"/>
        <tickLblPos val="nextTo"/>
        <crossAx val="100"/>
        <crosses val="autoZero"/>
        <auto val="1"/>
        <lblAlgn val="ctr"/>
        <lblOffset val="100"/>
        <noMultiLvlLbl val="1"/>
      </catAx>
      <valAx>
        <axId val="100"/>
        <scaling>
          <orientation val="minMax"/>
        </scaling>
        <delete val="1"/>
        <axPos val="l"/>
        <majorGridlines/>
        <title>
          <tx>
            <rich>
              <a:bodyPr xmlns:a="http://schemas.openxmlformats.org/drawingml/2006/main"/>
              <a:lstStyle xmlns:a="http://schemas.openxmlformats.org/drawingml/2006/main"/>
              <a:p xmlns:a="http://schemas.openxmlformats.org/drawingml/2006/main">
                <a:pPr>
                  <a:defRPr/>
                </a:pPr>
                <a:r>
                  <a:rPr lang="en-GB"/>
                  <a:t>Solar Penetration (%)</a:t>
                </a:r>
              </a:p>
            </rich>
          </tx>
          <overlay val="1"/>
        </title>
        <numFmt formatCode="General" sourceLinked="1"/>
        <majorTickMark val="none"/>
        <minorTickMark val="none"/>
        <tickLblPos val="nextTo"/>
        <crossAx val="10"/>
        <crosses val="autoZero"/>
        <crossBetween val="between"/>
      </valAx>
    </plotArea>
    <legend>
      <legendPos val="r"/>
      <overlay val="1"/>
    </legend>
    <plotVisOnly val="1"/>
    <dispBlanksAs val="gap"/>
  </chart>
</chartSpace>
</file>

<file path=xl/charts/chart76.xml><?xml version="1.0" encoding="utf-8"?>
<chartSpace xmlns="http://schemas.openxmlformats.org/drawingml/2006/chart">
  <chart>
    <title>
      <tx>
        <rich>
          <a:bodyPr xmlns:a="http://schemas.openxmlformats.org/drawingml/2006/main"/>
          <a:lstStyle xmlns:a="http://schemas.openxmlformats.org/drawingml/2006/main"/>
          <a:p xmlns:a="http://schemas.openxmlformats.org/drawingml/2006/main">
            <a:pPr>
              <a:defRPr/>
            </a:pPr>
            <a:r>
              <a:rPr lang="en-GB"/>
              <a:t>Capture Price - DK1 Primary | DK2 Robustness</a:t>
            </a:r>
          </a:p>
        </rich>
      </tx>
      <overlay val="1"/>
    </title>
    <plotArea>
      <layout/>
      <lineChart>
        <grouping val="standard"/>
        <varyColors val="1"/>
        <ser>
          <idx val="0"/>
          <order val="0"/>
          <tx>
            <strRef>
              <f>'Capture Price Inputs'!$H$1</f>
              <strCache>
                <ptCount val="1"/>
                <pt idx="0">
                  <v>DK1 Capture Price (EUR/MWh) — Primary</v>
                </pt>
              </strCache>
            </strRef>
          </tx>
          <spPr>
            <a:ln xmlns:a="http://schemas.openxmlformats.org/drawingml/2006/main">
              <a:solidFill>
                <a:srgbClr val="2E75B6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val>
            <numRef>
              <f>'Capture Price Inputs'!$H$2:$H$85</f>
              <numCache>
                <formatCode>General</formatCode>
                <ptCount val="84"/>
                <pt idx="12">
                  <v>25.22320957280251</v>
                </pt>
                <pt idx="13">
                  <v>22.83581899109792</v>
                </pt>
                <pt idx="14">
                  <v>15.94107348554973</v>
                </pt>
                <pt idx="15">
                  <v>10.36487590420421</v>
                </pt>
                <pt idx="16">
                  <v>15.478548945086</v>
                </pt>
                <pt idx="17">
                  <v>27.31330822786869</v>
                </pt>
                <pt idx="18">
                  <v>24.83174517810916</v>
                </pt>
                <pt idx="19">
                  <v>33.87691542204785</v>
                </pt>
                <pt idx="20">
                  <v>38.93597900337959</v>
                </pt>
                <pt idx="21">
                  <v>31.92774153305919</v>
                </pt>
                <pt idx="22">
                  <v>26.00599326599326</v>
                </pt>
                <pt idx="23">
                  <v>34.79516129032258</v>
                </pt>
                <pt idx="24">
                  <v>55.42296760727792</v>
                </pt>
                <pt idx="25">
                  <v>47.54261097914259</v>
                </pt>
                <pt idx="26">
                  <v>44.55070091580549</v>
                </pt>
                <pt idx="27">
                  <v>43.594739828473</v>
                </pt>
                <pt idx="28">
                  <v>47.65587057500122</v>
                </pt>
                <pt idx="29">
                  <v>70.54354791111106</v>
                </pt>
                <pt idx="30">
                  <v>78.56831974775861</v>
                </pt>
                <pt idx="31">
                  <v>81.98335113640179</v>
                </pt>
                <pt idx="32">
                  <v>116.2002249554484</v>
                </pt>
                <pt idx="33">
                  <v>126.5303952032395</v>
                </pt>
                <pt idx="34">
                  <v>160.7705833010295</v>
                </pt>
                <pt idx="35">
                  <v>228.8621705579358</v>
                </pt>
                <pt idx="36">
                  <v>123.2012506791719</v>
                </pt>
                <pt idx="37">
                  <v>117.67077903546</v>
                </pt>
                <pt idx="38">
                  <v>191.508071735067</v>
                </pt>
                <pt idx="39">
                  <v>145.7013871592604</v>
                </pt>
                <pt idx="40">
                  <v>149.4185612445558</v>
                </pt>
                <pt idx="41">
                  <v>194.7110340948198</v>
                </pt>
                <pt idx="42">
                  <v>239.3981525107354</v>
                </pt>
                <pt idx="43">
                  <v>419.792637226606</v>
                </pt>
                <pt idx="44">
                  <v>310.7073992726671</v>
                </pt>
                <pt idx="45">
                  <v>125.6295598680838</v>
                </pt>
                <pt idx="46">
                  <v>131.7111886265582</v>
                </pt>
                <pt idx="47">
                  <v>282.8237937420726</v>
                </pt>
                <pt idx="48">
                  <v>138.5299886842633</v>
                </pt>
                <pt idx="49">
                  <v>109.8769757213503</v>
                </pt>
                <pt idx="50">
                  <v>93.77419094069538</v>
                </pt>
                <pt idx="51">
                  <v>76.25042822265543</v>
                </pt>
                <pt idx="52">
                  <v>50.54348776008261</v>
                </pt>
                <pt idx="53">
                  <v>74.88898277621806</v>
                </pt>
                <pt idx="54">
                  <v>52.09559943846345</v>
                </pt>
                <pt idx="55">
                  <v>74.18042603997819</v>
                </pt>
                <pt idx="56">
                  <v>68.11686962339694</v>
                </pt>
                <pt idx="57">
                  <v>50.53909051970285</v>
                </pt>
                <pt idx="58">
                  <v>90.68080556242518</v>
                </pt>
                <pt idx="59">
                  <v>63.45532768878803</v>
                </pt>
                <pt idx="60">
                  <v>78.57131644167831</v>
                </pt>
                <pt idx="61">
                  <v>59.47948676805509</v>
                </pt>
                <pt idx="62">
                  <v>51.26978324155493</v>
                </pt>
                <pt idx="63">
                  <v>49.38394056201121</v>
                </pt>
                <pt idx="64">
                  <v>35.89414827140887</v>
                </pt>
                <pt idx="65">
                  <v>47.03763372739765</v>
                </pt>
                <pt idx="66">
                  <v>42.52177322309952</v>
                </pt>
                <pt idx="67">
                  <v>52.17121747504909</v>
                </pt>
                <pt idx="68">
                  <v>45.64750462621701</v>
                </pt>
                <pt idx="69">
                  <v>58.44158378709199</v>
                </pt>
                <pt idx="70">
                  <v>97.58235261633192</v>
                </pt>
                <pt idx="71">
                  <v>92.07321769383398</v>
                </pt>
                <pt idx="72">
                  <v>111.1945655985155</v>
                </pt>
                <pt idx="73">
                  <v>105.4131597378828</v>
                </pt>
                <pt idx="74">
                  <v>57.84566339627056</v>
                </pt>
                <pt idx="75">
                  <v>45.84439577068735</v>
                </pt>
                <pt idx="76">
                  <v>40.06566739400938</v>
                </pt>
                <pt idx="77">
                  <v>33.4933819651966</v>
                </pt>
                <pt idx="78">
                  <v>61.32224821093979</v>
                </pt>
                <pt idx="79">
                  <v>47.75582456745756</v>
                </pt>
                <pt idx="80">
                  <v>49.42909499605724</v>
                </pt>
                <pt idx="81">
                  <v>74.26663453789526</v>
                </pt>
                <pt idx="82">
                  <v>95.56453180252134</v>
                </pt>
                <pt idx="83">
                  <v>80.95803424278026</v>
                </pt>
              </numCache>
            </numRef>
          </val>
          <smooth val="1"/>
        </ser>
        <ser>
          <idx val="1"/>
          <order val="1"/>
          <tx>
            <strRef>
              <f>'Capture Price Inputs'!$I$1</f>
              <strCache>
                <ptCount val="1"/>
                <pt idx="0">
                  <v>DK2 Capture Price (EUR/MWh) — Robustness</v>
                </pt>
              </strCache>
            </strRef>
          </tx>
          <spPr>
            <a:ln xmlns:a="http://schemas.openxmlformats.org/drawingml/2006/main">
              <a:solidFill>
                <a:srgbClr val="9DC3E6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val>
            <numRef>
              <f>'Capture Price Inputs'!$I$2:$I$85</f>
              <numCache>
                <formatCode>General</formatCode>
                <ptCount val="84"/>
                <pt idx="12">
                  <v>29.86213642213642</v>
                </pt>
                <pt idx="13">
                  <v>23.55551782972189</v>
                </pt>
                <pt idx="14">
                  <v>17.14905069226102</v>
                </pt>
                <pt idx="15">
                  <v>13.25252312836708</v>
                </pt>
                <pt idx="16">
                  <v>18.59404938271605</v>
                </pt>
                <pt idx="17">
                  <v>35.21078005032583</v>
                </pt>
                <pt idx="18">
                  <v>26.450778046867</v>
                </pt>
                <pt idx="19">
                  <v>44.11376501540486</v>
                </pt>
                <pt idx="20">
                  <v>41.85304788087056</v>
                </pt>
                <pt idx="21">
                  <v>33.60087837290333</v>
                </pt>
                <pt idx="22">
                  <v>37.749765625</v>
                </pt>
                <pt idx="23">
                  <v>44.19142857142857</v>
                </pt>
                <pt idx="24">
                  <v>57.07213441008145</v>
                </pt>
                <pt idx="25">
                  <v>52.28508365452458</v>
                </pt>
                <pt idx="26">
                  <v>47.42264301189781</v>
                </pt>
                <pt idx="27">
                  <v>45.90136374824883</v>
                </pt>
                <pt idx="28">
                  <v>50.2587202314608</v>
                </pt>
                <pt idx="29">
                  <v>69.46934165377623</v>
                </pt>
                <pt idx="30">
                  <v>77.93311155139432</v>
                </pt>
                <pt idx="31">
                  <v>84.51274769025703</v>
                </pt>
                <pt idx="32">
                  <v>118.7457227855615</v>
                </pt>
                <pt idx="33">
                  <v>122.3841235967906</v>
                </pt>
                <pt idx="34">
                  <v>153.6267942781575</v>
                </pt>
                <pt idx="35">
                  <v>244.4872785976441</v>
                </pt>
                <pt idx="36">
                  <v>129.6774902315082</v>
                </pt>
                <pt idx="37">
                  <v>108.8033389925641</v>
                </pt>
                <pt idx="38">
                  <v>186.0504424586062</v>
                </pt>
                <pt idx="39">
                  <v>143.5375888642185</v>
                </pt>
                <pt idx="40">
                  <v>146.2536023446033</v>
                </pt>
                <pt idx="41">
                  <v>192.2325905808319</v>
                </pt>
                <pt idx="42">
                  <v>212.3625858003895</v>
                </pt>
                <pt idx="43">
                  <v>397.1798848597606</v>
                </pt>
                <pt idx="44">
                  <v>315.928842796779</v>
                </pt>
                <pt idx="45">
                  <v>120.1190076327392</v>
                </pt>
                <pt idx="46">
                  <v>134.0399027878758</v>
                </pt>
                <pt idx="47">
                  <v>303.2697848166857</v>
                </pt>
                <pt idx="48">
                  <v>120.8992864784306</v>
                </pt>
                <pt idx="49">
                  <v>103.112625406295</v>
                </pt>
                <pt idx="50">
                  <v>89.0984689216417</v>
                </pt>
                <pt idx="51">
                  <v>71.1250997055942</v>
                </pt>
                <pt idx="52">
                  <v>48.35808379645633</v>
                </pt>
                <pt idx="53">
                  <v>71.8620903722224</v>
                </pt>
                <pt idx="54">
                  <v>50.34596661709235</v>
                </pt>
                <pt idx="55">
                  <v>72.95799234798741</v>
                </pt>
                <pt idx="56">
                  <v>64.3944846724649</v>
                </pt>
                <pt idx="57">
                  <v>47.66025509428685</v>
                </pt>
                <pt idx="58">
                  <v>84.63997860526599</v>
                </pt>
                <pt idx="59">
                  <v>59.06174633307972</v>
                </pt>
                <pt idx="60">
                  <v>76.42720253521921</v>
                </pt>
                <pt idx="61">
                  <v>51.43437919654775</v>
                </pt>
                <pt idx="62">
                  <v>50.75116381305344</v>
                </pt>
                <pt idx="63">
                  <v>47.053967904828</v>
                </pt>
                <pt idx="64">
                  <v>34.29579411369289</v>
                </pt>
                <pt idx="65">
                  <v>46.37938403458337</v>
                </pt>
                <pt idx="66">
                  <v>38.81282196947117</v>
                </pt>
                <pt idx="67">
                  <v>47.15186311829253</v>
                </pt>
                <pt idx="68">
                  <v>43.35594635084219</v>
                </pt>
                <pt idx="69">
                  <v>59.53493763028656</v>
                </pt>
                <pt idx="70">
                  <v>89.61127747791728</v>
                </pt>
                <pt idx="71">
                  <v>100.7961313991171</v>
                </pt>
                <pt idx="72">
                  <v>115.0822593270056</v>
                </pt>
                <pt idx="73">
                  <v>106.9231820731682</v>
                </pt>
                <pt idx="74">
                  <v>50.01806296126875</v>
                </pt>
                <pt idx="75">
                  <v>41.82584156307518</v>
                </pt>
                <pt idx="76">
                  <v>34.32066034459122</v>
                </pt>
                <pt idx="77">
                  <v>24.31568572006325</v>
                </pt>
                <pt idx="78">
                  <v>59.76694388214769</v>
                </pt>
                <pt idx="79">
                  <v>43.06460478354486</v>
                </pt>
                <pt idx="80">
                  <v>52.94940515380836</v>
                </pt>
                <pt idx="81">
                  <v>78.64573032240668</v>
                </pt>
                <pt idx="82">
                  <v>92.69045487153267</v>
                </pt>
                <pt idx="83">
                  <v>79.63122802208366</v>
                </pt>
              </numCache>
            </numRef>
          </val>
          <smooth val="1"/>
        </ser>
        <dLbls>
          <showLegendKey val="0"/>
          <showVal val="0"/>
          <showCatName val="0"/>
          <showSerName val="0"/>
          <showPercent val="0"/>
          <showBubbleSize val="0"/>
        </dLbls>
        <smooth val="0"/>
        <axId val="10"/>
        <axId val="100"/>
      </lineChart>
      <catAx>
        <axId val="10"/>
        <scaling>
          <orientation val="minMax"/>
        </scaling>
        <delete val="1"/>
        <axPos val="b"/>
        <title>
          <tx>
            <rich>
              <a:bodyPr xmlns:a="http://schemas.openxmlformats.org/drawingml/2006/main"/>
              <a:lstStyle xmlns:a="http://schemas.openxmlformats.org/drawingml/2006/main"/>
              <a:p xmlns:a="http://schemas.openxmlformats.org/drawingml/2006/main">
                <a:pPr>
                  <a:defRPr/>
                </a:pPr>
                <a:r>
                  <a:rPr lang="en-GB"/>
                  <a:t>Month</a:t>
                </a:r>
              </a:p>
            </rich>
          </tx>
          <overlay val="1"/>
        </title>
        <majorTickMark val="none"/>
        <minorTickMark val="none"/>
        <tickLblPos val="nextTo"/>
        <crossAx val="100"/>
        <crosses val="autoZero"/>
        <auto val="1"/>
        <lblAlgn val="ctr"/>
        <lblOffset val="100"/>
        <noMultiLvlLbl val="1"/>
      </catAx>
      <valAx>
        <axId val="100"/>
        <scaling>
          <orientation val="minMax"/>
        </scaling>
        <delete val="1"/>
        <axPos val="l"/>
        <majorGridlines/>
        <title>
          <tx>
            <rich>
              <a:bodyPr xmlns:a="http://schemas.openxmlformats.org/drawingml/2006/main"/>
              <a:lstStyle xmlns:a="http://schemas.openxmlformats.org/drawingml/2006/main"/>
              <a:p xmlns:a="http://schemas.openxmlformats.org/drawingml/2006/main">
                <a:pPr>
                  <a:defRPr/>
                </a:pPr>
                <a:r>
                  <a:rPr lang="en-GB"/>
                  <a:t>EUR/MWh</a:t>
                </a:r>
              </a:p>
            </rich>
          </tx>
          <overlay val="1"/>
        </title>
        <numFmt formatCode="General" sourceLinked="1"/>
        <majorTickMark val="none"/>
        <minorTickMark val="none"/>
        <tickLblPos val="nextTo"/>
        <crossAx val="10"/>
        <crosses val="autoZero"/>
        <crossBetween val="between"/>
      </valAx>
    </plotArea>
    <legend>
      <legendPos val="r"/>
      <overlay val="1"/>
    </legend>
    <plotVisOnly val="1"/>
    <dispBlanksAs val="gap"/>
  </chart>
</chartSpace>
</file>

<file path=xl/charts/chart77.xml><?xml version="1.0" encoding="utf-8"?>
<chartSpace xmlns="http://schemas.openxmlformats.org/drawingml/2006/chart">
  <chart>
    <title>
      <tx>
        <rich>
          <a:bodyPr xmlns:a="http://schemas.openxmlformats.org/drawingml/2006/main"/>
          <a:lstStyle xmlns:a="http://schemas.openxmlformats.org/drawingml/2006/main"/>
          <a:p xmlns:a="http://schemas.openxmlformats.org/drawingml/2006/main">
            <a:pPr>
              <a:defRPr/>
            </a:pPr>
            <a:r>
              <a:rPr lang="en-GB"/>
              <a:t>Capture Price Ratio - DK1 Primary | DK2 Robustness</a:t>
            </a:r>
          </a:p>
        </rich>
      </tx>
      <overlay val="1"/>
    </title>
    <plotArea>
      <layout/>
      <lineChart>
        <grouping val="standard"/>
        <varyColors val="1"/>
        <ser>
          <idx val="0"/>
          <order val="0"/>
          <tx>
            <strRef>
              <f>'Capture Price Inputs'!$J$1</f>
              <strCache>
                <ptCount val="1"/>
                <pt idx="0">
                  <v>DK1 CPR — Primary</v>
                </pt>
              </strCache>
            </strRef>
          </tx>
          <spPr>
            <a:ln xmlns:a="http://schemas.openxmlformats.org/drawingml/2006/main">
              <a:solidFill>
                <a:srgbClr val="2E75B6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val>
            <numRef>
              <f>'Capture Price Inputs'!$J$2:$J$85</f>
              <numCache>
                <formatCode>General</formatCode>
                <ptCount val="84"/>
                <pt idx="12">
                  <v>1.009148659447442</v>
                </pt>
                <pt idx="13">
                  <v>1.298591168695051</v>
                </pt>
                <pt idx="14">
                  <v>0.8710146939215303</v>
                </pt>
                <pt idx="15">
                  <v>0.7131577255881921</v>
                </pt>
                <pt idx="16">
                  <v>0.9641557693120565</v>
                </pt>
                <pt idx="17">
                  <v>1.039466413731094</v>
                </pt>
                <pt idx="18">
                  <v>1.008618155660831</v>
                </pt>
                <pt idx="19">
                  <v>0.9808226440750074</v>
                </pt>
                <pt idx="20">
                  <v>1.010404486913005</v>
                </pt>
                <pt idx="21">
                  <v>1.236802226812374</v>
                </pt>
                <pt idx="22">
                  <v>1.094777917215692</v>
                </pt>
                <pt idx="23">
                  <v>1.008230164182662</v>
                </pt>
                <pt idx="24">
                  <v>1.103930861568265</v>
                </pt>
                <pt idx="25">
                  <v>1.005947927705425</v>
                </pt>
                <pt idx="26">
                  <v>0.9871758725122356</v>
                </pt>
                <pt idx="27">
                  <v>0.9088464745665017</v>
                </pt>
                <pt idx="28">
                  <v>0.8775180518715436</v>
                </pt>
                <pt idx="29">
                  <v>0.9569142795347317</v>
                </pt>
                <pt idx="30">
                  <v>0.9821132371596978</v>
                </pt>
                <pt idx="31">
                  <v>0.9902714780245057</v>
                </pt>
                <pt idx="32">
                  <v>0.9269044048361358</v>
                </pt>
                <pt idx="33">
                  <v>1.081088507413439</v>
                </pt>
                <pt idx="34">
                  <v>1.133803408504466</v>
                </pt>
                <pt idx="35">
                  <v>1.208676962454928</v>
                </pt>
                <pt idx="36">
                  <v>1.044125730427727</v>
                </pt>
                <pt idx="37">
                  <v>1.04022281700981</v>
                </pt>
                <pt idx="38">
                  <v>0.8120775904420741</v>
                </pt>
                <pt idx="39">
                  <v>0.8903913338467833</v>
                </pt>
                <pt idx="40">
                  <v>0.8694301605049858</v>
                </pt>
                <pt idx="41">
                  <v>0.9080390201234191</v>
                </pt>
                <pt idx="42">
                  <v>0.8704179159294955</v>
                </pt>
                <pt idx="43">
                  <v>0.9190855304670003</v>
                </pt>
                <pt idx="44">
                  <v>0.9063290180568312</v>
                </pt>
                <pt idx="45">
                  <v>0.9161232525396177</v>
                </pt>
                <pt idx="46">
                  <v>0.9427861207466001</v>
                </pt>
                <pt idx="47">
                  <v>1.132810339248927</v>
                </pt>
                <pt idx="48">
                  <v>1.230919869122654</v>
                </pt>
                <pt idx="49">
                  <v>0.93008781340266</v>
                </pt>
                <pt idx="50">
                  <v>0.9461253975959896</v>
                </pt>
                <pt idx="51">
                  <v>0.7920396612038634</v>
                </pt>
                <pt idx="52">
                  <v>0.6833361056151995</v>
                </pt>
                <pt idx="53">
                  <v>0.8096506208621567</v>
                </pt>
                <pt idx="54">
                  <v>0.8038042195326093</v>
                </pt>
                <pt idx="55">
                  <v>0.8628930977720407</v>
                </pt>
                <pt idx="56">
                  <v>0.8038389922187259</v>
                </pt>
                <pt idx="57">
                  <v>0.8408360556054226</v>
                </pt>
                <pt idx="58">
                  <v>1.028656893611996</v>
                </pt>
                <pt idx="59">
                  <v>0.9132560776287663</v>
                </pt>
                <pt idx="60">
                  <v>1.051614630458469</v>
                </pt>
                <pt idx="61">
                  <v>1.014420829179444</v>
                </pt>
                <pt idx="62">
                  <v>0.8373818542217274</v>
                </pt>
                <pt idx="63">
                  <v>0.8346846016164379</v>
                </pt>
                <pt idx="64">
                  <v>0.6133984536650869</v>
                </pt>
                <pt idx="65">
                  <v>0.7378100322386865</v>
                </pt>
                <pt idx="66">
                  <v>0.685499494870618</v>
                </pt>
                <pt idx="67">
                  <v>0.7151267621934952</v>
                </pt>
                <pt idx="68">
                  <v>0.636525223039573</v>
                </pt>
                <pt idx="69">
                  <v>0.7617518807592967</v>
                </pt>
                <pt idx="70">
                  <v>1.017494003861172</v>
                </pt>
                <pt idx="71">
                  <v>1.002567416041121</v>
                </pt>
                <pt idx="72">
                  <v>1.135032584901597</v>
                </pt>
                <pt idx="73">
                  <v>0.9341166514187298</v>
                </pt>
                <pt idx="74">
                  <v>0.6857908168802248</v>
                </pt>
                <pt idx="75">
                  <v>0.609953535618325</v>
                </pt>
                <pt idx="76">
                  <v>0.6237511742318941</v>
                </pt>
                <pt idx="77">
                  <v>0.569764321286333</v>
                </pt>
                <pt idx="78">
                  <v>0.7405896710838001</v>
                </pt>
                <pt idx="79">
                  <v>0.6499711234459455</v>
                </pt>
                <pt idx="80">
                  <v>0.6827347489865859</v>
                </pt>
                <pt idx="81">
                  <v>0.9470151719348058</v>
                </pt>
                <pt idx="82">
                  <v>1.028976430956097</v>
                </pt>
                <pt idx="83">
                  <v>0.9820538861792604</v>
                </pt>
              </numCache>
            </numRef>
          </val>
          <smooth val="1"/>
        </ser>
        <ser>
          <idx val="1"/>
          <order val="1"/>
          <tx>
            <strRef>
              <f>'Capture Price Inputs'!$K$1</f>
              <strCache>
                <ptCount val="1"/>
                <pt idx="0">
                  <v>DK2 CPR — Robustness</v>
                </pt>
              </strCache>
            </strRef>
          </tx>
          <spPr>
            <a:ln xmlns:a="http://schemas.openxmlformats.org/drawingml/2006/main">
              <a:solidFill>
                <a:srgbClr val="9DC3E6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val>
            <numRef>
              <f>'Capture Price Inputs'!$K$2:$K$85</f>
              <numCache>
                <formatCode>General</formatCode>
                <ptCount val="84"/>
                <pt idx="12">
                  <v>1.090446324793763</v>
                </pt>
                <pt idx="13">
                  <v>1.251821301318464</v>
                </pt>
                <pt idx="14">
                  <v>0.8552077585127711</v>
                </pt>
                <pt idx="15">
                  <v>0.763620235478716</v>
                </pt>
                <pt idx="16">
                  <v>0.9763693823354528</v>
                </pt>
                <pt idx="17">
                  <v>1.180647007173951</v>
                </pt>
                <pt idx="18">
                  <v>1.021791049952987</v>
                </pt>
                <pt idx="19">
                  <v>1.077948442472481</v>
                </pt>
                <pt idx="20">
                  <v>1.059189092335807</v>
                </pt>
                <pt idx="21">
                  <v>1.247549053102559</v>
                </pt>
                <pt idx="22">
                  <v>1.057080411727209</v>
                </pt>
                <pt idx="23">
                  <v>1.125691191699302</v>
                </pt>
                <pt idx="24">
                  <v>1.122164979814525</v>
                </pt>
                <pt idx="25">
                  <v>0.9585139857498034</v>
                </pt>
                <pt idx="26">
                  <v>1.014774172650395</v>
                </pt>
                <pt idx="27">
                  <v>0.9590164366476613</v>
                </pt>
                <pt idx="28">
                  <v>0.9103388736117121</v>
                </pt>
                <pt idx="29">
                  <v>0.9440449187481634</v>
                </pt>
                <pt idx="30">
                  <v>0.9569285690465077</v>
                </pt>
                <pt idx="31">
                  <v>1.001768528067071</v>
                </pt>
                <pt idx="32">
                  <v>0.9583833699094481</v>
                </pt>
                <pt idx="33">
                  <v>1.144501265847132</v>
                </pt>
                <pt idx="34">
                  <v>1.126460857141801</v>
                </pt>
                <pt idx="35">
                  <v>1.279578427053047</v>
                </pt>
                <pt idx="36">
                  <v>1.161754652341282</v>
                </pt>
                <pt idx="37">
                  <v>1.084871924613185</v>
                </pt>
                <pt idx="38">
                  <v>0.8162958275837114</v>
                </pt>
                <pt idx="39">
                  <v>0.9391804877392103</v>
                </pt>
                <pt idx="40">
                  <v>0.8991456314331195</v>
                </pt>
                <pt idx="41">
                  <v>0.9015136745747578</v>
                </pt>
                <pt idx="42">
                  <v>0.909562444967756</v>
                </pt>
                <pt idx="43">
                  <v>0.8830756108422062</v>
                </pt>
                <pt idx="44">
                  <v>0.9608536982958826</v>
                </pt>
                <pt idx="45">
                  <v>0.8774354195736861</v>
                </pt>
                <pt idx="46">
                  <v>0.9240447439178995</v>
                </pt>
                <pt idx="47">
                  <v>1.218528056069729</v>
                </pt>
                <pt idx="48">
                  <v>1.21186632363043</v>
                </pt>
                <pt idx="49">
                  <v>1.024478122815962</v>
                </pt>
                <pt idx="50">
                  <v>0.992236312197012</v>
                </pt>
                <pt idx="51">
                  <v>0.8502587347820391</v>
                </pt>
                <pt idx="52">
                  <v>0.7310174827054021</v>
                </pt>
                <pt idx="53">
                  <v>0.7860381991736552</v>
                </pt>
                <pt idx="54">
                  <v>0.7717034871247128</v>
                </pt>
                <pt idx="55">
                  <v>0.8454610410569836</v>
                </pt>
                <pt idx="56">
                  <v>0.7532917330845335</v>
                </pt>
                <pt idx="57">
                  <v>0.837234490334641</v>
                </pt>
                <pt idx="58">
                  <v>1.038705241708771</v>
                </pt>
                <pt idx="59">
                  <v>0.8332670757562848</v>
                </pt>
                <pt idx="60">
                  <v>0.977144875107929</v>
                </pt>
                <pt idx="61">
                  <v>0.9399172603334611</v>
                </pt>
                <pt idx="62">
                  <v>0.8314293202728863</v>
                </pt>
                <pt idx="63">
                  <v>0.7780510745637418</v>
                </pt>
                <pt idx="64">
                  <v>0.5900556342707577</v>
                </pt>
                <pt idx="65">
                  <v>0.6943958569114143</v>
                </pt>
                <pt idx="66">
                  <v>0.6176283845394642</v>
                </pt>
                <pt idx="67">
                  <v>0.6493471479229646</v>
                </pt>
                <pt idx="68">
                  <v>0.6157480113547513</v>
                </pt>
                <pt idx="69">
                  <v>0.7800073506793195</v>
                </pt>
                <pt idx="70">
                  <v>0.9404779955101509</v>
                </pt>
                <pt idx="71">
                  <v>1.087006718547946</v>
                </pt>
                <pt idx="72">
                  <v>1.149400364807902</v>
                </pt>
                <pt idx="73">
                  <v>0.9066238427133391</v>
                </pt>
                <pt idx="74">
                  <v>0.603741164715803</v>
                </pt>
                <pt idx="75">
                  <v>0.5517436798810373</v>
                </pt>
                <pt idx="76">
                  <v>0.544059463307295</v>
                </pt>
                <pt idx="77">
                  <v>0.4307606652121766</v>
                </pt>
                <pt idx="78">
                  <v>0.7474634186196619</v>
                </pt>
                <pt idx="79">
                  <v>0.5717894234335987</v>
                </pt>
                <pt idx="80">
                  <v>0.635731600833678</v>
                </pt>
                <pt idx="81">
                  <v>0.9548084008156305</v>
                </pt>
                <pt idx="82">
                  <v>0.9892725129496999</v>
                </pt>
                <pt idx="83">
                  <v>0.9701479625359415</v>
                </pt>
              </numCache>
            </numRef>
          </val>
          <smooth val="1"/>
        </ser>
        <dLbls>
          <showLegendKey val="0"/>
          <showVal val="0"/>
          <showCatName val="0"/>
          <showSerName val="0"/>
          <showPercent val="0"/>
          <showBubbleSize val="0"/>
        </dLbls>
        <smooth val="0"/>
        <axId val="10"/>
        <axId val="100"/>
      </lineChart>
      <catAx>
        <axId val="10"/>
        <scaling>
          <orientation val="minMax"/>
        </scaling>
        <delete val="1"/>
        <axPos val="b"/>
        <title>
          <tx>
            <rich>
              <a:bodyPr xmlns:a="http://schemas.openxmlformats.org/drawingml/2006/main"/>
              <a:lstStyle xmlns:a="http://schemas.openxmlformats.org/drawingml/2006/main"/>
              <a:p xmlns:a="http://schemas.openxmlformats.org/drawingml/2006/main">
                <a:pPr>
                  <a:defRPr/>
                </a:pPr>
                <a:r>
                  <a:rPr lang="en-GB"/>
                  <a:t>Month</a:t>
                </a:r>
              </a:p>
            </rich>
          </tx>
          <overlay val="1"/>
        </title>
        <majorTickMark val="none"/>
        <minorTickMark val="none"/>
        <tickLblPos val="nextTo"/>
        <crossAx val="100"/>
        <crosses val="autoZero"/>
        <auto val="1"/>
        <lblAlgn val="ctr"/>
        <lblOffset val="100"/>
        <noMultiLvlLbl val="1"/>
      </catAx>
      <valAx>
        <axId val="100"/>
        <scaling>
          <orientation val="minMax"/>
        </scaling>
        <delete val="1"/>
        <axPos val="l"/>
        <majorGridlines/>
        <title>
          <tx>
            <rich>
              <a:bodyPr xmlns:a="http://schemas.openxmlformats.org/drawingml/2006/main"/>
              <a:lstStyle xmlns:a="http://schemas.openxmlformats.org/drawingml/2006/main"/>
              <a:p xmlns:a="http://schemas.openxmlformats.org/drawingml/2006/main">
                <a:pPr>
                  <a:defRPr/>
                </a:pPr>
                <a:r>
                  <a:rPr lang="en-GB"/>
                  <a:t>CPR</a:t>
                </a:r>
              </a:p>
            </rich>
          </tx>
          <overlay val="1"/>
        </title>
        <numFmt formatCode="General" sourceLinked="1"/>
        <majorTickMark val="none"/>
        <minorTickMark val="none"/>
        <tickLblPos val="nextTo"/>
        <crossAx val="10"/>
        <crosses val="autoZero"/>
        <crossBetween val="between"/>
      </valAx>
    </plotArea>
    <legend>
      <legendPos val="r"/>
      <overlay val="1"/>
    </legend>
    <plotVisOnly val="1"/>
    <dispBlanksAs val="gap"/>
  </chart>
</chartSpace>
</file>

<file path=xl/charts/chart78.xml><?xml version="1.0" encoding="utf-8"?>
<chartSpace xmlns="http://schemas.openxmlformats.org/drawingml/2006/chart">
  <chart>
    <title>
      <tx>
        <rich>
          <a:bodyPr xmlns:a="http://schemas.openxmlformats.org/drawingml/2006/main"/>
          <a:lstStyle xmlns:a="http://schemas.openxmlformats.org/drawingml/2006/main"/>
          <a:p xmlns:a="http://schemas.openxmlformats.org/drawingml/2006/main">
            <a:pPr>
              <a:defRPr/>
            </a:pPr>
            <a:r>
              <a:rPr lang="en-GB"/>
              <a:t>Solar Penetration - DK1 Primary | DK2 Robustness</a:t>
            </a:r>
          </a:p>
        </rich>
      </tx>
      <overlay val="1"/>
    </title>
    <plotArea>
      <layout/>
      <lineChart>
        <grouping val="standard"/>
        <varyColors val="1"/>
        <ser>
          <idx val="0"/>
          <order val="0"/>
          <tx>
            <strRef>
              <f>'Capture Price Inputs'!$F$1</f>
              <strCache>
                <ptCount val="1"/>
                <pt idx="0">
                  <v>DK1 Solar Penetration (%) — Primary</v>
                </pt>
              </strCache>
            </strRef>
          </tx>
          <spPr>
            <a:ln xmlns:a="http://schemas.openxmlformats.org/drawingml/2006/main">
              <a:solidFill>
                <a:srgbClr val="FF8C00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val>
            <numRef>
              <f>'Capture Price Inputs'!$F$2:$F$85</f>
              <numCache>
                <formatCode>General</formatCode>
                <ptCount val="84"/>
                <pt idx="0">
                  <v>0</v>
                </pt>
                <pt idx="1">
                  <v>0</v>
                </pt>
                <pt idx="2">
                  <v>0</v>
                </pt>
                <pt idx="3">
                  <v>0</v>
                </pt>
                <pt idx="4">
                  <v>0</v>
                </pt>
                <pt idx="5">
                  <v>0</v>
                </pt>
                <pt idx="6">
                  <v>0</v>
                </pt>
                <pt idx="7">
                  <v>0</v>
                </pt>
                <pt idx="8">
                  <v>0</v>
                </pt>
                <pt idx="9">
                  <v>0</v>
                </pt>
                <pt idx="10">
                  <v>0</v>
                </pt>
                <pt idx="11">
                  <v>0</v>
                </pt>
                <pt idx="12">
                  <v>0.002264447892629483</v>
                </pt>
                <pt idx="13">
                  <v>0.005247452024482245</v>
                </pt>
                <pt idx="14">
                  <v>0.02020167759412729</v>
                </pt>
                <pt idx="15">
                  <v>0.0324279896123047</v>
                </pt>
                <pt idx="16">
                  <v>0.03608008723790357</v>
                </pt>
                <pt idx="17">
                  <v>0.03741361883164089</v>
                </pt>
                <pt idx="18">
                  <v>0.03399843385950392</v>
                </pt>
                <pt idx="19">
                  <v>0.03422476314253766</v>
                </pt>
                <pt idx="20">
                  <v>0.02433015193915724</v>
                </pt>
                <pt idx="21">
                  <v>0.01149038754944678</v>
                </pt>
                <pt idx="22">
                  <v>0.0001521101274151999</v>
                </pt>
                <pt idx="23">
                  <v>1.472410662127807e-05</v>
                </pt>
                <pt idx="24">
                  <v>0.003631355999035091</v>
                </pt>
                <pt idx="25">
                  <v>0.0108689417180573</v>
                </pt>
                <pt idx="26">
                  <v>0.02238230390737163</v>
                </pt>
                <pt idx="27">
                  <v>0.04212837115783985</v>
                </pt>
                <pt idx="28">
                  <v>0.03307505221196035</v>
                </pt>
                <pt idx="29">
                  <v>0.04984166182181952</v>
                </pt>
                <pt idx="30">
                  <v>0.0485715434854639</v>
                </pt>
                <pt idx="31">
                  <v>0.0388769479447087</v>
                </pt>
                <pt idx="32">
                  <v>0.02593285017943629</v>
                </pt>
                <pt idx="33">
                  <v>0.01746009643148906</v>
                </pt>
                <pt idx="34">
                  <v>0.007029306005813504</v>
                </pt>
                <pt idx="35">
                  <v>0.003243365391886713</v>
                </pt>
                <pt idx="36">
                  <v>0.006675315547248087</v>
                </pt>
                <pt idx="37">
                  <v>0.0173995712330029</v>
                </pt>
                <pt idx="38">
                  <v>0.06195507058644287</v>
                </pt>
                <pt idx="39">
                  <v>0.08404056603836467</v>
                </pt>
                <pt idx="40">
                  <v>0.09687689142031611</v>
                </pt>
                <pt idx="41">
                  <v>0.09496202074431148</v>
                </pt>
                <pt idx="42">
                  <v>0.09963556652585577</v>
                </pt>
                <pt idx="43">
                  <v>0.08962697832526678</v>
                </pt>
                <pt idx="44">
                  <v>0.06604649859170474</v>
                </pt>
                <pt idx="45">
                  <v>0.03746941447765471</v>
                </pt>
                <pt idx="46">
                  <v>0.01046932675470221</v>
                </pt>
                <pt idx="47">
                  <v>0.006229164645196865</v>
                </pt>
                <pt idx="48">
                  <v>0.01246069427686292</v>
                </pt>
                <pt idx="49">
                  <v>0.03437640419176364</v>
                </pt>
                <pt idx="50">
                  <v>0.05647796857705859</v>
                </pt>
                <pt idx="51">
                  <v>0.1509467292684683</v>
                </pt>
                <pt idx="52">
                  <v>0.18600333743842</v>
                </pt>
                <pt idx="53">
                  <v>0.218925737129461</v>
                </pt>
                <pt idx="54">
                  <v>0.1892952405634502</v>
                </pt>
                <pt idx="55">
                  <v>0.1493297980639493</v>
                </pt>
                <pt idx="56">
                  <v>0.1319165438654872</v>
                </pt>
                <pt idx="57">
                  <v>0.0428648864567301</v>
                </pt>
                <pt idx="58">
                  <v>0.01600349353715238</v>
                </pt>
                <pt idx="59">
                  <v>0.006390504672696534</v>
                </pt>
                <pt idx="60">
                  <v>0.01341718605060752</v>
                </pt>
                <pt idx="61">
                  <v>0.0264362238379265</v>
                </pt>
                <pt idx="62">
                  <v>0.06623397340035048</v>
                </pt>
                <pt idx="63">
                  <v>0.1084169878649764</v>
                </pt>
                <pt idx="64">
                  <v>0.1888703164988005</v>
                </pt>
                <pt idx="65">
                  <v>0.1715230569234828</v>
                </pt>
                <pt idx="66">
                  <v>0.1809062055635286</v>
                </pt>
                <pt idx="67">
                  <v>0.155121531117258</v>
                </pt>
                <pt idx="68">
                  <v>0.1275567235314205</v>
                </pt>
                <pt idx="69">
                  <v>0.06287376784741511</v>
                </pt>
                <pt idx="70">
                  <v>0.01780902737610289</v>
                </pt>
                <pt idx="71">
                  <v>0.006785797568345668</v>
                </pt>
                <pt idx="72">
                  <v>0.01366055484422285</v>
                </pt>
                <pt idx="73">
                  <v>0.04341993481717769</v>
                </pt>
                <pt idx="74">
                  <v>0.1120694547038418</v>
                </pt>
                <pt idx="75">
                  <v>0.1482754875605271</v>
                </pt>
                <pt idx="76">
                  <v>0.1924446817596716</v>
                </pt>
                <pt idx="77">
                  <v>0.1878482923852328</v>
                </pt>
                <pt idx="78">
                  <v>0.2182818884824121</v>
                </pt>
                <pt idx="79">
                  <v>0.1901168401280812</v>
                </pt>
                <pt idx="80">
                  <v>0.1381615272451792</v>
                </pt>
                <pt idx="81">
                  <v>0.06946207120205163</v>
                </pt>
                <pt idx="82">
                  <v>0.02660497040214753</v>
                </pt>
                <pt idx="83">
                  <v>0.0140253486520015</v>
                </pt>
              </numCache>
            </numRef>
          </val>
          <smooth val="1"/>
        </ser>
        <ser>
          <idx val="1"/>
          <order val="1"/>
          <tx>
            <strRef>
              <f>'Capture Price Inputs'!$G$1</f>
              <strCache>
                <ptCount val="1"/>
                <pt idx="0">
                  <v>DK2 Solar Penetration (%) — Robustness</v>
                </pt>
              </strCache>
            </strRef>
          </tx>
          <spPr>
            <a:ln xmlns:a="http://schemas.openxmlformats.org/drawingml/2006/main">
              <a:solidFill>
                <a:srgbClr val="FFD700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val>
            <numRef>
              <f>'Capture Price Inputs'!$G$2:$G$85</f>
              <numCache>
                <formatCode>General</formatCode>
                <ptCount val="84"/>
                <pt idx="0">
                  <v>0</v>
                </pt>
                <pt idx="1">
                  <v>0</v>
                </pt>
                <pt idx="2">
                  <v>0</v>
                </pt>
                <pt idx="3">
                  <v>0</v>
                </pt>
                <pt idx="4">
                  <v>0</v>
                </pt>
                <pt idx="5">
                  <v>0</v>
                </pt>
                <pt idx="6">
                  <v>0</v>
                </pt>
                <pt idx="7">
                  <v>0</v>
                </pt>
                <pt idx="8">
                  <v>0</v>
                </pt>
                <pt idx="9">
                  <v>0</v>
                </pt>
                <pt idx="10">
                  <v>0</v>
                </pt>
                <pt idx="11">
                  <v>0</v>
                </pt>
                <pt idx="12">
                  <v>0.001864323044087839</v>
                </pt>
                <pt idx="13">
                  <v>0.004961339344807235</v>
                </pt>
                <pt idx="14">
                  <v>0.01532033335337761</v>
                </pt>
                <pt idx="15">
                  <v>0.02618059513454593</v>
                </pt>
                <pt idx="16">
                  <v>0.03224093077416624</v>
                </pt>
                <pt idx="17">
                  <v>0.03065181208815584</v>
                </pt>
                <pt idx="18">
                  <v>0.02998206800974695</v>
                </pt>
                <pt idx="19">
                  <v>0.02803471341430708</v>
                </pt>
                <pt idx="20">
                  <v>0.02173647910159525</v>
                </pt>
                <pt idx="21">
                  <v>0.01107911770574695</v>
                </pt>
                <pt idx="22">
                  <v>0.0001104461157833284</v>
                </pt>
                <pt idx="23">
                  <v>5.635243358406259e-06</v>
                </pt>
                <pt idx="24">
                  <v>0.003104474131982996</v>
                </pt>
                <pt idx="25">
                  <v>0.009248336948772359</v>
                </pt>
                <pt idx="26">
                  <v>0.01847451704521283</v>
                </pt>
                <pt idx="27">
                  <v>0.03269440748331279</v>
                </pt>
                <pt idx="28">
                  <v>0.03294582929454019</v>
                </pt>
                <pt idx="29">
                  <v>0.04448013314005607</v>
                </pt>
                <pt idx="30">
                  <v>0.03704954253730217</v>
                </pt>
                <pt idx="31">
                  <v>0.03185776883426199</v>
                </pt>
                <pt idx="32">
                  <v>0.0223981137027396</v>
                </pt>
                <pt idx="33">
                  <v>0.01267326343754744</v>
                </pt>
                <pt idx="34">
                  <v>0.004013281085791027</v>
                </pt>
                <pt idx="35">
                  <v>0.001822629583826099</v>
                </pt>
                <pt idx="36">
                  <v>0.004939556742877535</v>
                </pt>
                <pt idx="37">
                  <v>0.01324848558669828</v>
                </pt>
                <pt idx="38">
                  <v>0.03408933034912105</v>
                </pt>
                <pt idx="39">
                  <v>0.05525443609957865</v>
                </pt>
                <pt idx="40">
                  <v>0.06581145996085939</v>
                </pt>
                <pt idx="41">
                  <v>0.06452822904586782</v>
                </pt>
                <pt idx="42">
                  <v>0.06702580380195292</v>
                </pt>
                <pt idx="43">
                  <v>0.06129992439719582</v>
                </pt>
                <pt idx="44">
                  <v>0.04578427610350702</v>
                </pt>
                <pt idx="45">
                  <v>0.0298090580270354</v>
                </pt>
                <pt idx="46">
                  <v>0.007865295261900549</v>
                </pt>
                <pt idx="47">
                  <v>0.004532355552973548</v>
                </pt>
                <pt idx="48">
                  <v>0.005862652723136608</v>
                </pt>
                <pt idx="49">
                  <v>0.01887764841837355</v>
                </pt>
                <pt idx="50">
                  <v>0.03709622939200571</v>
                </pt>
                <pt idx="51">
                  <v>0.08026996603382495</v>
                </pt>
                <pt idx="52">
                  <v>0.1080032082802261</v>
                </pt>
                <pt idx="53">
                  <v>0.1144244665352921</v>
                </pt>
                <pt idx="54">
                  <v>0.1020307450715976</v>
                </pt>
                <pt idx="55">
                  <v>0.07793101053296771</v>
                </pt>
                <pt idx="56">
                  <v>0.08090995463931874</v>
                </pt>
                <pt idx="57">
                  <v>0.02917234021559438</v>
                </pt>
                <pt idx="58">
                  <v>0.0104098691216888</v>
                </pt>
                <pt idx="59">
                  <v>0.003809030164374855</v>
                </pt>
                <pt idx="60">
                  <v>0.006178183072975508</v>
                </pt>
                <pt idx="61">
                  <v>0.01667231366864759</v>
                </pt>
                <pt idx="62">
                  <v>0.04111280636733766</v>
                </pt>
                <pt idx="63">
                  <v>0.06512337874480645</v>
                </pt>
                <pt idx="64">
                  <v>0.106315341440858</v>
                </pt>
                <pt idx="65">
                  <v>0.1072729076610999</v>
                </pt>
                <pt idx="66">
                  <v>0.1057942634887733</v>
                </pt>
                <pt idx="67">
                  <v>0.0936908322687052</v>
                </pt>
                <pt idx="68">
                  <v>0.07246320282040017</v>
                </pt>
                <pt idx="69">
                  <v>0.03614525389237988</v>
                </pt>
                <pt idx="70">
                  <v>0.008602841405423608</v>
                </pt>
                <pt idx="71">
                  <v>0.004171468465776758</v>
                </pt>
                <pt idx="72">
                  <v>0.007223240212576967</v>
                </pt>
                <pt idx="73">
                  <v>0.02010831138567791</v>
                </pt>
                <pt idx="74">
                  <v>0.04654786644745259</v>
                </pt>
                <pt idx="75">
                  <v>0.07168978364906199</v>
                </pt>
                <pt idx="76">
                  <v>0.09471412725623395</v>
                </pt>
                <pt idx="77">
                  <v>0.09982625001551076</v>
                </pt>
                <pt idx="78">
                  <v>0.09399641941869914</v>
                </pt>
                <pt idx="79">
                  <v>0.1057378118957395</v>
                </pt>
                <pt idx="80">
                  <v>0.09062887968652376</v>
                </pt>
                <pt idx="81">
                  <v>0.03957312567862663</v>
                </pt>
                <pt idx="82">
                  <v>0.01454364344794783</v>
                </pt>
                <pt idx="83">
                  <v>0.00906949116088333</v>
                </pt>
              </numCache>
            </numRef>
          </val>
          <smooth val="1"/>
        </ser>
        <dLbls>
          <showLegendKey val="0"/>
          <showVal val="0"/>
          <showCatName val="0"/>
          <showSerName val="0"/>
          <showPercent val="0"/>
          <showBubbleSize val="0"/>
        </dLbls>
        <smooth val="0"/>
        <axId val="10"/>
        <axId val="100"/>
      </lineChart>
      <catAx>
        <axId val="10"/>
        <scaling>
          <orientation val="minMax"/>
        </scaling>
        <delete val="1"/>
        <axPos val="b"/>
        <title>
          <tx>
            <rich>
              <a:bodyPr xmlns:a="http://schemas.openxmlformats.org/drawingml/2006/main"/>
              <a:lstStyle xmlns:a="http://schemas.openxmlformats.org/drawingml/2006/main"/>
              <a:p xmlns:a="http://schemas.openxmlformats.org/drawingml/2006/main">
                <a:pPr>
                  <a:defRPr/>
                </a:pPr>
                <a:r>
                  <a:rPr lang="en-GB"/>
                  <a:t>Month</a:t>
                </a:r>
              </a:p>
            </rich>
          </tx>
          <overlay val="1"/>
        </title>
        <majorTickMark val="none"/>
        <minorTickMark val="none"/>
        <tickLblPos val="nextTo"/>
        <crossAx val="100"/>
        <crosses val="autoZero"/>
        <auto val="1"/>
        <lblAlgn val="ctr"/>
        <lblOffset val="100"/>
        <noMultiLvlLbl val="1"/>
      </catAx>
      <valAx>
        <axId val="100"/>
        <scaling>
          <orientation val="minMax"/>
        </scaling>
        <delete val="1"/>
        <axPos val="l"/>
        <majorGridlines/>
        <title>
          <tx>
            <rich>
              <a:bodyPr xmlns:a="http://schemas.openxmlformats.org/drawingml/2006/main"/>
              <a:lstStyle xmlns:a="http://schemas.openxmlformats.org/drawingml/2006/main"/>
              <a:p xmlns:a="http://schemas.openxmlformats.org/drawingml/2006/main">
                <a:pPr>
                  <a:defRPr/>
                </a:pPr>
                <a:r>
                  <a:rPr lang="en-GB"/>
                  <a:t>Solar Penetration (%)</a:t>
                </a:r>
              </a:p>
            </rich>
          </tx>
          <overlay val="1"/>
        </title>
        <numFmt formatCode="General" sourceLinked="1"/>
        <majorTickMark val="none"/>
        <minorTickMark val="none"/>
        <tickLblPos val="nextTo"/>
        <crossAx val="10"/>
        <crosses val="autoZero"/>
        <crossBetween val="between"/>
      </valAx>
    </plotArea>
    <legend>
      <legendPos val="r"/>
      <overlay val="1"/>
    </legend>
    <plotVisOnly val="1"/>
    <dispBlanksAs val="gap"/>
  </chart>
</chartSpace>
</file>

<file path=xl/charts/chart79.xml><?xml version="1.0" encoding="utf-8"?>
<chartSpace xmlns="http://schemas.openxmlformats.org/drawingml/2006/chart">
  <chart>
    <title>
      <tx>
        <rich>
          <a:bodyPr xmlns:a="http://schemas.openxmlformats.org/drawingml/2006/main"/>
          <a:lstStyle xmlns:a="http://schemas.openxmlformats.org/drawingml/2006/main"/>
          <a:p xmlns:a="http://schemas.openxmlformats.org/drawingml/2006/main">
            <a:pPr>
              <a:defRPr/>
            </a:pPr>
            <a:r>
              <a:rPr lang="en-GB"/>
              <a:t>Capture Price - DK1 Primary | DK2 Robustness</a:t>
            </a:r>
          </a:p>
        </rich>
      </tx>
      <overlay val="1"/>
    </title>
    <plotArea>
      <layout/>
      <lineChart>
        <grouping val="standard"/>
        <varyColors val="1"/>
        <ser>
          <idx val="0"/>
          <order val="0"/>
          <tx>
            <strRef>
              <f>'Capture Price Inputs'!$H$1</f>
              <strCache>
                <ptCount val="1"/>
                <pt idx="0">
                  <v>DK1 Capture Price (EUR/MWh) — Primary</v>
                </pt>
              </strCache>
            </strRef>
          </tx>
          <spPr>
            <a:ln xmlns:a="http://schemas.openxmlformats.org/drawingml/2006/main">
              <a:solidFill>
                <a:srgbClr val="2E75B6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val>
            <numRef>
              <f>'Capture Price Inputs'!$H$2:$H$85</f>
              <numCache>
                <formatCode>General</formatCode>
                <ptCount val="84"/>
                <pt idx="12">
                  <v>25.22320957280251</v>
                </pt>
                <pt idx="13">
                  <v>22.83581899109792</v>
                </pt>
                <pt idx="14">
                  <v>15.94107348554973</v>
                </pt>
                <pt idx="15">
                  <v>10.36487590420421</v>
                </pt>
                <pt idx="16">
                  <v>15.478548945086</v>
                </pt>
                <pt idx="17">
                  <v>27.31330822786869</v>
                </pt>
                <pt idx="18">
                  <v>24.83174517810916</v>
                </pt>
                <pt idx="19">
                  <v>33.87691542204785</v>
                </pt>
                <pt idx="20">
                  <v>38.93597900337959</v>
                </pt>
                <pt idx="21">
                  <v>31.92774153305919</v>
                </pt>
                <pt idx="22">
                  <v>26.00599326599326</v>
                </pt>
                <pt idx="23">
                  <v>34.79516129032258</v>
                </pt>
                <pt idx="24">
                  <v>55.42296760727792</v>
                </pt>
                <pt idx="25">
                  <v>47.54261097914259</v>
                </pt>
                <pt idx="26">
                  <v>44.55070091580549</v>
                </pt>
                <pt idx="27">
                  <v>43.594739828473</v>
                </pt>
                <pt idx="28">
                  <v>47.65587057500122</v>
                </pt>
                <pt idx="29">
                  <v>70.54354791111106</v>
                </pt>
                <pt idx="30">
                  <v>78.56831974775861</v>
                </pt>
                <pt idx="31">
                  <v>81.98335113640179</v>
                </pt>
                <pt idx="32">
                  <v>116.2002249554484</v>
                </pt>
                <pt idx="33">
                  <v>126.5303952032395</v>
                </pt>
                <pt idx="34">
                  <v>160.7705833010295</v>
                </pt>
                <pt idx="35">
                  <v>228.8621705579358</v>
                </pt>
                <pt idx="36">
                  <v>123.2012506791719</v>
                </pt>
                <pt idx="37">
                  <v>117.67077903546</v>
                </pt>
                <pt idx="38">
                  <v>191.508071735067</v>
                </pt>
                <pt idx="39">
                  <v>145.7013871592604</v>
                </pt>
                <pt idx="40">
                  <v>149.4185612445558</v>
                </pt>
                <pt idx="41">
                  <v>194.7110340948198</v>
                </pt>
                <pt idx="42">
                  <v>239.3981525107354</v>
                </pt>
                <pt idx="43">
                  <v>419.792637226606</v>
                </pt>
                <pt idx="44">
                  <v>310.7073992726671</v>
                </pt>
                <pt idx="45">
                  <v>125.6295598680838</v>
                </pt>
                <pt idx="46">
                  <v>131.7111886265582</v>
                </pt>
                <pt idx="47">
                  <v>282.8237937420726</v>
                </pt>
                <pt idx="48">
                  <v>138.5299886842633</v>
                </pt>
                <pt idx="49">
                  <v>109.8769757213503</v>
                </pt>
                <pt idx="50">
                  <v>93.77419094069538</v>
                </pt>
                <pt idx="51">
                  <v>76.25042822265543</v>
                </pt>
                <pt idx="52">
                  <v>50.54348776008261</v>
                </pt>
                <pt idx="53">
                  <v>74.88898277621806</v>
                </pt>
                <pt idx="54">
                  <v>52.09559943846345</v>
                </pt>
                <pt idx="55">
                  <v>74.18042603997819</v>
                </pt>
                <pt idx="56">
                  <v>68.11686962339694</v>
                </pt>
                <pt idx="57">
                  <v>50.53909051970285</v>
                </pt>
                <pt idx="58">
                  <v>90.68080556242518</v>
                </pt>
                <pt idx="59">
                  <v>63.45532768878803</v>
                </pt>
                <pt idx="60">
                  <v>78.57131644167831</v>
                </pt>
                <pt idx="61">
                  <v>59.47948676805509</v>
                </pt>
                <pt idx="62">
                  <v>51.26978324155493</v>
                </pt>
                <pt idx="63">
                  <v>49.38394056201121</v>
                </pt>
                <pt idx="64">
                  <v>35.89414827140887</v>
                </pt>
                <pt idx="65">
                  <v>47.03763372739765</v>
                </pt>
                <pt idx="66">
                  <v>42.52177322309952</v>
                </pt>
                <pt idx="67">
                  <v>52.17121747504909</v>
                </pt>
                <pt idx="68">
                  <v>45.64750462621701</v>
                </pt>
                <pt idx="69">
                  <v>58.44158378709199</v>
                </pt>
                <pt idx="70">
                  <v>97.58235261633192</v>
                </pt>
                <pt idx="71">
                  <v>92.07321769383398</v>
                </pt>
                <pt idx="72">
                  <v>111.1945655985155</v>
                </pt>
                <pt idx="73">
                  <v>105.4131597378828</v>
                </pt>
                <pt idx="74">
                  <v>57.84566339627056</v>
                </pt>
                <pt idx="75">
                  <v>45.84439577068735</v>
                </pt>
                <pt idx="76">
                  <v>40.06566739400938</v>
                </pt>
                <pt idx="77">
                  <v>33.4933819651966</v>
                </pt>
                <pt idx="78">
                  <v>61.32224821093979</v>
                </pt>
                <pt idx="79">
                  <v>47.75582456745756</v>
                </pt>
                <pt idx="80">
                  <v>49.42909499605724</v>
                </pt>
                <pt idx="81">
                  <v>74.26663453789526</v>
                </pt>
                <pt idx="82">
                  <v>95.56453180252134</v>
                </pt>
                <pt idx="83">
                  <v>80.95803424278026</v>
                </pt>
              </numCache>
            </numRef>
          </val>
          <smooth val="1"/>
        </ser>
        <ser>
          <idx val="1"/>
          <order val="1"/>
          <tx>
            <strRef>
              <f>'Capture Price Inputs'!$I$1</f>
              <strCache>
                <ptCount val="1"/>
                <pt idx="0">
                  <v>DK2 Capture Price (EUR/MWh) — Robustness</v>
                </pt>
              </strCache>
            </strRef>
          </tx>
          <spPr>
            <a:ln xmlns:a="http://schemas.openxmlformats.org/drawingml/2006/main">
              <a:solidFill>
                <a:srgbClr val="9DC3E6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val>
            <numRef>
              <f>'Capture Price Inputs'!$I$2:$I$85</f>
              <numCache>
                <formatCode>General</formatCode>
                <ptCount val="84"/>
                <pt idx="12">
                  <v>29.86213642213642</v>
                </pt>
                <pt idx="13">
                  <v>23.55551782972189</v>
                </pt>
                <pt idx="14">
                  <v>17.14905069226102</v>
                </pt>
                <pt idx="15">
                  <v>13.25252312836708</v>
                </pt>
                <pt idx="16">
                  <v>18.59404938271605</v>
                </pt>
                <pt idx="17">
                  <v>35.21078005032583</v>
                </pt>
                <pt idx="18">
                  <v>26.450778046867</v>
                </pt>
                <pt idx="19">
                  <v>44.11376501540486</v>
                </pt>
                <pt idx="20">
                  <v>41.85304788087056</v>
                </pt>
                <pt idx="21">
                  <v>33.60087837290333</v>
                </pt>
                <pt idx="22">
                  <v>37.749765625</v>
                </pt>
                <pt idx="23">
                  <v>44.19142857142857</v>
                </pt>
                <pt idx="24">
                  <v>57.07213441008145</v>
                </pt>
                <pt idx="25">
                  <v>52.28508365452458</v>
                </pt>
                <pt idx="26">
                  <v>47.42264301189781</v>
                </pt>
                <pt idx="27">
                  <v>45.90136374824883</v>
                </pt>
                <pt idx="28">
                  <v>50.2587202314608</v>
                </pt>
                <pt idx="29">
                  <v>69.46934165377623</v>
                </pt>
                <pt idx="30">
                  <v>77.93311155139432</v>
                </pt>
                <pt idx="31">
                  <v>84.51274769025703</v>
                </pt>
                <pt idx="32">
                  <v>118.7457227855615</v>
                </pt>
                <pt idx="33">
                  <v>122.3841235967906</v>
                </pt>
                <pt idx="34">
                  <v>153.6267942781575</v>
                </pt>
                <pt idx="35">
                  <v>244.4872785976441</v>
                </pt>
                <pt idx="36">
                  <v>129.6774902315082</v>
                </pt>
                <pt idx="37">
                  <v>108.8033389925641</v>
                </pt>
                <pt idx="38">
                  <v>186.0504424586062</v>
                </pt>
                <pt idx="39">
                  <v>143.5375888642185</v>
                </pt>
                <pt idx="40">
                  <v>146.2536023446033</v>
                </pt>
                <pt idx="41">
                  <v>192.2325905808319</v>
                </pt>
                <pt idx="42">
                  <v>212.3625858003895</v>
                </pt>
                <pt idx="43">
                  <v>397.1798848597606</v>
                </pt>
                <pt idx="44">
                  <v>315.928842796779</v>
                </pt>
                <pt idx="45">
                  <v>120.1190076327392</v>
                </pt>
                <pt idx="46">
                  <v>134.0399027878758</v>
                </pt>
                <pt idx="47">
                  <v>303.2697848166857</v>
                </pt>
                <pt idx="48">
                  <v>120.8992864784306</v>
                </pt>
                <pt idx="49">
                  <v>103.112625406295</v>
                </pt>
                <pt idx="50">
                  <v>89.0984689216417</v>
                </pt>
                <pt idx="51">
                  <v>71.1250997055942</v>
                </pt>
                <pt idx="52">
                  <v>48.35808379645633</v>
                </pt>
                <pt idx="53">
                  <v>71.8620903722224</v>
                </pt>
                <pt idx="54">
                  <v>50.34596661709235</v>
                </pt>
                <pt idx="55">
                  <v>72.95799234798741</v>
                </pt>
                <pt idx="56">
                  <v>64.3944846724649</v>
                </pt>
                <pt idx="57">
                  <v>47.66025509428685</v>
                </pt>
                <pt idx="58">
                  <v>84.63997860526599</v>
                </pt>
                <pt idx="59">
                  <v>59.06174633307972</v>
                </pt>
                <pt idx="60">
                  <v>76.42720253521921</v>
                </pt>
                <pt idx="61">
                  <v>51.43437919654775</v>
                </pt>
                <pt idx="62">
                  <v>50.75116381305344</v>
                </pt>
                <pt idx="63">
                  <v>47.053967904828</v>
                </pt>
                <pt idx="64">
                  <v>34.29579411369289</v>
                </pt>
                <pt idx="65">
                  <v>46.37938403458337</v>
                </pt>
                <pt idx="66">
                  <v>38.81282196947117</v>
                </pt>
                <pt idx="67">
                  <v>47.15186311829253</v>
                </pt>
                <pt idx="68">
                  <v>43.35594635084219</v>
                </pt>
                <pt idx="69">
                  <v>59.53493763028656</v>
                </pt>
                <pt idx="70">
                  <v>89.61127747791728</v>
                </pt>
                <pt idx="71">
                  <v>100.7961313991171</v>
                </pt>
                <pt idx="72">
                  <v>115.0822593270056</v>
                </pt>
                <pt idx="73">
                  <v>106.9231820731682</v>
                </pt>
                <pt idx="74">
                  <v>50.01806296126875</v>
                </pt>
                <pt idx="75">
                  <v>41.82584156307518</v>
                </pt>
                <pt idx="76">
                  <v>34.32066034459122</v>
                </pt>
                <pt idx="77">
                  <v>24.31568572006325</v>
                </pt>
                <pt idx="78">
                  <v>59.76694388214769</v>
                </pt>
                <pt idx="79">
                  <v>43.06460478354486</v>
                </pt>
                <pt idx="80">
                  <v>52.94940515380836</v>
                </pt>
                <pt idx="81">
                  <v>78.64573032240668</v>
                </pt>
                <pt idx="82">
                  <v>92.69045487153267</v>
                </pt>
                <pt idx="83">
                  <v>79.63122802208366</v>
                </pt>
              </numCache>
            </numRef>
          </val>
          <smooth val="1"/>
        </ser>
        <dLbls>
          <showLegendKey val="0"/>
          <showVal val="0"/>
          <showCatName val="0"/>
          <showSerName val="0"/>
          <showPercent val="0"/>
          <showBubbleSize val="0"/>
        </dLbls>
        <smooth val="0"/>
        <axId val="10"/>
        <axId val="100"/>
      </lineChart>
      <catAx>
        <axId val="10"/>
        <scaling>
          <orientation val="minMax"/>
        </scaling>
        <delete val="1"/>
        <axPos val="b"/>
        <title>
          <tx>
            <rich>
              <a:bodyPr xmlns:a="http://schemas.openxmlformats.org/drawingml/2006/main"/>
              <a:lstStyle xmlns:a="http://schemas.openxmlformats.org/drawingml/2006/main"/>
              <a:p xmlns:a="http://schemas.openxmlformats.org/drawingml/2006/main">
                <a:pPr>
                  <a:defRPr/>
                </a:pPr>
                <a:r>
                  <a:rPr lang="en-GB"/>
                  <a:t>Month</a:t>
                </a:r>
              </a:p>
            </rich>
          </tx>
          <overlay val="1"/>
        </title>
        <majorTickMark val="none"/>
        <minorTickMark val="none"/>
        <tickLblPos val="nextTo"/>
        <crossAx val="100"/>
        <crosses val="autoZero"/>
        <auto val="1"/>
        <lblAlgn val="ctr"/>
        <lblOffset val="100"/>
        <noMultiLvlLbl val="1"/>
      </catAx>
      <valAx>
        <axId val="100"/>
        <scaling>
          <orientation val="minMax"/>
        </scaling>
        <delete val="1"/>
        <axPos val="l"/>
        <majorGridlines/>
        <title>
          <tx>
            <rich>
              <a:bodyPr xmlns:a="http://schemas.openxmlformats.org/drawingml/2006/main"/>
              <a:lstStyle xmlns:a="http://schemas.openxmlformats.org/drawingml/2006/main"/>
              <a:p xmlns:a="http://schemas.openxmlformats.org/drawingml/2006/main">
                <a:pPr>
                  <a:defRPr/>
                </a:pPr>
                <a:r>
                  <a:rPr lang="en-GB"/>
                  <a:t>EUR/MWh</a:t>
                </a:r>
              </a:p>
            </rich>
          </tx>
          <overlay val="1"/>
        </title>
        <numFmt formatCode="General" sourceLinked="1"/>
        <majorTickMark val="none"/>
        <minorTickMark val="none"/>
        <tickLblPos val="nextTo"/>
        <crossAx val="10"/>
        <crosses val="autoZero"/>
        <crossBetween val="between"/>
      </valAx>
    </plotArea>
    <legend>
      <legendPos val="r"/>
      <overlay val="1"/>
    </legend>
    <plotVisOnly val="1"/>
    <dispBlanksAs val="gap"/>
  </chart>
</chartSpace>
</file>

<file path=xl/charts/chart80.xml><?xml version="1.0" encoding="utf-8"?>
<chartSpace xmlns="http://schemas.openxmlformats.org/drawingml/2006/chart">
  <chart>
    <title>
      <tx>
        <rich>
          <a:bodyPr xmlns:a="http://schemas.openxmlformats.org/drawingml/2006/main"/>
          <a:lstStyle xmlns:a="http://schemas.openxmlformats.org/drawingml/2006/main"/>
          <a:p xmlns:a="http://schemas.openxmlformats.org/drawingml/2006/main">
            <a:pPr>
              <a:defRPr/>
            </a:pPr>
            <a:r>
              <a:rPr lang="en-GB"/>
              <a:t>Capture Price Ratio - DK1 Primary | DK2 Robustness</a:t>
            </a:r>
          </a:p>
        </rich>
      </tx>
      <overlay val="1"/>
    </title>
    <plotArea>
      <layout/>
      <lineChart>
        <grouping val="standard"/>
        <varyColors val="1"/>
        <ser>
          <idx val="0"/>
          <order val="0"/>
          <tx>
            <strRef>
              <f>'Capture Price Inputs'!$J$1</f>
              <strCache>
                <ptCount val="1"/>
                <pt idx="0">
                  <v>DK1 CPR — Primary</v>
                </pt>
              </strCache>
            </strRef>
          </tx>
          <spPr>
            <a:ln xmlns:a="http://schemas.openxmlformats.org/drawingml/2006/main">
              <a:solidFill>
                <a:srgbClr val="2E75B6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val>
            <numRef>
              <f>'Capture Price Inputs'!$J$2:$J$85</f>
              <numCache>
                <formatCode>General</formatCode>
                <ptCount val="84"/>
                <pt idx="12">
                  <v>1.009148659447442</v>
                </pt>
                <pt idx="13">
                  <v>1.298591168695051</v>
                </pt>
                <pt idx="14">
                  <v>0.8710146939215303</v>
                </pt>
                <pt idx="15">
                  <v>0.7131577255881921</v>
                </pt>
                <pt idx="16">
                  <v>0.9641557693120565</v>
                </pt>
                <pt idx="17">
                  <v>1.039466413731094</v>
                </pt>
                <pt idx="18">
                  <v>1.008618155660831</v>
                </pt>
                <pt idx="19">
                  <v>0.9808226440750074</v>
                </pt>
                <pt idx="20">
                  <v>1.010404486913005</v>
                </pt>
                <pt idx="21">
                  <v>1.236802226812374</v>
                </pt>
                <pt idx="22">
                  <v>1.094777917215692</v>
                </pt>
                <pt idx="23">
                  <v>1.008230164182662</v>
                </pt>
                <pt idx="24">
                  <v>1.103930861568265</v>
                </pt>
                <pt idx="25">
                  <v>1.005947927705425</v>
                </pt>
                <pt idx="26">
                  <v>0.9871758725122356</v>
                </pt>
                <pt idx="27">
                  <v>0.9088464745665017</v>
                </pt>
                <pt idx="28">
                  <v>0.8775180518715436</v>
                </pt>
                <pt idx="29">
                  <v>0.9569142795347317</v>
                </pt>
                <pt idx="30">
                  <v>0.9821132371596978</v>
                </pt>
                <pt idx="31">
                  <v>0.9902714780245057</v>
                </pt>
                <pt idx="32">
                  <v>0.9269044048361358</v>
                </pt>
                <pt idx="33">
                  <v>1.081088507413439</v>
                </pt>
                <pt idx="34">
                  <v>1.133803408504466</v>
                </pt>
                <pt idx="35">
                  <v>1.208676962454928</v>
                </pt>
                <pt idx="36">
                  <v>1.044125730427727</v>
                </pt>
                <pt idx="37">
                  <v>1.04022281700981</v>
                </pt>
                <pt idx="38">
                  <v>0.8120775904420741</v>
                </pt>
                <pt idx="39">
                  <v>0.8903913338467833</v>
                </pt>
                <pt idx="40">
                  <v>0.8694301605049858</v>
                </pt>
                <pt idx="41">
                  <v>0.9080390201234191</v>
                </pt>
                <pt idx="42">
                  <v>0.8704179159294955</v>
                </pt>
                <pt idx="43">
                  <v>0.9190855304670003</v>
                </pt>
                <pt idx="44">
                  <v>0.9063290180568312</v>
                </pt>
                <pt idx="45">
                  <v>0.9161232525396177</v>
                </pt>
                <pt idx="46">
                  <v>0.9427861207466001</v>
                </pt>
                <pt idx="47">
                  <v>1.132810339248927</v>
                </pt>
                <pt idx="48">
                  <v>1.230919869122654</v>
                </pt>
                <pt idx="49">
                  <v>0.93008781340266</v>
                </pt>
                <pt idx="50">
                  <v>0.9461253975959896</v>
                </pt>
                <pt idx="51">
                  <v>0.7920396612038634</v>
                </pt>
                <pt idx="52">
                  <v>0.6833361056151995</v>
                </pt>
                <pt idx="53">
                  <v>0.8096506208621567</v>
                </pt>
                <pt idx="54">
                  <v>0.8038042195326093</v>
                </pt>
                <pt idx="55">
                  <v>0.8628930977720407</v>
                </pt>
                <pt idx="56">
                  <v>0.8038389922187259</v>
                </pt>
                <pt idx="57">
                  <v>0.8408360556054226</v>
                </pt>
                <pt idx="58">
                  <v>1.028656893611996</v>
                </pt>
                <pt idx="59">
                  <v>0.9132560776287663</v>
                </pt>
                <pt idx="60">
                  <v>1.051614630458469</v>
                </pt>
                <pt idx="61">
                  <v>1.014420829179444</v>
                </pt>
                <pt idx="62">
                  <v>0.8373818542217274</v>
                </pt>
                <pt idx="63">
                  <v>0.8346846016164379</v>
                </pt>
                <pt idx="64">
                  <v>0.6133984536650869</v>
                </pt>
                <pt idx="65">
                  <v>0.7378100322386865</v>
                </pt>
                <pt idx="66">
                  <v>0.685499494870618</v>
                </pt>
                <pt idx="67">
                  <v>0.7151267621934952</v>
                </pt>
                <pt idx="68">
                  <v>0.636525223039573</v>
                </pt>
                <pt idx="69">
                  <v>0.7617518807592967</v>
                </pt>
                <pt idx="70">
                  <v>1.017494003861172</v>
                </pt>
                <pt idx="71">
                  <v>1.002567416041121</v>
                </pt>
                <pt idx="72">
                  <v>1.135032584901597</v>
                </pt>
                <pt idx="73">
                  <v>0.9341166514187298</v>
                </pt>
                <pt idx="74">
                  <v>0.6857908168802248</v>
                </pt>
                <pt idx="75">
                  <v>0.609953535618325</v>
                </pt>
                <pt idx="76">
                  <v>0.6237511742318941</v>
                </pt>
                <pt idx="77">
                  <v>0.569764321286333</v>
                </pt>
                <pt idx="78">
                  <v>0.7405896710838001</v>
                </pt>
                <pt idx="79">
                  <v>0.6499711234459455</v>
                </pt>
                <pt idx="80">
                  <v>0.6827347489865859</v>
                </pt>
                <pt idx="81">
                  <v>0.9470151719348058</v>
                </pt>
                <pt idx="82">
                  <v>1.028976430956097</v>
                </pt>
                <pt idx="83">
                  <v>0.9820538861792604</v>
                </pt>
              </numCache>
            </numRef>
          </val>
          <smooth val="1"/>
        </ser>
        <ser>
          <idx val="1"/>
          <order val="1"/>
          <tx>
            <strRef>
              <f>'Capture Price Inputs'!$K$1</f>
              <strCache>
                <ptCount val="1"/>
                <pt idx="0">
                  <v>DK2 CPR — Robustness</v>
                </pt>
              </strCache>
            </strRef>
          </tx>
          <spPr>
            <a:ln xmlns:a="http://schemas.openxmlformats.org/drawingml/2006/main">
              <a:solidFill>
                <a:srgbClr val="9DC3E6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val>
            <numRef>
              <f>'Capture Price Inputs'!$K$2:$K$85</f>
              <numCache>
                <formatCode>General</formatCode>
                <ptCount val="84"/>
                <pt idx="12">
                  <v>1.090446324793763</v>
                </pt>
                <pt idx="13">
                  <v>1.251821301318464</v>
                </pt>
                <pt idx="14">
                  <v>0.8552077585127711</v>
                </pt>
                <pt idx="15">
                  <v>0.763620235478716</v>
                </pt>
                <pt idx="16">
                  <v>0.9763693823354528</v>
                </pt>
                <pt idx="17">
                  <v>1.180647007173951</v>
                </pt>
                <pt idx="18">
                  <v>1.021791049952987</v>
                </pt>
                <pt idx="19">
                  <v>1.077948442472481</v>
                </pt>
                <pt idx="20">
                  <v>1.059189092335807</v>
                </pt>
                <pt idx="21">
                  <v>1.247549053102559</v>
                </pt>
                <pt idx="22">
                  <v>1.057080411727209</v>
                </pt>
                <pt idx="23">
                  <v>1.125691191699302</v>
                </pt>
                <pt idx="24">
                  <v>1.122164979814525</v>
                </pt>
                <pt idx="25">
                  <v>0.9585139857498034</v>
                </pt>
                <pt idx="26">
                  <v>1.014774172650395</v>
                </pt>
                <pt idx="27">
                  <v>0.9590164366476613</v>
                </pt>
                <pt idx="28">
                  <v>0.9103388736117121</v>
                </pt>
                <pt idx="29">
                  <v>0.9440449187481634</v>
                </pt>
                <pt idx="30">
                  <v>0.9569285690465077</v>
                </pt>
                <pt idx="31">
                  <v>1.001768528067071</v>
                </pt>
                <pt idx="32">
                  <v>0.9583833699094481</v>
                </pt>
                <pt idx="33">
                  <v>1.144501265847132</v>
                </pt>
                <pt idx="34">
                  <v>1.126460857141801</v>
                </pt>
                <pt idx="35">
                  <v>1.279578427053047</v>
                </pt>
                <pt idx="36">
                  <v>1.161754652341282</v>
                </pt>
                <pt idx="37">
                  <v>1.084871924613185</v>
                </pt>
                <pt idx="38">
                  <v>0.8162958275837114</v>
                </pt>
                <pt idx="39">
                  <v>0.9391804877392103</v>
                </pt>
                <pt idx="40">
                  <v>0.8991456314331195</v>
                </pt>
                <pt idx="41">
                  <v>0.9015136745747578</v>
                </pt>
                <pt idx="42">
                  <v>0.909562444967756</v>
                </pt>
                <pt idx="43">
                  <v>0.8830756108422062</v>
                </pt>
                <pt idx="44">
                  <v>0.9608536982958826</v>
                </pt>
                <pt idx="45">
                  <v>0.8774354195736861</v>
                </pt>
                <pt idx="46">
                  <v>0.9240447439178995</v>
                </pt>
                <pt idx="47">
                  <v>1.218528056069729</v>
                </pt>
                <pt idx="48">
                  <v>1.21186632363043</v>
                </pt>
                <pt idx="49">
                  <v>1.024478122815962</v>
                </pt>
                <pt idx="50">
                  <v>0.992236312197012</v>
                </pt>
                <pt idx="51">
                  <v>0.8502587347820391</v>
                </pt>
                <pt idx="52">
                  <v>0.7310174827054021</v>
                </pt>
                <pt idx="53">
                  <v>0.7860381991736552</v>
                </pt>
                <pt idx="54">
                  <v>0.7717034871247128</v>
                </pt>
                <pt idx="55">
                  <v>0.8454610410569836</v>
                </pt>
                <pt idx="56">
                  <v>0.7532917330845335</v>
                </pt>
                <pt idx="57">
                  <v>0.837234490334641</v>
                </pt>
                <pt idx="58">
                  <v>1.038705241708771</v>
                </pt>
                <pt idx="59">
                  <v>0.8332670757562848</v>
                </pt>
                <pt idx="60">
                  <v>0.977144875107929</v>
                </pt>
                <pt idx="61">
                  <v>0.9399172603334611</v>
                </pt>
                <pt idx="62">
                  <v>0.8314293202728863</v>
                </pt>
                <pt idx="63">
                  <v>0.7780510745637418</v>
                </pt>
                <pt idx="64">
                  <v>0.5900556342707577</v>
                </pt>
                <pt idx="65">
                  <v>0.6943958569114143</v>
                </pt>
                <pt idx="66">
                  <v>0.6176283845394642</v>
                </pt>
                <pt idx="67">
                  <v>0.6493471479229646</v>
                </pt>
                <pt idx="68">
                  <v>0.6157480113547513</v>
                </pt>
                <pt idx="69">
                  <v>0.7800073506793195</v>
                </pt>
                <pt idx="70">
                  <v>0.9404779955101509</v>
                </pt>
                <pt idx="71">
                  <v>1.087006718547946</v>
                </pt>
                <pt idx="72">
                  <v>1.149400364807902</v>
                </pt>
                <pt idx="73">
                  <v>0.9066238427133391</v>
                </pt>
                <pt idx="74">
                  <v>0.603741164715803</v>
                </pt>
                <pt idx="75">
                  <v>0.5517436798810373</v>
                </pt>
                <pt idx="76">
                  <v>0.544059463307295</v>
                </pt>
                <pt idx="77">
                  <v>0.4307606652121766</v>
                </pt>
                <pt idx="78">
                  <v>0.7474634186196619</v>
                </pt>
                <pt idx="79">
                  <v>0.5717894234335987</v>
                </pt>
                <pt idx="80">
                  <v>0.635731600833678</v>
                </pt>
                <pt idx="81">
                  <v>0.9548084008156305</v>
                </pt>
                <pt idx="82">
                  <v>0.9892725129496999</v>
                </pt>
                <pt idx="83">
                  <v>0.9701479625359415</v>
                </pt>
              </numCache>
            </numRef>
          </val>
          <smooth val="1"/>
        </ser>
        <dLbls>
          <showLegendKey val="0"/>
          <showVal val="0"/>
          <showCatName val="0"/>
          <showSerName val="0"/>
          <showPercent val="0"/>
          <showBubbleSize val="0"/>
        </dLbls>
        <smooth val="0"/>
        <axId val="10"/>
        <axId val="100"/>
      </lineChart>
      <catAx>
        <axId val="10"/>
        <scaling>
          <orientation val="minMax"/>
        </scaling>
        <delete val="1"/>
        <axPos val="b"/>
        <title>
          <tx>
            <rich>
              <a:bodyPr xmlns:a="http://schemas.openxmlformats.org/drawingml/2006/main"/>
              <a:lstStyle xmlns:a="http://schemas.openxmlformats.org/drawingml/2006/main"/>
              <a:p xmlns:a="http://schemas.openxmlformats.org/drawingml/2006/main">
                <a:pPr>
                  <a:defRPr/>
                </a:pPr>
                <a:r>
                  <a:rPr lang="en-GB"/>
                  <a:t>Month</a:t>
                </a:r>
              </a:p>
            </rich>
          </tx>
          <overlay val="1"/>
        </title>
        <majorTickMark val="none"/>
        <minorTickMark val="none"/>
        <tickLblPos val="nextTo"/>
        <crossAx val="100"/>
        <crosses val="autoZero"/>
        <auto val="1"/>
        <lblAlgn val="ctr"/>
        <lblOffset val="100"/>
        <noMultiLvlLbl val="1"/>
      </catAx>
      <valAx>
        <axId val="100"/>
        <scaling>
          <orientation val="minMax"/>
        </scaling>
        <delete val="1"/>
        <axPos val="l"/>
        <majorGridlines/>
        <title>
          <tx>
            <rich>
              <a:bodyPr xmlns:a="http://schemas.openxmlformats.org/drawingml/2006/main"/>
              <a:lstStyle xmlns:a="http://schemas.openxmlformats.org/drawingml/2006/main"/>
              <a:p xmlns:a="http://schemas.openxmlformats.org/drawingml/2006/main">
                <a:pPr>
                  <a:defRPr/>
                </a:pPr>
                <a:r>
                  <a:rPr lang="en-GB"/>
                  <a:t>CPR</a:t>
                </a:r>
              </a:p>
            </rich>
          </tx>
          <overlay val="1"/>
        </title>
        <numFmt formatCode="General" sourceLinked="1"/>
        <majorTickMark val="none"/>
        <minorTickMark val="none"/>
        <tickLblPos val="nextTo"/>
        <crossAx val="10"/>
        <crosses val="autoZero"/>
        <crossBetween val="between"/>
      </valAx>
    </plotArea>
    <legend>
      <legendPos val="r"/>
      <overlay val="1"/>
    </legend>
    <plotVisOnly val="1"/>
    <dispBlanksAs val="gap"/>
  </chart>
</chartSpace>
</file>

<file path=xl/charts/chart81.xml><?xml version="1.0" encoding="utf-8"?>
<chartSpace xmlns="http://schemas.openxmlformats.org/drawingml/2006/chart">
  <chart>
    <title>
      <tx>
        <rich>
          <a:bodyPr xmlns:a="http://schemas.openxmlformats.org/drawingml/2006/main"/>
          <a:lstStyle xmlns:a="http://schemas.openxmlformats.org/drawingml/2006/main"/>
          <a:p xmlns:a="http://schemas.openxmlformats.org/drawingml/2006/main">
            <a:pPr>
              <a:defRPr/>
            </a:pPr>
            <a:r>
              <a:rPr lang="en-GB"/>
              <a:t>Solar Penetration - DK1 Primary | DK2 Robustness</a:t>
            </a:r>
          </a:p>
        </rich>
      </tx>
      <overlay val="1"/>
    </title>
    <plotArea>
      <layout/>
      <lineChart>
        <grouping val="standard"/>
        <varyColors val="1"/>
        <ser>
          <idx val="0"/>
          <order val="0"/>
          <tx>
            <strRef>
              <f>'Capture Price Inputs'!$F$1</f>
              <strCache>
                <ptCount val="1"/>
                <pt idx="0">
                  <v>DK1 Solar Penetration (%) — Primary</v>
                </pt>
              </strCache>
            </strRef>
          </tx>
          <spPr>
            <a:ln xmlns:a="http://schemas.openxmlformats.org/drawingml/2006/main">
              <a:solidFill>
                <a:srgbClr val="FF8C00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val>
            <numRef>
              <f>'Capture Price Inputs'!$F$2:$F$85</f>
              <numCache>
                <formatCode>General</formatCode>
                <ptCount val="84"/>
                <pt idx="0">
                  <v>0</v>
                </pt>
                <pt idx="1">
                  <v>0</v>
                </pt>
                <pt idx="2">
                  <v>0</v>
                </pt>
                <pt idx="3">
                  <v>0</v>
                </pt>
                <pt idx="4">
                  <v>0</v>
                </pt>
                <pt idx="5">
                  <v>0</v>
                </pt>
                <pt idx="6">
                  <v>0</v>
                </pt>
                <pt idx="7">
                  <v>0</v>
                </pt>
                <pt idx="8">
                  <v>0</v>
                </pt>
                <pt idx="9">
                  <v>0</v>
                </pt>
                <pt idx="10">
                  <v>0</v>
                </pt>
                <pt idx="11">
                  <v>0</v>
                </pt>
                <pt idx="12">
                  <v>0.002264447892629483</v>
                </pt>
                <pt idx="13">
                  <v>0.005247452024482245</v>
                </pt>
                <pt idx="14">
                  <v>0.02020167759412729</v>
                </pt>
                <pt idx="15">
                  <v>0.0324279896123047</v>
                </pt>
                <pt idx="16">
                  <v>0.03608008723790357</v>
                </pt>
                <pt idx="17">
                  <v>0.03741361883164089</v>
                </pt>
                <pt idx="18">
                  <v>0.03399843385950392</v>
                </pt>
                <pt idx="19">
                  <v>0.03422476314253766</v>
                </pt>
                <pt idx="20">
                  <v>0.02433015193915724</v>
                </pt>
                <pt idx="21">
                  <v>0.01149038754944678</v>
                </pt>
                <pt idx="22">
                  <v>0.0001521101274151999</v>
                </pt>
                <pt idx="23">
                  <v>1.472410662127807e-05</v>
                </pt>
                <pt idx="24">
                  <v>0.003631355999035091</v>
                </pt>
                <pt idx="25">
                  <v>0.0108689417180573</v>
                </pt>
                <pt idx="26">
                  <v>0.02238230390737163</v>
                </pt>
                <pt idx="27">
                  <v>0.04212837115783985</v>
                </pt>
                <pt idx="28">
                  <v>0.03307505221196035</v>
                </pt>
                <pt idx="29">
                  <v>0.04984166182181952</v>
                </pt>
                <pt idx="30">
                  <v>0.0485715434854639</v>
                </pt>
                <pt idx="31">
                  <v>0.0388769479447087</v>
                </pt>
                <pt idx="32">
                  <v>0.02593285017943629</v>
                </pt>
                <pt idx="33">
                  <v>0.01746009643148906</v>
                </pt>
                <pt idx="34">
                  <v>0.007029306005813504</v>
                </pt>
                <pt idx="35">
                  <v>0.003243365391886713</v>
                </pt>
                <pt idx="36">
                  <v>0.006675315547248087</v>
                </pt>
                <pt idx="37">
                  <v>0.0173995712330029</v>
                </pt>
                <pt idx="38">
                  <v>0.06195507058644287</v>
                </pt>
                <pt idx="39">
                  <v>0.08404056603836467</v>
                </pt>
                <pt idx="40">
                  <v>0.09687689142031611</v>
                </pt>
                <pt idx="41">
                  <v>0.09496202074431148</v>
                </pt>
                <pt idx="42">
                  <v>0.09963556652585577</v>
                </pt>
                <pt idx="43">
                  <v>0.08962697832526678</v>
                </pt>
                <pt idx="44">
                  <v>0.06604649859170474</v>
                </pt>
                <pt idx="45">
                  <v>0.03746941447765471</v>
                </pt>
                <pt idx="46">
                  <v>0.01046932675470221</v>
                </pt>
                <pt idx="47">
                  <v>0.006229164645196865</v>
                </pt>
                <pt idx="48">
                  <v>0.01246069427686292</v>
                </pt>
                <pt idx="49">
                  <v>0.03437640419176364</v>
                </pt>
                <pt idx="50">
                  <v>0.05647796857705859</v>
                </pt>
                <pt idx="51">
                  <v>0.1509467292684683</v>
                </pt>
                <pt idx="52">
                  <v>0.18600333743842</v>
                </pt>
                <pt idx="53">
                  <v>0.218925737129461</v>
                </pt>
                <pt idx="54">
                  <v>0.1892952405634502</v>
                </pt>
                <pt idx="55">
                  <v>0.1493297980639493</v>
                </pt>
                <pt idx="56">
                  <v>0.1319165438654872</v>
                </pt>
                <pt idx="57">
                  <v>0.0428648864567301</v>
                </pt>
                <pt idx="58">
                  <v>0.01600349353715238</v>
                </pt>
                <pt idx="59">
                  <v>0.006390504672696534</v>
                </pt>
                <pt idx="60">
                  <v>0.01341718605060752</v>
                </pt>
                <pt idx="61">
                  <v>0.0264362238379265</v>
                </pt>
                <pt idx="62">
                  <v>0.06623397340035048</v>
                </pt>
                <pt idx="63">
                  <v>0.1084169878649764</v>
                </pt>
                <pt idx="64">
                  <v>0.1888703164988005</v>
                </pt>
                <pt idx="65">
                  <v>0.1715230569234828</v>
                </pt>
                <pt idx="66">
                  <v>0.1809062055635286</v>
                </pt>
                <pt idx="67">
                  <v>0.155121531117258</v>
                </pt>
                <pt idx="68">
                  <v>0.1275567235314205</v>
                </pt>
                <pt idx="69">
                  <v>0.06287376784741511</v>
                </pt>
                <pt idx="70">
                  <v>0.01780902737610289</v>
                </pt>
                <pt idx="71">
                  <v>0.006785797568345668</v>
                </pt>
                <pt idx="72">
                  <v>0.01366055484422285</v>
                </pt>
                <pt idx="73">
                  <v>0.04341993481717769</v>
                </pt>
                <pt idx="74">
                  <v>0.1120694547038418</v>
                </pt>
                <pt idx="75">
                  <v>0.1482754875605271</v>
                </pt>
                <pt idx="76">
                  <v>0.1924446817596716</v>
                </pt>
                <pt idx="77">
                  <v>0.1878482923852328</v>
                </pt>
                <pt idx="78">
                  <v>0.2182818884824121</v>
                </pt>
                <pt idx="79">
                  <v>0.1901168401280812</v>
                </pt>
                <pt idx="80">
                  <v>0.1381615272451792</v>
                </pt>
                <pt idx="81">
                  <v>0.06946207120205163</v>
                </pt>
                <pt idx="82">
                  <v>0.02660497040214753</v>
                </pt>
                <pt idx="83">
                  <v>0.0140253486520015</v>
                </pt>
              </numCache>
            </numRef>
          </val>
          <smooth val="1"/>
        </ser>
        <ser>
          <idx val="1"/>
          <order val="1"/>
          <tx>
            <strRef>
              <f>'Capture Price Inputs'!$G$1</f>
              <strCache>
                <ptCount val="1"/>
                <pt idx="0">
                  <v>DK2 Solar Penetration (%) — Robustness</v>
                </pt>
              </strCache>
            </strRef>
          </tx>
          <spPr>
            <a:ln xmlns:a="http://schemas.openxmlformats.org/drawingml/2006/main">
              <a:solidFill>
                <a:srgbClr val="FFD700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val>
            <numRef>
              <f>'Capture Price Inputs'!$G$2:$G$85</f>
              <numCache>
                <formatCode>General</formatCode>
                <ptCount val="84"/>
                <pt idx="0">
                  <v>0</v>
                </pt>
                <pt idx="1">
                  <v>0</v>
                </pt>
                <pt idx="2">
                  <v>0</v>
                </pt>
                <pt idx="3">
                  <v>0</v>
                </pt>
                <pt idx="4">
                  <v>0</v>
                </pt>
                <pt idx="5">
                  <v>0</v>
                </pt>
                <pt idx="6">
                  <v>0</v>
                </pt>
                <pt idx="7">
                  <v>0</v>
                </pt>
                <pt idx="8">
                  <v>0</v>
                </pt>
                <pt idx="9">
                  <v>0</v>
                </pt>
                <pt idx="10">
                  <v>0</v>
                </pt>
                <pt idx="11">
                  <v>0</v>
                </pt>
                <pt idx="12">
                  <v>0.001864323044087839</v>
                </pt>
                <pt idx="13">
                  <v>0.004961339344807235</v>
                </pt>
                <pt idx="14">
                  <v>0.01532033335337761</v>
                </pt>
                <pt idx="15">
                  <v>0.02618059513454593</v>
                </pt>
                <pt idx="16">
                  <v>0.03224093077416624</v>
                </pt>
                <pt idx="17">
                  <v>0.03065181208815584</v>
                </pt>
                <pt idx="18">
                  <v>0.02998206800974695</v>
                </pt>
                <pt idx="19">
                  <v>0.02803471341430708</v>
                </pt>
                <pt idx="20">
                  <v>0.02173647910159525</v>
                </pt>
                <pt idx="21">
                  <v>0.01107911770574695</v>
                </pt>
                <pt idx="22">
                  <v>0.0001104461157833284</v>
                </pt>
                <pt idx="23">
                  <v>5.635243358406259e-06</v>
                </pt>
                <pt idx="24">
                  <v>0.003104474131982996</v>
                </pt>
                <pt idx="25">
                  <v>0.009248336948772359</v>
                </pt>
                <pt idx="26">
                  <v>0.01847451704521283</v>
                </pt>
                <pt idx="27">
                  <v>0.03269440748331279</v>
                </pt>
                <pt idx="28">
                  <v>0.03294582929454019</v>
                </pt>
                <pt idx="29">
                  <v>0.04448013314005607</v>
                </pt>
                <pt idx="30">
                  <v>0.03704954253730217</v>
                </pt>
                <pt idx="31">
                  <v>0.03185776883426199</v>
                </pt>
                <pt idx="32">
                  <v>0.0223981137027396</v>
                </pt>
                <pt idx="33">
                  <v>0.01267326343754744</v>
                </pt>
                <pt idx="34">
                  <v>0.004013281085791027</v>
                </pt>
                <pt idx="35">
                  <v>0.001822629583826099</v>
                </pt>
                <pt idx="36">
                  <v>0.004939556742877535</v>
                </pt>
                <pt idx="37">
                  <v>0.01324848558669828</v>
                </pt>
                <pt idx="38">
                  <v>0.03408933034912105</v>
                </pt>
                <pt idx="39">
                  <v>0.05525443609957865</v>
                </pt>
                <pt idx="40">
                  <v>0.06581145996085939</v>
                </pt>
                <pt idx="41">
                  <v>0.06452822904586782</v>
                </pt>
                <pt idx="42">
                  <v>0.06702580380195292</v>
                </pt>
                <pt idx="43">
                  <v>0.06129992439719582</v>
                </pt>
                <pt idx="44">
                  <v>0.04578427610350702</v>
                </pt>
                <pt idx="45">
                  <v>0.0298090580270354</v>
                </pt>
                <pt idx="46">
                  <v>0.007865295261900549</v>
                </pt>
                <pt idx="47">
                  <v>0.004532355552973548</v>
                </pt>
                <pt idx="48">
                  <v>0.005862652723136608</v>
                </pt>
                <pt idx="49">
                  <v>0.01887764841837355</v>
                </pt>
                <pt idx="50">
                  <v>0.03709622939200571</v>
                </pt>
                <pt idx="51">
                  <v>0.08026996603382495</v>
                </pt>
                <pt idx="52">
                  <v>0.1080032082802261</v>
                </pt>
                <pt idx="53">
                  <v>0.1144244665352921</v>
                </pt>
                <pt idx="54">
                  <v>0.1020307450715976</v>
                </pt>
                <pt idx="55">
                  <v>0.07793101053296771</v>
                </pt>
                <pt idx="56">
                  <v>0.08090995463931874</v>
                </pt>
                <pt idx="57">
                  <v>0.02917234021559438</v>
                </pt>
                <pt idx="58">
                  <v>0.0104098691216888</v>
                </pt>
                <pt idx="59">
                  <v>0.003809030164374855</v>
                </pt>
                <pt idx="60">
                  <v>0.006178183072975508</v>
                </pt>
                <pt idx="61">
                  <v>0.01667231366864759</v>
                </pt>
                <pt idx="62">
                  <v>0.04111280636733766</v>
                </pt>
                <pt idx="63">
                  <v>0.06512337874480645</v>
                </pt>
                <pt idx="64">
                  <v>0.106315341440858</v>
                </pt>
                <pt idx="65">
                  <v>0.1072729076610999</v>
                </pt>
                <pt idx="66">
                  <v>0.1057942634887733</v>
                </pt>
                <pt idx="67">
                  <v>0.0936908322687052</v>
                </pt>
                <pt idx="68">
                  <v>0.07246320282040017</v>
                </pt>
                <pt idx="69">
                  <v>0.03614525389237988</v>
                </pt>
                <pt idx="70">
                  <v>0.008602841405423608</v>
                </pt>
                <pt idx="71">
                  <v>0.004171468465776758</v>
                </pt>
                <pt idx="72">
                  <v>0.007223240212576967</v>
                </pt>
                <pt idx="73">
                  <v>0.02010831138567791</v>
                </pt>
                <pt idx="74">
                  <v>0.04654786644745259</v>
                </pt>
                <pt idx="75">
                  <v>0.07168978364906199</v>
                </pt>
                <pt idx="76">
                  <v>0.09471412725623395</v>
                </pt>
                <pt idx="77">
                  <v>0.09982625001551076</v>
                </pt>
                <pt idx="78">
                  <v>0.09399641941869914</v>
                </pt>
                <pt idx="79">
                  <v>0.1057378118957395</v>
                </pt>
                <pt idx="80">
                  <v>0.09062887968652376</v>
                </pt>
                <pt idx="81">
                  <v>0.03957312567862663</v>
                </pt>
                <pt idx="82">
                  <v>0.01454364344794783</v>
                </pt>
                <pt idx="83">
                  <v>0.00906949116088333</v>
                </pt>
              </numCache>
            </numRef>
          </val>
          <smooth val="1"/>
        </ser>
        <dLbls>
          <showLegendKey val="0"/>
          <showVal val="0"/>
          <showCatName val="0"/>
          <showSerName val="0"/>
          <showPercent val="0"/>
          <showBubbleSize val="0"/>
        </dLbls>
        <smooth val="0"/>
        <axId val="10"/>
        <axId val="100"/>
      </lineChart>
      <catAx>
        <axId val="10"/>
        <scaling>
          <orientation val="minMax"/>
        </scaling>
        <delete val="1"/>
        <axPos val="b"/>
        <title>
          <tx>
            <rich>
              <a:bodyPr xmlns:a="http://schemas.openxmlformats.org/drawingml/2006/main"/>
              <a:lstStyle xmlns:a="http://schemas.openxmlformats.org/drawingml/2006/main"/>
              <a:p xmlns:a="http://schemas.openxmlformats.org/drawingml/2006/main">
                <a:pPr>
                  <a:defRPr/>
                </a:pPr>
                <a:r>
                  <a:rPr lang="en-GB"/>
                  <a:t>Month</a:t>
                </a:r>
              </a:p>
            </rich>
          </tx>
          <overlay val="1"/>
        </title>
        <majorTickMark val="none"/>
        <minorTickMark val="none"/>
        <tickLblPos val="nextTo"/>
        <crossAx val="100"/>
        <crosses val="autoZero"/>
        <auto val="1"/>
        <lblAlgn val="ctr"/>
        <lblOffset val="100"/>
        <noMultiLvlLbl val="1"/>
      </catAx>
      <valAx>
        <axId val="100"/>
        <scaling>
          <orientation val="minMax"/>
        </scaling>
        <delete val="1"/>
        <axPos val="l"/>
        <majorGridlines/>
        <title>
          <tx>
            <rich>
              <a:bodyPr xmlns:a="http://schemas.openxmlformats.org/drawingml/2006/main"/>
              <a:lstStyle xmlns:a="http://schemas.openxmlformats.org/drawingml/2006/main"/>
              <a:p xmlns:a="http://schemas.openxmlformats.org/drawingml/2006/main">
                <a:pPr>
                  <a:defRPr/>
                </a:pPr>
                <a:r>
                  <a:rPr lang="en-GB"/>
                  <a:t>Solar Penetration (%)</a:t>
                </a:r>
              </a:p>
            </rich>
          </tx>
          <overlay val="1"/>
        </title>
        <numFmt formatCode="General" sourceLinked="1"/>
        <majorTickMark val="none"/>
        <minorTickMark val="none"/>
        <tickLblPos val="nextTo"/>
        <crossAx val="10"/>
        <crosses val="autoZero"/>
        <crossBetween val="between"/>
      </valAx>
    </plotArea>
    <legend>
      <legendPos val="r"/>
      <overlay val="1"/>
    </legend>
    <plotVisOnly val="1"/>
    <dispBlanksAs val="gap"/>
  </chart>
</chartSpace>
</file>

<file path=xl/charts/chart82.xml><?xml version="1.0" encoding="utf-8"?>
<chartSpace xmlns="http://schemas.openxmlformats.org/drawingml/2006/chart">
  <chart>
    <title>
      <tx>
        <rich>
          <a:bodyPr xmlns:a="http://schemas.openxmlformats.org/drawingml/2006/main"/>
          <a:lstStyle xmlns:a="http://schemas.openxmlformats.org/drawingml/2006/main"/>
          <a:p xmlns:a="http://schemas.openxmlformats.org/drawingml/2006/main">
            <a:pPr>
              <a:defRPr/>
            </a:pPr>
            <a:r>
              <a:rPr lang="en-GB"/>
              <a:t>Capture Price - DK1 Primary | DK2 Robustness</a:t>
            </a:r>
          </a:p>
        </rich>
      </tx>
      <overlay val="1"/>
    </title>
    <plotArea>
      <layout/>
      <lineChart>
        <grouping val="standard"/>
        <varyColors val="1"/>
        <ser>
          <idx val="0"/>
          <order val="0"/>
          <tx>
            <strRef>
              <f>'Capture Price Inputs'!$H$1</f>
              <strCache>
                <ptCount val="1"/>
                <pt idx="0">
                  <v>DK1 Capture Price (EUR/MWh) — Primary</v>
                </pt>
              </strCache>
            </strRef>
          </tx>
          <spPr>
            <a:ln xmlns:a="http://schemas.openxmlformats.org/drawingml/2006/main">
              <a:solidFill>
                <a:srgbClr val="2E75B6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val>
            <numRef>
              <f>'Capture Price Inputs'!$H$2:$H$85</f>
              <numCache>
                <formatCode>General</formatCode>
                <ptCount val="84"/>
                <pt idx="12">
                  <v>25.22320957280251</v>
                </pt>
                <pt idx="13">
                  <v>22.83581899109792</v>
                </pt>
                <pt idx="14">
                  <v>15.94107348554973</v>
                </pt>
                <pt idx="15">
                  <v>10.36487590420421</v>
                </pt>
                <pt idx="16">
                  <v>15.478548945086</v>
                </pt>
                <pt idx="17">
                  <v>27.31330822786869</v>
                </pt>
                <pt idx="18">
                  <v>24.83174517810916</v>
                </pt>
                <pt idx="19">
                  <v>33.87691542204785</v>
                </pt>
                <pt idx="20">
                  <v>38.93597900337959</v>
                </pt>
                <pt idx="21">
                  <v>31.92774153305919</v>
                </pt>
                <pt idx="22">
                  <v>26.00599326599326</v>
                </pt>
                <pt idx="23">
                  <v>34.79516129032258</v>
                </pt>
                <pt idx="24">
                  <v>55.42296760727792</v>
                </pt>
                <pt idx="25">
                  <v>47.54261097914259</v>
                </pt>
                <pt idx="26">
                  <v>44.55070091580549</v>
                </pt>
                <pt idx="27">
                  <v>43.594739828473</v>
                </pt>
                <pt idx="28">
                  <v>47.65587057500122</v>
                </pt>
                <pt idx="29">
                  <v>70.54354791111106</v>
                </pt>
                <pt idx="30">
                  <v>78.56831974775861</v>
                </pt>
                <pt idx="31">
                  <v>81.98335113640179</v>
                </pt>
                <pt idx="32">
                  <v>116.2002249554484</v>
                </pt>
                <pt idx="33">
                  <v>126.5303952032395</v>
                </pt>
                <pt idx="34">
                  <v>160.7705833010295</v>
                </pt>
                <pt idx="35">
                  <v>228.8621705579358</v>
                </pt>
                <pt idx="36">
                  <v>123.2012506791719</v>
                </pt>
                <pt idx="37">
                  <v>117.67077903546</v>
                </pt>
                <pt idx="38">
                  <v>191.508071735067</v>
                </pt>
                <pt idx="39">
                  <v>145.7013871592604</v>
                </pt>
                <pt idx="40">
                  <v>149.4185612445558</v>
                </pt>
                <pt idx="41">
                  <v>194.7110340948198</v>
                </pt>
                <pt idx="42">
                  <v>239.3981525107354</v>
                </pt>
                <pt idx="43">
                  <v>419.792637226606</v>
                </pt>
                <pt idx="44">
                  <v>310.7073992726671</v>
                </pt>
                <pt idx="45">
                  <v>125.6295598680838</v>
                </pt>
                <pt idx="46">
                  <v>131.7111886265582</v>
                </pt>
                <pt idx="47">
                  <v>282.8237937420726</v>
                </pt>
                <pt idx="48">
                  <v>138.5299886842633</v>
                </pt>
                <pt idx="49">
                  <v>109.8769757213503</v>
                </pt>
                <pt idx="50">
                  <v>93.77419094069538</v>
                </pt>
                <pt idx="51">
                  <v>76.25042822265543</v>
                </pt>
                <pt idx="52">
                  <v>50.54348776008261</v>
                </pt>
                <pt idx="53">
                  <v>74.88898277621806</v>
                </pt>
                <pt idx="54">
                  <v>52.09559943846345</v>
                </pt>
                <pt idx="55">
                  <v>74.18042603997819</v>
                </pt>
                <pt idx="56">
                  <v>68.11686962339694</v>
                </pt>
                <pt idx="57">
                  <v>50.53909051970285</v>
                </pt>
                <pt idx="58">
                  <v>90.68080556242518</v>
                </pt>
                <pt idx="59">
                  <v>63.45532768878803</v>
                </pt>
                <pt idx="60">
                  <v>78.57131644167831</v>
                </pt>
                <pt idx="61">
                  <v>59.47948676805509</v>
                </pt>
                <pt idx="62">
                  <v>51.26978324155493</v>
                </pt>
                <pt idx="63">
                  <v>49.38394056201121</v>
                </pt>
                <pt idx="64">
                  <v>35.89414827140887</v>
                </pt>
                <pt idx="65">
                  <v>47.03763372739765</v>
                </pt>
                <pt idx="66">
                  <v>42.52177322309952</v>
                </pt>
                <pt idx="67">
                  <v>52.17121747504909</v>
                </pt>
                <pt idx="68">
                  <v>45.64750462621701</v>
                </pt>
                <pt idx="69">
                  <v>58.44158378709199</v>
                </pt>
                <pt idx="70">
                  <v>97.58235261633192</v>
                </pt>
                <pt idx="71">
                  <v>92.07321769383398</v>
                </pt>
                <pt idx="72">
                  <v>111.1945655985155</v>
                </pt>
                <pt idx="73">
                  <v>105.4131597378828</v>
                </pt>
                <pt idx="74">
                  <v>57.84566339627056</v>
                </pt>
                <pt idx="75">
                  <v>45.84439577068735</v>
                </pt>
                <pt idx="76">
                  <v>40.06566739400938</v>
                </pt>
                <pt idx="77">
                  <v>33.4933819651966</v>
                </pt>
                <pt idx="78">
                  <v>61.32224821093979</v>
                </pt>
                <pt idx="79">
                  <v>47.75582456745756</v>
                </pt>
                <pt idx="80">
                  <v>49.42909499605724</v>
                </pt>
                <pt idx="81">
                  <v>74.26663453789526</v>
                </pt>
                <pt idx="82">
                  <v>95.56453180252134</v>
                </pt>
                <pt idx="83">
                  <v>80.95803424278026</v>
                </pt>
              </numCache>
            </numRef>
          </val>
          <smooth val="1"/>
        </ser>
        <ser>
          <idx val="1"/>
          <order val="1"/>
          <tx>
            <strRef>
              <f>'Capture Price Inputs'!$I$1</f>
              <strCache>
                <ptCount val="1"/>
                <pt idx="0">
                  <v>DK2 Capture Price (EUR/MWh) — Robustness</v>
                </pt>
              </strCache>
            </strRef>
          </tx>
          <spPr>
            <a:ln xmlns:a="http://schemas.openxmlformats.org/drawingml/2006/main">
              <a:solidFill>
                <a:srgbClr val="9DC3E6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val>
            <numRef>
              <f>'Capture Price Inputs'!$I$2:$I$85</f>
              <numCache>
                <formatCode>General</formatCode>
                <ptCount val="84"/>
                <pt idx="12">
                  <v>29.86213642213642</v>
                </pt>
                <pt idx="13">
                  <v>23.55551782972189</v>
                </pt>
                <pt idx="14">
                  <v>17.14905069226102</v>
                </pt>
                <pt idx="15">
                  <v>13.25252312836708</v>
                </pt>
                <pt idx="16">
                  <v>18.59404938271605</v>
                </pt>
                <pt idx="17">
                  <v>35.21078005032583</v>
                </pt>
                <pt idx="18">
                  <v>26.450778046867</v>
                </pt>
                <pt idx="19">
                  <v>44.11376501540486</v>
                </pt>
                <pt idx="20">
                  <v>41.85304788087056</v>
                </pt>
                <pt idx="21">
                  <v>33.60087837290333</v>
                </pt>
                <pt idx="22">
                  <v>37.749765625</v>
                </pt>
                <pt idx="23">
                  <v>44.19142857142857</v>
                </pt>
                <pt idx="24">
                  <v>57.07213441008145</v>
                </pt>
                <pt idx="25">
                  <v>52.28508365452458</v>
                </pt>
                <pt idx="26">
                  <v>47.42264301189781</v>
                </pt>
                <pt idx="27">
                  <v>45.90136374824883</v>
                </pt>
                <pt idx="28">
                  <v>50.2587202314608</v>
                </pt>
                <pt idx="29">
                  <v>69.46934165377623</v>
                </pt>
                <pt idx="30">
                  <v>77.93311155139432</v>
                </pt>
                <pt idx="31">
                  <v>84.51274769025703</v>
                </pt>
                <pt idx="32">
                  <v>118.7457227855615</v>
                </pt>
                <pt idx="33">
                  <v>122.3841235967906</v>
                </pt>
                <pt idx="34">
                  <v>153.6267942781575</v>
                </pt>
                <pt idx="35">
                  <v>244.4872785976441</v>
                </pt>
                <pt idx="36">
                  <v>129.6774902315082</v>
                </pt>
                <pt idx="37">
                  <v>108.8033389925641</v>
                </pt>
                <pt idx="38">
                  <v>186.0504424586062</v>
                </pt>
                <pt idx="39">
                  <v>143.5375888642185</v>
                </pt>
                <pt idx="40">
                  <v>146.2536023446033</v>
                </pt>
                <pt idx="41">
                  <v>192.2325905808319</v>
                </pt>
                <pt idx="42">
                  <v>212.3625858003895</v>
                </pt>
                <pt idx="43">
                  <v>397.1798848597606</v>
                </pt>
                <pt idx="44">
                  <v>315.928842796779</v>
                </pt>
                <pt idx="45">
                  <v>120.1190076327392</v>
                </pt>
                <pt idx="46">
                  <v>134.0399027878758</v>
                </pt>
                <pt idx="47">
                  <v>303.2697848166857</v>
                </pt>
                <pt idx="48">
                  <v>120.8992864784306</v>
                </pt>
                <pt idx="49">
                  <v>103.112625406295</v>
                </pt>
                <pt idx="50">
                  <v>89.0984689216417</v>
                </pt>
                <pt idx="51">
                  <v>71.1250997055942</v>
                </pt>
                <pt idx="52">
                  <v>48.35808379645633</v>
                </pt>
                <pt idx="53">
                  <v>71.8620903722224</v>
                </pt>
                <pt idx="54">
                  <v>50.34596661709235</v>
                </pt>
                <pt idx="55">
                  <v>72.95799234798741</v>
                </pt>
                <pt idx="56">
                  <v>64.3944846724649</v>
                </pt>
                <pt idx="57">
                  <v>47.66025509428685</v>
                </pt>
                <pt idx="58">
                  <v>84.63997860526599</v>
                </pt>
                <pt idx="59">
                  <v>59.06174633307972</v>
                </pt>
                <pt idx="60">
                  <v>76.42720253521921</v>
                </pt>
                <pt idx="61">
                  <v>51.43437919654775</v>
                </pt>
                <pt idx="62">
                  <v>50.75116381305344</v>
                </pt>
                <pt idx="63">
                  <v>47.053967904828</v>
                </pt>
                <pt idx="64">
                  <v>34.29579411369289</v>
                </pt>
                <pt idx="65">
                  <v>46.37938403458337</v>
                </pt>
                <pt idx="66">
                  <v>38.81282196947117</v>
                </pt>
                <pt idx="67">
                  <v>47.15186311829253</v>
                </pt>
                <pt idx="68">
                  <v>43.35594635084219</v>
                </pt>
                <pt idx="69">
                  <v>59.53493763028656</v>
                </pt>
                <pt idx="70">
                  <v>89.61127747791728</v>
                </pt>
                <pt idx="71">
                  <v>100.7961313991171</v>
                </pt>
                <pt idx="72">
                  <v>115.0822593270056</v>
                </pt>
                <pt idx="73">
                  <v>106.9231820731682</v>
                </pt>
                <pt idx="74">
                  <v>50.01806296126875</v>
                </pt>
                <pt idx="75">
                  <v>41.82584156307518</v>
                </pt>
                <pt idx="76">
                  <v>34.32066034459122</v>
                </pt>
                <pt idx="77">
                  <v>24.31568572006325</v>
                </pt>
                <pt idx="78">
                  <v>59.76694388214769</v>
                </pt>
                <pt idx="79">
                  <v>43.06460478354486</v>
                </pt>
                <pt idx="80">
                  <v>52.94940515380836</v>
                </pt>
                <pt idx="81">
                  <v>78.64573032240668</v>
                </pt>
                <pt idx="82">
                  <v>92.69045487153267</v>
                </pt>
                <pt idx="83">
                  <v>79.63122802208366</v>
                </pt>
              </numCache>
            </numRef>
          </val>
          <smooth val="1"/>
        </ser>
        <dLbls>
          <showLegendKey val="0"/>
          <showVal val="0"/>
          <showCatName val="0"/>
          <showSerName val="0"/>
          <showPercent val="0"/>
          <showBubbleSize val="0"/>
        </dLbls>
        <smooth val="0"/>
        <axId val="10"/>
        <axId val="100"/>
      </lineChart>
      <catAx>
        <axId val="10"/>
        <scaling>
          <orientation val="minMax"/>
        </scaling>
        <delete val="1"/>
        <axPos val="b"/>
        <title>
          <tx>
            <rich>
              <a:bodyPr xmlns:a="http://schemas.openxmlformats.org/drawingml/2006/main"/>
              <a:lstStyle xmlns:a="http://schemas.openxmlformats.org/drawingml/2006/main"/>
              <a:p xmlns:a="http://schemas.openxmlformats.org/drawingml/2006/main">
                <a:pPr>
                  <a:defRPr/>
                </a:pPr>
                <a:r>
                  <a:rPr lang="en-GB"/>
                  <a:t>Month</a:t>
                </a:r>
              </a:p>
            </rich>
          </tx>
          <overlay val="1"/>
        </title>
        <majorTickMark val="none"/>
        <minorTickMark val="none"/>
        <tickLblPos val="nextTo"/>
        <crossAx val="100"/>
        <crosses val="autoZero"/>
        <auto val="1"/>
        <lblAlgn val="ctr"/>
        <lblOffset val="100"/>
        <noMultiLvlLbl val="1"/>
      </catAx>
      <valAx>
        <axId val="100"/>
        <scaling>
          <orientation val="minMax"/>
        </scaling>
        <delete val="1"/>
        <axPos val="l"/>
        <majorGridlines/>
        <title>
          <tx>
            <rich>
              <a:bodyPr xmlns:a="http://schemas.openxmlformats.org/drawingml/2006/main"/>
              <a:lstStyle xmlns:a="http://schemas.openxmlformats.org/drawingml/2006/main"/>
              <a:p xmlns:a="http://schemas.openxmlformats.org/drawingml/2006/main">
                <a:pPr>
                  <a:defRPr/>
                </a:pPr>
                <a:r>
                  <a:rPr lang="en-GB"/>
                  <a:t>EUR/MWh</a:t>
                </a:r>
              </a:p>
            </rich>
          </tx>
          <overlay val="1"/>
        </title>
        <numFmt formatCode="General" sourceLinked="1"/>
        <majorTickMark val="none"/>
        <minorTickMark val="none"/>
        <tickLblPos val="nextTo"/>
        <crossAx val="10"/>
        <crosses val="autoZero"/>
        <crossBetween val="between"/>
      </valAx>
    </plotArea>
    <legend>
      <legendPos val="r"/>
      <overlay val="1"/>
    </legend>
    <plotVisOnly val="1"/>
    <dispBlanksAs val="gap"/>
  </chart>
</chartSpace>
</file>

<file path=xl/charts/chart83.xml><?xml version="1.0" encoding="utf-8"?>
<chartSpace xmlns="http://schemas.openxmlformats.org/drawingml/2006/chart">
  <chart>
    <title>
      <tx>
        <rich>
          <a:bodyPr xmlns:a="http://schemas.openxmlformats.org/drawingml/2006/main"/>
          <a:lstStyle xmlns:a="http://schemas.openxmlformats.org/drawingml/2006/main"/>
          <a:p xmlns:a="http://schemas.openxmlformats.org/drawingml/2006/main">
            <a:pPr>
              <a:defRPr/>
            </a:pPr>
            <a:r>
              <a:rPr lang="en-GB"/>
              <a:t>Capture Price Ratio - DK1 Primary | DK2 Robustness</a:t>
            </a:r>
          </a:p>
        </rich>
      </tx>
      <overlay val="1"/>
    </title>
    <plotArea>
      <layout/>
      <lineChart>
        <grouping val="standard"/>
        <varyColors val="1"/>
        <ser>
          <idx val="0"/>
          <order val="0"/>
          <tx>
            <strRef>
              <f>'Capture Price Inputs'!$J$1</f>
              <strCache>
                <ptCount val="1"/>
                <pt idx="0">
                  <v>DK1 CPR — Primary</v>
                </pt>
              </strCache>
            </strRef>
          </tx>
          <spPr>
            <a:ln xmlns:a="http://schemas.openxmlformats.org/drawingml/2006/main">
              <a:solidFill>
                <a:srgbClr val="2E75B6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val>
            <numRef>
              <f>'Capture Price Inputs'!$J$2:$J$85</f>
              <numCache>
                <formatCode>General</formatCode>
                <ptCount val="84"/>
                <pt idx="12">
                  <v>1.009148659447442</v>
                </pt>
                <pt idx="13">
                  <v>1.298591168695051</v>
                </pt>
                <pt idx="14">
                  <v>0.8710146939215303</v>
                </pt>
                <pt idx="15">
                  <v>0.7131577255881921</v>
                </pt>
                <pt idx="16">
                  <v>0.9641557693120565</v>
                </pt>
                <pt idx="17">
                  <v>1.039466413731094</v>
                </pt>
                <pt idx="18">
                  <v>1.008618155660831</v>
                </pt>
                <pt idx="19">
                  <v>0.9808226440750074</v>
                </pt>
                <pt idx="20">
                  <v>1.010404486913005</v>
                </pt>
                <pt idx="21">
                  <v>1.236802226812374</v>
                </pt>
                <pt idx="22">
                  <v>1.094777917215692</v>
                </pt>
                <pt idx="23">
                  <v>1.008230164182662</v>
                </pt>
                <pt idx="24">
                  <v>1.103930861568265</v>
                </pt>
                <pt idx="25">
                  <v>1.005947927705425</v>
                </pt>
                <pt idx="26">
                  <v>0.9871758725122356</v>
                </pt>
                <pt idx="27">
                  <v>0.9088464745665017</v>
                </pt>
                <pt idx="28">
                  <v>0.8775180518715436</v>
                </pt>
                <pt idx="29">
                  <v>0.9569142795347317</v>
                </pt>
                <pt idx="30">
                  <v>0.9821132371596978</v>
                </pt>
                <pt idx="31">
                  <v>0.9902714780245057</v>
                </pt>
                <pt idx="32">
                  <v>0.9269044048361358</v>
                </pt>
                <pt idx="33">
                  <v>1.081088507413439</v>
                </pt>
                <pt idx="34">
                  <v>1.133803408504466</v>
                </pt>
                <pt idx="35">
                  <v>1.208676962454928</v>
                </pt>
                <pt idx="36">
                  <v>1.044125730427727</v>
                </pt>
                <pt idx="37">
                  <v>1.04022281700981</v>
                </pt>
                <pt idx="38">
                  <v>0.8120775904420741</v>
                </pt>
                <pt idx="39">
                  <v>0.8903913338467833</v>
                </pt>
                <pt idx="40">
                  <v>0.8694301605049858</v>
                </pt>
                <pt idx="41">
                  <v>0.9080390201234191</v>
                </pt>
                <pt idx="42">
                  <v>0.8704179159294955</v>
                </pt>
                <pt idx="43">
                  <v>0.9190855304670003</v>
                </pt>
                <pt idx="44">
                  <v>0.9063290180568312</v>
                </pt>
                <pt idx="45">
                  <v>0.9161232525396177</v>
                </pt>
                <pt idx="46">
                  <v>0.9427861207466001</v>
                </pt>
                <pt idx="47">
                  <v>1.132810339248927</v>
                </pt>
                <pt idx="48">
                  <v>1.230919869122654</v>
                </pt>
                <pt idx="49">
                  <v>0.93008781340266</v>
                </pt>
                <pt idx="50">
                  <v>0.9461253975959896</v>
                </pt>
                <pt idx="51">
                  <v>0.7920396612038634</v>
                </pt>
                <pt idx="52">
                  <v>0.6833361056151995</v>
                </pt>
                <pt idx="53">
                  <v>0.8096506208621567</v>
                </pt>
                <pt idx="54">
                  <v>0.8038042195326093</v>
                </pt>
                <pt idx="55">
                  <v>0.8628930977720407</v>
                </pt>
                <pt idx="56">
                  <v>0.8038389922187259</v>
                </pt>
                <pt idx="57">
                  <v>0.8408360556054226</v>
                </pt>
                <pt idx="58">
                  <v>1.028656893611996</v>
                </pt>
                <pt idx="59">
                  <v>0.9132560776287663</v>
                </pt>
                <pt idx="60">
                  <v>1.051614630458469</v>
                </pt>
                <pt idx="61">
                  <v>1.014420829179444</v>
                </pt>
                <pt idx="62">
                  <v>0.8373818542217274</v>
                </pt>
                <pt idx="63">
                  <v>0.8346846016164379</v>
                </pt>
                <pt idx="64">
                  <v>0.6133984536650869</v>
                </pt>
                <pt idx="65">
                  <v>0.7378100322386865</v>
                </pt>
                <pt idx="66">
                  <v>0.685499494870618</v>
                </pt>
                <pt idx="67">
                  <v>0.7151267621934952</v>
                </pt>
                <pt idx="68">
                  <v>0.636525223039573</v>
                </pt>
                <pt idx="69">
                  <v>0.7617518807592967</v>
                </pt>
                <pt idx="70">
                  <v>1.017494003861172</v>
                </pt>
                <pt idx="71">
                  <v>1.002567416041121</v>
                </pt>
                <pt idx="72">
                  <v>1.135032584901597</v>
                </pt>
                <pt idx="73">
                  <v>0.9341166514187298</v>
                </pt>
                <pt idx="74">
                  <v>0.6857908168802248</v>
                </pt>
                <pt idx="75">
                  <v>0.609953535618325</v>
                </pt>
                <pt idx="76">
                  <v>0.6237511742318941</v>
                </pt>
                <pt idx="77">
                  <v>0.569764321286333</v>
                </pt>
                <pt idx="78">
                  <v>0.7405896710838001</v>
                </pt>
                <pt idx="79">
                  <v>0.6499711234459455</v>
                </pt>
                <pt idx="80">
                  <v>0.6827347489865859</v>
                </pt>
                <pt idx="81">
                  <v>0.9470151719348058</v>
                </pt>
                <pt idx="82">
                  <v>1.028976430956097</v>
                </pt>
                <pt idx="83">
                  <v>0.9820538861792604</v>
                </pt>
              </numCache>
            </numRef>
          </val>
          <smooth val="1"/>
        </ser>
        <ser>
          <idx val="1"/>
          <order val="1"/>
          <tx>
            <strRef>
              <f>'Capture Price Inputs'!$K$1</f>
              <strCache>
                <ptCount val="1"/>
                <pt idx="0">
                  <v>DK2 CPR — Robustness</v>
                </pt>
              </strCache>
            </strRef>
          </tx>
          <spPr>
            <a:ln xmlns:a="http://schemas.openxmlformats.org/drawingml/2006/main">
              <a:solidFill>
                <a:srgbClr val="9DC3E6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val>
            <numRef>
              <f>'Capture Price Inputs'!$K$2:$K$85</f>
              <numCache>
                <formatCode>General</formatCode>
                <ptCount val="84"/>
                <pt idx="12">
                  <v>1.090446324793763</v>
                </pt>
                <pt idx="13">
                  <v>1.251821301318464</v>
                </pt>
                <pt idx="14">
                  <v>0.8552077585127711</v>
                </pt>
                <pt idx="15">
                  <v>0.763620235478716</v>
                </pt>
                <pt idx="16">
                  <v>0.9763693823354528</v>
                </pt>
                <pt idx="17">
                  <v>1.180647007173951</v>
                </pt>
                <pt idx="18">
                  <v>1.021791049952987</v>
                </pt>
                <pt idx="19">
                  <v>1.077948442472481</v>
                </pt>
                <pt idx="20">
                  <v>1.059189092335807</v>
                </pt>
                <pt idx="21">
                  <v>1.247549053102559</v>
                </pt>
                <pt idx="22">
                  <v>1.057080411727209</v>
                </pt>
                <pt idx="23">
                  <v>1.125691191699302</v>
                </pt>
                <pt idx="24">
                  <v>1.122164979814525</v>
                </pt>
                <pt idx="25">
                  <v>0.9585139857498034</v>
                </pt>
                <pt idx="26">
                  <v>1.014774172650395</v>
                </pt>
                <pt idx="27">
                  <v>0.9590164366476613</v>
                </pt>
                <pt idx="28">
                  <v>0.9103388736117121</v>
                </pt>
                <pt idx="29">
                  <v>0.9440449187481634</v>
                </pt>
                <pt idx="30">
                  <v>0.9569285690465077</v>
                </pt>
                <pt idx="31">
                  <v>1.001768528067071</v>
                </pt>
                <pt idx="32">
                  <v>0.9583833699094481</v>
                </pt>
                <pt idx="33">
                  <v>1.144501265847132</v>
                </pt>
                <pt idx="34">
                  <v>1.126460857141801</v>
                </pt>
                <pt idx="35">
                  <v>1.279578427053047</v>
                </pt>
                <pt idx="36">
                  <v>1.161754652341282</v>
                </pt>
                <pt idx="37">
                  <v>1.084871924613185</v>
                </pt>
                <pt idx="38">
                  <v>0.8162958275837114</v>
                </pt>
                <pt idx="39">
                  <v>0.9391804877392103</v>
                </pt>
                <pt idx="40">
                  <v>0.8991456314331195</v>
                </pt>
                <pt idx="41">
                  <v>0.9015136745747578</v>
                </pt>
                <pt idx="42">
                  <v>0.909562444967756</v>
                </pt>
                <pt idx="43">
                  <v>0.8830756108422062</v>
                </pt>
                <pt idx="44">
                  <v>0.9608536982958826</v>
                </pt>
                <pt idx="45">
                  <v>0.8774354195736861</v>
                </pt>
                <pt idx="46">
                  <v>0.9240447439178995</v>
                </pt>
                <pt idx="47">
                  <v>1.218528056069729</v>
                </pt>
                <pt idx="48">
                  <v>1.21186632363043</v>
                </pt>
                <pt idx="49">
                  <v>1.024478122815962</v>
                </pt>
                <pt idx="50">
                  <v>0.992236312197012</v>
                </pt>
                <pt idx="51">
                  <v>0.8502587347820391</v>
                </pt>
                <pt idx="52">
                  <v>0.7310174827054021</v>
                </pt>
                <pt idx="53">
                  <v>0.7860381991736552</v>
                </pt>
                <pt idx="54">
                  <v>0.7717034871247128</v>
                </pt>
                <pt idx="55">
                  <v>0.8454610410569836</v>
                </pt>
                <pt idx="56">
                  <v>0.7532917330845335</v>
                </pt>
                <pt idx="57">
                  <v>0.837234490334641</v>
                </pt>
                <pt idx="58">
                  <v>1.038705241708771</v>
                </pt>
                <pt idx="59">
                  <v>0.8332670757562848</v>
                </pt>
                <pt idx="60">
                  <v>0.977144875107929</v>
                </pt>
                <pt idx="61">
                  <v>0.9399172603334611</v>
                </pt>
                <pt idx="62">
                  <v>0.8314293202728863</v>
                </pt>
                <pt idx="63">
                  <v>0.7780510745637418</v>
                </pt>
                <pt idx="64">
                  <v>0.5900556342707577</v>
                </pt>
                <pt idx="65">
                  <v>0.6943958569114143</v>
                </pt>
                <pt idx="66">
                  <v>0.6176283845394642</v>
                </pt>
                <pt idx="67">
                  <v>0.6493471479229646</v>
                </pt>
                <pt idx="68">
                  <v>0.6157480113547513</v>
                </pt>
                <pt idx="69">
                  <v>0.7800073506793195</v>
                </pt>
                <pt idx="70">
                  <v>0.9404779955101509</v>
                </pt>
                <pt idx="71">
                  <v>1.087006718547946</v>
                </pt>
                <pt idx="72">
                  <v>1.149400364807902</v>
                </pt>
                <pt idx="73">
                  <v>0.9066238427133391</v>
                </pt>
                <pt idx="74">
                  <v>0.603741164715803</v>
                </pt>
                <pt idx="75">
                  <v>0.5517436798810373</v>
                </pt>
                <pt idx="76">
                  <v>0.544059463307295</v>
                </pt>
                <pt idx="77">
                  <v>0.4307606652121766</v>
                </pt>
                <pt idx="78">
                  <v>0.7474634186196619</v>
                </pt>
                <pt idx="79">
                  <v>0.5717894234335987</v>
                </pt>
                <pt idx="80">
                  <v>0.635731600833678</v>
                </pt>
                <pt idx="81">
                  <v>0.9548084008156305</v>
                </pt>
                <pt idx="82">
                  <v>0.9892725129496999</v>
                </pt>
                <pt idx="83">
                  <v>0.9701479625359415</v>
                </pt>
              </numCache>
            </numRef>
          </val>
          <smooth val="1"/>
        </ser>
        <dLbls>
          <showLegendKey val="0"/>
          <showVal val="0"/>
          <showCatName val="0"/>
          <showSerName val="0"/>
          <showPercent val="0"/>
          <showBubbleSize val="0"/>
        </dLbls>
        <smooth val="0"/>
        <axId val="10"/>
        <axId val="100"/>
      </lineChart>
      <catAx>
        <axId val="10"/>
        <scaling>
          <orientation val="minMax"/>
        </scaling>
        <delete val="1"/>
        <axPos val="b"/>
        <title>
          <tx>
            <rich>
              <a:bodyPr xmlns:a="http://schemas.openxmlformats.org/drawingml/2006/main"/>
              <a:lstStyle xmlns:a="http://schemas.openxmlformats.org/drawingml/2006/main"/>
              <a:p xmlns:a="http://schemas.openxmlformats.org/drawingml/2006/main">
                <a:pPr>
                  <a:defRPr/>
                </a:pPr>
                <a:r>
                  <a:rPr lang="en-GB"/>
                  <a:t>Month</a:t>
                </a:r>
              </a:p>
            </rich>
          </tx>
          <overlay val="1"/>
        </title>
        <majorTickMark val="none"/>
        <minorTickMark val="none"/>
        <tickLblPos val="nextTo"/>
        <crossAx val="100"/>
        <crosses val="autoZero"/>
        <auto val="1"/>
        <lblAlgn val="ctr"/>
        <lblOffset val="100"/>
        <noMultiLvlLbl val="1"/>
      </catAx>
      <valAx>
        <axId val="100"/>
        <scaling>
          <orientation val="minMax"/>
        </scaling>
        <delete val="1"/>
        <axPos val="l"/>
        <majorGridlines/>
        <title>
          <tx>
            <rich>
              <a:bodyPr xmlns:a="http://schemas.openxmlformats.org/drawingml/2006/main"/>
              <a:lstStyle xmlns:a="http://schemas.openxmlformats.org/drawingml/2006/main"/>
              <a:p xmlns:a="http://schemas.openxmlformats.org/drawingml/2006/main">
                <a:pPr>
                  <a:defRPr/>
                </a:pPr>
                <a:r>
                  <a:rPr lang="en-GB"/>
                  <a:t>CPR</a:t>
                </a:r>
              </a:p>
            </rich>
          </tx>
          <overlay val="1"/>
        </title>
        <numFmt formatCode="General" sourceLinked="1"/>
        <majorTickMark val="none"/>
        <minorTickMark val="none"/>
        <tickLblPos val="nextTo"/>
        <crossAx val="10"/>
        <crosses val="autoZero"/>
        <crossBetween val="between"/>
      </valAx>
    </plotArea>
    <legend>
      <legendPos val="r"/>
      <overlay val="1"/>
    </legend>
    <plotVisOnly val="1"/>
    <dispBlanksAs val="gap"/>
  </chart>
</chartSpace>
</file>

<file path=xl/charts/chart84.xml><?xml version="1.0" encoding="utf-8"?>
<chartSpace xmlns="http://schemas.openxmlformats.org/drawingml/2006/chart">
  <chart>
    <title>
      <tx>
        <rich>
          <a:bodyPr xmlns:a="http://schemas.openxmlformats.org/drawingml/2006/main"/>
          <a:lstStyle xmlns:a="http://schemas.openxmlformats.org/drawingml/2006/main"/>
          <a:p xmlns:a="http://schemas.openxmlformats.org/drawingml/2006/main">
            <a:pPr>
              <a:defRPr/>
            </a:pPr>
            <a:r>
              <a:rPr lang="en-GB"/>
              <a:t>Solar Penetration - DK1 Primary | DK2 Robustness</a:t>
            </a:r>
          </a:p>
        </rich>
      </tx>
      <overlay val="1"/>
    </title>
    <plotArea>
      <layout/>
      <lineChart>
        <grouping val="standard"/>
        <varyColors val="1"/>
        <ser>
          <idx val="0"/>
          <order val="0"/>
          <tx>
            <strRef>
              <f>'Capture Price Inputs'!$F$1</f>
              <strCache>
                <ptCount val="1"/>
                <pt idx="0">
                  <v>DK1 Solar Penetration (%) — Primary</v>
                </pt>
              </strCache>
            </strRef>
          </tx>
          <spPr>
            <a:ln xmlns:a="http://schemas.openxmlformats.org/drawingml/2006/main">
              <a:solidFill>
                <a:srgbClr val="FF8C00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val>
            <numRef>
              <f>'Capture Price Inputs'!$F$2:$F$85</f>
              <numCache>
                <formatCode>General</formatCode>
                <ptCount val="84"/>
                <pt idx="0">
                  <v>0</v>
                </pt>
                <pt idx="1">
                  <v>0</v>
                </pt>
                <pt idx="2">
                  <v>0</v>
                </pt>
                <pt idx="3">
                  <v>0</v>
                </pt>
                <pt idx="4">
                  <v>0</v>
                </pt>
                <pt idx="5">
                  <v>0</v>
                </pt>
                <pt idx="6">
                  <v>0</v>
                </pt>
                <pt idx="7">
                  <v>0</v>
                </pt>
                <pt idx="8">
                  <v>0</v>
                </pt>
                <pt idx="9">
                  <v>0</v>
                </pt>
                <pt idx="10">
                  <v>0</v>
                </pt>
                <pt idx="11">
                  <v>0</v>
                </pt>
                <pt idx="12">
                  <v>0.002264447892629483</v>
                </pt>
                <pt idx="13">
                  <v>0.005247452024482245</v>
                </pt>
                <pt idx="14">
                  <v>0.02020167759412729</v>
                </pt>
                <pt idx="15">
                  <v>0.0324279896123047</v>
                </pt>
                <pt idx="16">
                  <v>0.03608008723790357</v>
                </pt>
                <pt idx="17">
                  <v>0.03741361883164089</v>
                </pt>
                <pt idx="18">
                  <v>0.03399843385950392</v>
                </pt>
                <pt idx="19">
                  <v>0.03422476314253766</v>
                </pt>
                <pt idx="20">
                  <v>0.02433015193915724</v>
                </pt>
                <pt idx="21">
                  <v>0.01149038754944678</v>
                </pt>
                <pt idx="22">
                  <v>0.0001521101274151999</v>
                </pt>
                <pt idx="23">
                  <v>1.472410662127807e-05</v>
                </pt>
                <pt idx="24">
                  <v>0.003631355999035091</v>
                </pt>
                <pt idx="25">
                  <v>0.0108689417180573</v>
                </pt>
                <pt idx="26">
                  <v>0.02238230390737163</v>
                </pt>
                <pt idx="27">
                  <v>0.04212837115783985</v>
                </pt>
                <pt idx="28">
                  <v>0.03307505221196035</v>
                </pt>
                <pt idx="29">
                  <v>0.04984166182181952</v>
                </pt>
                <pt idx="30">
                  <v>0.0485715434854639</v>
                </pt>
                <pt idx="31">
                  <v>0.0388769479447087</v>
                </pt>
                <pt idx="32">
                  <v>0.02593285017943629</v>
                </pt>
                <pt idx="33">
                  <v>0.01746009643148906</v>
                </pt>
                <pt idx="34">
                  <v>0.007029306005813504</v>
                </pt>
                <pt idx="35">
                  <v>0.003243365391886713</v>
                </pt>
                <pt idx="36">
                  <v>0.006675315547248087</v>
                </pt>
                <pt idx="37">
                  <v>0.0173995712330029</v>
                </pt>
                <pt idx="38">
                  <v>0.06195507058644287</v>
                </pt>
                <pt idx="39">
                  <v>0.08404056603836467</v>
                </pt>
                <pt idx="40">
                  <v>0.09687689142031611</v>
                </pt>
                <pt idx="41">
                  <v>0.09496202074431148</v>
                </pt>
                <pt idx="42">
                  <v>0.09963556652585577</v>
                </pt>
                <pt idx="43">
                  <v>0.08962697832526678</v>
                </pt>
                <pt idx="44">
                  <v>0.06604649859170474</v>
                </pt>
                <pt idx="45">
                  <v>0.03746941447765471</v>
                </pt>
                <pt idx="46">
                  <v>0.01046932675470221</v>
                </pt>
                <pt idx="47">
                  <v>0.006229164645196865</v>
                </pt>
                <pt idx="48">
                  <v>0.01246069427686292</v>
                </pt>
                <pt idx="49">
                  <v>0.03437640419176364</v>
                </pt>
                <pt idx="50">
                  <v>0.05647796857705859</v>
                </pt>
                <pt idx="51">
                  <v>0.1509467292684683</v>
                </pt>
                <pt idx="52">
                  <v>0.18600333743842</v>
                </pt>
                <pt idx="53">
                  <v>0.218925737129461</v>
                </pt>
                <pt idx="54">
                  <v>0.1892952405634502</v>
                </pt>
                <pt idx="55">
                  <v>0.1493297980639493</v>
                </pt>
                <pt idx="56">
                  <v>0.1319165438654872</v>
                </pt>
                <pt idx="57">
                  <v>0.0428648864567301</v>
                </pt>
                <pt idx="58">
                  <v>0.01600349353715238</v>
                </pt>
                <pt idx="59">
                  <v>0.006390504672696534</v>
                </pt>
                <pt idx="60">
                  <v>0.01341718605060752</v>
                </pt>
                <pt idx="61">
                  <v>0.0264362238379265</v>
                </pt>
                <pt idx="62">
                  <v>0.06623397340035048</v>
                </pt>
                <pt idx="63">
                  <v>0.1084169878649764</v>
                </pt>
                <pt idx="64">
                  <v>0.1888703164988005</v>
                </pt>
                <pt idx="65">
                  <v>0.1715230569234828</v>
                </pt>
                <pt idx="66">
                  <v>0.1809062055635286</v>
                </pt>
                <pt idx="67">
                  <v>0.155121531117258</v>
                </pt>
                <pt idx="68">
                  <v>0.1275567235314205</v>
                </pt>
                <pt idx="69">
                  <v>0.06287376784741511</v>
                </pt>
                <pt idx="70">
                  <v>0.01780902737610289</v>
                </pt>
                <pt idx="71">
                  <v>0.006785797568345668</v>
                </pt>
                <pt idx="72">
                  <v>0.01366055484422285</v>
                </pt>
                <pt idx="73">
                  <v>0.04341993481717769</v>
                </pt>
                <pt idx="74">
                  <v>0.1120694547038418</v>
                </pt>
                <pt idx="75">
                  <v>0.1482754875605271</v>
                </pt>
                <pt idx="76">
                  <v>0.1924446817596716</v>
                </pt>
                <pt idx="77">
                  <v>0.1878482923852328</v>
                </pt>
                <pt idx="78">
                  <v>0.2182818884824121</v>
                </pt>
                <pt idx="79">
                  <v>0.1901168401280812</v>
                </pt>
                <pt idx="80">
                  <v>0.1381615272451792</v>
                </pt>
                <pt idx="81">
                  <v>0.06946207120205163</v>
                </pt>
                <pt idx="82">
                  <v>0.02660497040214753</v>
                </pt>
                <pt idx="83">
                  <v>0.0140253486520015</v>
                </pt>
              </numCache>
            </numRef>
          </val>
          <smooth val="1"/>
        </ser>
        <ser>
          <idx val="1"/>
          <order val="1"/>
          <tx>
            <strRef>
              <f>'Capture Price Inputs'!$G$1</f>
              <strCache>
                <ptCount val="1"/>
                <pt idx="0">
                  <v>DK2 Solar Penetration (%) — Robustness</v>
                </pt>
              </strCache>
            </strRef>
          </tx>
          <spPr>
            <a:ln xmlns:a="http://schemas.openxmlformats.org/drawingml/2006/main">
              <a:solidFill>
                <a:srgbClr val="FFD700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val>
            <numRef>
              <f>'Capture Price Inputs'!$G$2:$G$85</f>
              <numCache>
                <formatCode>General</formatCode>
                <ptCount val="84"/>
                <pt idx="0">
                  <v>0</v>
                </pt>
                <pt idx="1">
                  <v>0</v>
                </pt>
                <pt idx="2">
                  <v>0</v>
                </pt>
                <pt idx="3">
                  <v>0</v>
                </pt>
                <pt idx="4">
                  <v>0</v>
                </pt>
                <pt idx="5">
                  <v>0</v>
                </pt>
                <pt idx="6">
                  <v>0</v>
                </pt>
                <pt idx="7">
                  <v>0</v>
                </pt>
                <pt idx="8">
                  <v>0</v>
                </pt>
                <pt idx="9">
                  <v>0</v>
                </pt>
                <pt idx="10">
                  <v>0</v>
                </pt>
                <pt idx="11">
                  <v>0</v>
                </pt>
                <pt idx="12">
                  <v>0.001864323044087839</v>
                </pt>
                <pt idx="13">
                  <v>0.004961339344807235</v>
                </pt>
                <pt idx="14">
                  <v>0.01532033335337761</v>
                </pt>
                <pt idx="15">
                  <v>0.02618059513454593</v>
                </pt>
                <pt idx="16">
                  <v>0.03224093077416624</v>
                </pt>
                <pt idx="17">
                  <v>0.03065181208815584</v>
                </pt>
                <pt idx="18">
                  <v>0.02998206800974695</v>
                </pt>
                <pt idx="19">
                  <v>0.02803471341430708</v>
                </pt>
                <pt idx="20">
                  <v>0.02173647910159525</v>
                </pt>
                <pt idx="21">
                  <v>0.01107911770574695</v>
                </pt>
                <pt idx="22">
                  <v>0.0001104461157833284</v>
                </pt>
                <pt idx="23">
                  <v>5.635243358406259e-06</v>
                </pt>
                <pt idx="24">
                  <v>0.003104474131982996</v>
                </pt>
                <pt idx="25">
                  <v>0.009248336948772359</v>
                </pt>
                <pt idx="26">
                  <v>0.01847451704521283</v>
                </pt>
                <pt idx="27">
                  <v>0.03269440748331279</v>
                </pt>
                <pt idx="28">
                  <v>0.03294582929454019</v>
                </pt>
                <pt idx="29">
                  <v>0.04448013314005607</v>
                </pt>
                <pt idx="30">
                  <v>0.03704954253730217</v>
                </pt>
                <pt idx="31">
                  <v>0.03185776883426199</v>
                </pt>
                <pt idx="32">
                  <v>0.0223981137027396</v>
                </pt>
                <pt idx="33">
                  <v>0.01267326343754744</v>
                </pt>
                <pt idx="34">
                  <v>0.004013281085791027</v>
                </pt>
                <pt idx="35">
                  <v>0.001822629583826099</v>
                </pt>
                <pt idx="36">
                  <v>0.004939556742877535</v>
                </pt>
                <pt idx="37">
                  <v>0.01324848558669828</v>
                </pt>
                <pt idx="38">
                  <v>0.03408933034912105</v>
                </pt>
                <pt idx="39">
                  <v>0.05525443609957865</v>
                </pt>
                <pt idx="40">
                  <v>0.06581145996085939</v>
                </pt>
                <pt idx="41">
                  <v>0.06452822904586782</v>
                </pt>
                <pt idx="42">
                  <v>0.06702580380195292</v>
                </pt>
                <pt idx="43">
                  <v>0.06129992439719582</v>
                </pt>
                <pt idx="44">
                  <v>0.04578427610350702</v>
                </pt>
                <pt idx="45">
                  <v>0.0298090580270354</v>
                </pt>
                <pt idx="46">
                  <v>0.007865295261900549</v>
                </pt>
                <pt idx="47">
                  <v>0.004532355552973548</v>
                </pt>
                <pt idx="48">
                  <v>0.005862652723136608</v>
                </pt>
                <pt idx="49">
                  <v>0.01887764841837355</v>
                </pt>
                <pt idx="50">
                  <v>0.03709622939200571</v>
                </pt>
                <pt idx="51">
                  <v>0.08026996603382495</v>
                </pt>
                <pt idx="52">
                  <v>0.1080032082802261</v>
                </pt>
                <pt idx="53">
                  <v>0.1144244665352921</v>
                </pt>
                <pt idx="54">
                  <v>0.1020307450715976</v>
                </pt>
                <pt idx="55">
                  <v>0.07793101053296771</v>
                </pt>
                <pt idx="56">
                  <v>0.08090995463931874</v>
                </pt>
                <pt idx="57">
                  <v>0.02917234021559438</v>
                </pt>
                <pt idx="58">
                  <v>0.0104098691216888</v>
                </pt>
                <pt idx="59">
                  <v>0.003809030164374855</v>
                </pt>
                <pt idx="60">
                  <v>0.006178183072975508</v>
                </pt>
                <pt idx="61">
                  <v>0.01667231366864759</v>
                </pt>
                <pt idx="62">
                  <v>0.04111280636733766</v>
                </pt>
                <pt idx="63">
                  <v>0.06512337874480645</v>
                </pt>
                <pt idx="64">
                  <v>0.106315341440858</v>
                </pt>
                <pt idx="65">
                  <v>0.1072729076610999</v>
                </pt>
                <pt idx="66">
                  <v>0.1057942634887733</v>
                </pt>
                <pt idx="67">
                  <v>0.0936908322687052</v>
                </pt>
                <pt idx="68">
                  <v>0.07246320282040017</v>
                </pt>
                <pt idx="69">
                  <v>0.03614525389237988</v>
                </pt>
                <pt idx="70">
                  <v>0.008602841405423608</v>
                </pt>
                <pt idx="71">
                  <v>0.004171468465776758</v>
                </pt>
                <pt idx="72">
                  <v>0.007223240212576967</v>
                </pt>
                <pt idx="73">
                  <v>0.02010831138567791</v>
                </pt>
                <pt idx="74">
                  <v>0.04654786644745259</v>
                </pt>
                <pt idx="75">
                  <v>0.07168978364906199</v>
                </pt>
                <pt idx="76">
                  <v>0.09471412725623395</v>
                </pt>
                <pt idx="77">
                  <v>0.09982625001551076</v>
                </pt>
                <pt idx="78">
                  <v>0.09399641941869914</v>
                </pt>
                <pt idx="79">
                  <v>0.1057378118957395</v>
                </pt>
                <pt idx="80">
                  <v>0.09062887968652376</v>
                </pt>
                <pt idx="81">
                  <v>0.03957312567862663</v>
                </pt>
                <pt idx="82">
                  <v>0.01454364344794783</v>
                </pt>
                <pt idx="83">
                  <v>0.00906949116088333</v>
                </pt>
              </numCache>
            </numRef>
          </val>
          <smooth val="1"/>
        </ser>
        <dLbls>
          <showLegendKey val="0"/>
          <showVal val="0"/>
          <showCatName val="0"/>
          <showSerName val="0"/>
          <showPercent val="0"/>
          <showBubbleSize val="0"/>
        </dLbls>
        <smooth val="0"/>
        <axId val="10"/>
        <axId val="100"/>
      </lineChart>
      <catAx>
        <axId val="10"/>
        <scaling>
          <orientation val="minMax"/>
        </scaling>
        <delete val="1"/>
        <axPos val="b"/>
        <title>
          <tx>
            <rich>
              <a:bodyPr xmlns:a="http://schemas.openxmlformats.org/drawingml/2006/main"/>
              <a:lstStyle xmlns:a="http://schemas.openxmlformats.org/drawingml/2006/main"/>
              <a:p xmlns:a="http://schemas.openxmlformats.org/drawingml/2006/main">
                <a:pPr>
                  <a:defRPr/>
                </a:pPr>
                <a:r>
                  <a:rPr lang="en-GB"/>
                  <a:t>Month</a:t>
                </a:r>
              </a:p>
            </rich>
          </tx>
          <overlay val="1"/>
        </title>
        <majorTickMark val="none"/>
        <minorTickMark val="none"/>
        <tickLblPos val="nextTo"/>
        <crossAx val="100"/>
        <crosses val="autoZero"/>
        <auto val="1"/>
        <lblAlgn val="ctr"/>
        <lblOffset val="100"/>
        <noMultiLvlLbl val="1"/>
      </catAx>
      <valAx>
        <axId val="100"/>
        <scaling>
          <orientation val="minMax"/>
        </scaling>
        <delete val="1"/>
        <axPos val="l"/>
        <majorGridlines/>
        <title>
          <tx>
            <rich>
              <a:bodyPr xmlns:a="http://schemas.openxmlformats.org/drawingml/2006/main"/>
              <a:lstStyle xmlns:a="http://schemas.openxmlformats.org/drawingml/2006/main"/>
              <a:p xmlns:a="http://schemas.openxmlformats.org/drawingml/2006/main">
                <a:pPr>
                  <a:defRPr/>
                </a:pPr>
                <a:r>
                  <a:rPr lang="en-GB"/>
                  <a:t>Solar Penetration (%)</a:t>
                </a:r>
              </a:p>
            </rich>
          </tx>
          <overlay val="1"/>
        </title>
        <numFmt formatCode="General" sourceLinked="1"/>
        <majorTickMark val="none"/>
        <minorTickMark val="none"/>
        <tickLblPos val="nextTo"/>
        <crossAx val="10"/>
        <crosses val="autoZero"/>
        <crossBetween val="between"/>
      </valAx>
    </plotArea>
    <legend>
      <legendPos val="r"/>
      <overlay val="1"/>
    </legend>
    <plotVisOnly val="1"/>
    <dispBlanksAs val="gap"/>
  </chart>
</chartSpace>
</file>

<file path=xl/charts/chart85.xml><?xml version="1.0" encoding="utf-8"?>
<chartSpace xmlns="http://schemas.openxmlformats.org/drawingml/2006/chart">
  <chart>
    <title>
      <tx>
        <rich>
          <a:bodyPr xmlns:a="http://schemas.openxmlformats.org/drawingml/2006/main"/>
          <a:lstStyle xmlns:a="http://schemas.openxmlformats.org/drawingml/2006/main"/>
          <a:p xmlns:a="http://schemas.openxmlformats.org/drawingml/2006/main">
            <a:pPr>
              <a:defRPr/>
            </a:pPr>
            <a:r>
              <a:rPr lang="en-GB"/>
              <a:t>Capture Price - DK1 Primary | DK2 Robustness</a:t>
            </a:r>
          </a:p>
        </rich>
      </tx>
      <overlay val="1"/>
    </title>
    <plotArea>
      <layout/>
      <lineChart>
        <grouping val="standard"/>
        <varyColors val="1"/>
        <ser>
          <idx val="0"/>
          <order val="0"/>
          <tx>
            <strRef>
              <f>'Capture Price Inputs'!$H$1</f>
              <strCache>
                <ptCount val="1"/>
                <pt idx="0">
                  <v>DK1 Capture Price (EUR/MWh) — Primary</v>
                </pt>
              </strCache>
            </strRef>
          </tx>
          <spPr>
            <a:ln xmlns:a="http://schemas.openxmlformats.org/drawingml/2006/main">
              <a:solidFill>
                <a:srgbClr val="2E75B6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val>
            <numRef>
              <f>'Capture Price Inputs'!$H$2:$H$85</f>
              <numCache>
                <formatCode>General</formatCode>
                <ptCount val="84"/>
                <pt idx="12">
                  <v>25.22320957280251</v>
                </pt>
                <pt idx="13">
                  <v>22.83581899109792</v>
                </pt>
                <pt idx="14">
                  <v>15.94107348554973</v>
                </pt>
                <pt idx="15">
                  <v>10.36487590420421</v>
                </pt>
                <pt idx="16">
                  <v>15.478548945086</v>
                </pt>
                <pt idx="17">
                  <v>27.31330822786869</v>
                </pt>
                <pt idx="18">
                  <v>24.83174517810916</v>
                </pt>
                <pt idx="19">
                  <v>33.87691542204785</v>
                </pt>
                <pt idx="20">
                  <v>38.93597900337959</v>
                </pt>
                <pt idx="21">
                  <v>31.92774153305919</v>
                </pt>
                <pt idx="22">
                  <v>26.00599326599326</v>
                </pt>
                <pt idx="23">
                  <v>34.79516129032258</v>
                </pt>
                <pt idx="24">
                  <v>55.42296760727792</v>
                </pt>
                <pt idx="25">
                  <v>47.54261097914259</v>
                </pt>
                <pt idx="26">
                  <v>44.55070091580549</v>
                </pt>
                <pt idx="27">
                  <v>43.594739828473</v>
                </pt>
                <pt idx="28">
                  <v>47.65587057500122</v>
                </pt>
                <pt idx="29">
                  <v>70.54354791111106</v>
                </pt>
                <pt idx="30">
                  <v>78.56831974775861</v>
                </pt>
                <pt idx="31">
                  <v>81.98335113640179</v>
                </pt>
                <pt idx="32">
                  <v>116.2002249554484</v>
                </pt>
                <pt idx="33">
                  <v>126.5303952032395</v>
                </pt>
                <pt idx="34">
                  <v>160.7705833010295</v>
                </pt>
                <pt idx="35">
                  <v>228.8621705579358</v>
                </pt>
                <pt idx="36">
                  <v>123.2012506791719</v>
                </pt>
                <pt idx="37">
                  <v>117.67077903546</v>
                </pt>
                <pt idx="38">
                  <v>191.508071735067</v>
                </pt>
                <pt idx="39">
                  <v>145.7013871592604</v>
                </pt>
                <pt idx="40">
                  <v>149.4185612445558</v>
                </pt>
                <pt idx="41">
                  <v>194.7110340948198</v>
                </pt>
                <pt idx="42">
                  <v>239.3981525107354</v>
                </pt>
                <pt idx="43">
                  <v>419.792637226606</v>
                </pt>
                <pt idx="44">
                  <v>310.7073992726671</v>
                </pt>
                <pt idx="45">
                  <v>125.6295598680838</v>
                </pt>
                <pt idx="46">
                  <v>131.7111886265582</v>
                </pt>
                <pt idx="47">
                  <v>282.8237937420726</v>
                </pt>
                <pt idx="48">
                  <v>138.5299886842633</v>
                </pt>
                <pt idx="49">
                  <v>109.8769757213503</v>
                </pt>
                <pt idx="50">
                  <v>93.77419094069538</v>
                </pt>
                <pt idx="51">
                  <v>76.25042822265543</v>
                </pt>
                <pt idx="52">
                  <v>50.54348776008261</v>
                </pt>
                <pt idx="53">
                  <v>74.88898277621806</v>
                </pt>
                <pt idx="54">
                  <v>52.09559943846345</v>
                </pt>
                <pt idx="55">
                  <v>74.18042603997819</v>
                </pt>
                <pt idx="56">
                  <v>68.11686962339694</v>
                </pt>
                <pt idx="57">
                  <v>50.53909051970285</v>
                </pt>
                <pt idx="58">
                  <v>90.68080556242518</v>
                </pt>
                <pt idx="59">
                  <v>63.45532768878803</v>
                </pt>
                <pt idx="60">
                  <v>78.57131644167831</v>
                </pt>
                <pt idx="61">
                  <v>59.47948676805509</v>
                </pt>
                <pt idx="62">
                  <v>51.26978324155493</v>
                </pt>
                <pt idx="63">
                  <v>49.38394056201121</v>
                </pt>
                <pt idx="64">
                  <v>35.89414827140887</v>
                </pt>
                <pt idx="65">
                  <v>47.03763372739765</v>
                </pt>
                <pt idx="66">
                  <v>42.52177322309952</v>
                </pt>
                <pt idx="67">
                  <v>52.17121747504909</v>
                </pt>
                <pt idx="68">
                  <v>45.64750462621701</v>
                </pt>
                <pt idx="69">
                  <v>58.44158378709199</v>
                </pt>
                <pt idx="70">
                  <v>97.58235261633192</v>
                </pt>
                <pt idx="71">
                  <v>92.07321769383398</v>
                </pt>
                <pt idx="72">
                  <v>111.1945655985155</v>
                </pt>
                <pt idx="73">
                  <v>105.4131597378828</v>
                </pt>
                <pt idx="74">
                  <v>57.84566339627056</v>
                </pt>
                <pt idx="75">
                  <v>45.84439577068735</v>
                </pt>
                <pt idx="76">
                  <v>40.06566739400938</v>
                </pt>
                <pt idx="77">
                  <v>33.4933819651966</v>
                </pt>
                <pt idx="78">
                  <v>61.32224821093979</v>
                </pt>
                <pt idx="79">
                  <v>47.75582456745756</v>
                </pt>
                <pt idx="80">
                  <v>49.42909499605724</v>
                </pt>
                <pt idx="81">
                  <v>74.26663453789526</v>
                </pt>
                <pt idx="82">
                  <v>95.56453180252134</v>
                </pt>
                <pt idx="83">
                  <v>80.95803424278026</v>
                </pt>
              </numCache>
            </numRef>
          </val>
          <smooth val="1"/>
        </ser>
        <ser>
          <idx val="1"/>
          <order val="1"/>
          <tx>
            <strRef>
              <f>'Capture Price Inputs'!$I$1</f>
              <strCache>
                <ptCount val="1"/>
                <pt idx="0">
                  <v>DK2 Capture Price (EUR/MWh) — Robustness</v>
                </pt>
              </strCache>
            </strRef>
          </tx>
          <spPr>
            <a:ln xmlns:a="http://schemas.openxmlformats.org/drawingml/2006/main">
              <a:solidFill>
                <a:srgbClr val="9DC3E6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val>
            <numRef>
              <f>'Capture Price Inputs'!$I$2:$I$85</f>
              <numCache>
                <formatCode>General</formatCode>
                <ptCount val="84"/>
                <pt idx="12">
                  <v>29.86213642213642</v>
                </pt>
                <pt idx="13">
                  <v>23.55551782972189</v>
                </pt>
                <pt idx="14">
                  <v>17.14905069226102</v>
                </pt>
                <pt idx="15">
                  <v>13.25252312836708</v>
                </pt>
                <pt idx="16">
                  <v>18.59404938271605</v>
                </pt>
                <pt idx="17">
                  <v>35.21078005032583</v>
                </pt>
                <pt idx="18">
                  <v>26.450778046867</v>
                </pt>
                <pt idx="19">
                  <v>44.11376501540486</v>
                </pt>
                <pt idx="20">
                  <v>41.85304788087056</v>
                </pt>
                <pt idx="21">
                  <v>33.60087837290333</v>
                </pt>
                <pt idx="22">
                  <v>37.749765625</v>
                </pt>
                <pt idx="23">
                  <v>44.19142857142857</v>
                </pt>
                <pt idx="24">
                  <v>57.07213441008145</v>
                </pt>
                <pt idx="25">
                  <v>52.28508365452458</v>
                </pt>
                <pt idx="26">
                  <v>47.42264301189781</v>
                </pt>
                <pt idx="27">
                  <v>45.90136374824883</v>
                </pt>
                <pt idx="28">
                  <v>50.2587202314608</v>
                </pt>
                <pt idx="29">
                  <v>69.46934165377623</v>
                </pt>
                <pt idx="30">
                  <v>77.93311155139432</v>
                </pt>
                <pt idx="31">
                  <v>84.51274769025703</v>
                </pt>
                <pt idx="32">
                  <v>118.7457227855615</v>
                </pt>
                <pt idx="33">
                  <v>122.3841235967906</v>
                </pt>
                <pt idx="34">
                  <v>153.6267942781575</v>
                </pt>
                <pt idx="35">
                  <v>244.4872785976441</v>
                </pt>
                <pt idx="36">
                  <v>129.6774902315082</v>
                </pt>
                <pt idx="37">
                  <v>108.8033389925641</v>
                </pt>
                <pt idx="38">
                  <v>186.0504424586062</v>
                </pt>
                <pt idx="39">
                  <v>143.5375888642185</v>
                </pt>
                <pt idx="40">
                  <v>146.2536023446033</v>
                </pt>
                <pt idx="41">
                  <v>192.2325905808319</v>
                </pt>
                <pt idx="42">
                  <v>212.3625858003895</v>
                </pt>
                <pt idx="43">
                  <v>397.1798848597606</v>
                </pt>
                <pt idx="44">
                  <v>315.928842796779</v>
                </pt>
                <pt idx="45">
                  <v>120.1190076327392</v>
                </pt>
                <pt idx="46">
                  <v>134.0399027878758</v>
                </pt>
                <pt idx="47">
                  <v>303.2697848166857</v>
                </pt>
                <pt idx="48">
                  <v>120.8992864784306</v>
                </pt>
                <pt idx="49">
                  <v>103.112625406295</v>
                </pt>
                <pt idx="50">
                  <v>89.0984689216417</v>
                </pt>
                <pt idx="51">
                  <v>71.1250997055942</v>
                </pt>
                <pt idx="52">
                  <v>48.35808379645633</v>
                </pt>
                <pt idx="53">
                  <v>71.8620903722224</v>
                </pt>
                <pt idx="54">
                  <v>50.34596661709235</v>
                </pt>
                <pt idx="55">
                  <v>72.95799234798741</v>
                </pt>
                <pt idx="56">
                  <v>64.3944846724649</v>
                </pt>
                <pt idx="57">
                  <v>47.66025509428685</v>
                </pt>
                <pt idx="58">
                  <v>84.63997860526599</v>
                </pt>
                <pt idx="59">
                  <v>59.06174633307972</v>
                </pt>
                <pt idx="60">
                  <v>76.42720253521921</v>
                </pt>
                <pt idx="61">
                  <v>51.43437919654775</v>
                </pt>
                <pt idx="62">
                  <v>50.75116381305344</v>
                </pt>
                <pt idx="63">
                  <v>47.053967904828</v>
                </pt>
                <pt idx="64">
                  <v>34.29579411369289</v>
                </pt>
                <pt idx="65">
                  <v>46.37938403458337</v>
                </pt>
                <pt idx="66">
                  <v>38.81282196947117</v>
                </pt>
                <pt idx="67">
                  <v>47.15186311829253</v>
                </pt>
                <pt idx="68">
                  <v>43.35594635084219</v>
                </pt>
                <pt idx="69">
                  <v>59.53493763028656</v>
                </pt>
                <pt idx="70">
                  <v>89.61127747791728</v>
                </pt>
                <pt idx="71">
                  <v>100.7961313991171</v>
                </pt>
                <pt idx="72">
                  <v>115.0822593270056</v>
                </pt>
                <pt idx="73">
                  <v>106.9231820731682</v>
                </pt>
                <pt idx="74">
                  <v>50.01806296126875</v>
                </pt>
                <pt idx="75">
                  <v>41.82584156307518</v>
                </pt>
                <pt idx="76">
                  <v>34.32066034459122</v>
                </pt>
                <pt idx="77">
                  <v>24.31568572006325</v>
                </pt>
                <pt idx="78">
                  <v>59.76694388214769</v>
                </pt>
                <pt idx="79">
                  <v>43.06460478354486</v>
                </pt>
                <pt idx="80">
                  <v>52.94940515380836</v>
                </pt>
                <pt idx="81">
                  <v>78.64573032240668</v>
                </pt>
                <pt idx="82">
                  <v>92.69045487153267</v>
                </pt>
                <pt idx="83">
                  <v>79.63122802208366</v>
                </pt>
              </numCache>
            </numRef>
          </val>
          <smooth val="1"/>
        </ser>
        <dLbls>
          <showLegendKey val="0"/>
          <showVal val="0"/>
          <showCatName val="0"/>
          <showSerName val="0"/>
          <showPercent val="0"/>
          <showBubbleSize val="0"/>
        </dLbls>
        <smooth val="0"/>
        <axId val="10"/>
        <axId val="100"/>
      </lineChart>
      <catAx>
        <axId val="10"/>
        <scaling>
          <orientation val="minMax"/>
        </scaling>
        <delete val="1"/>
        <axPos val="b"/>
        <title>
          <tx>
            <rich>
              <a:bodyPr xmlns:a="http://schemas.openxmlformats.org/drawingml/2006/main"/>
              <a:lstStyle xmlns:a="http://schemas.openxmlformats.org/drawingml/2006/main"/>
              <a:p xmlns:a="http://schemas.openxmlformats.org/drawingml/2006/main">
                <a:pPr>
                  <a:defRPr/>
                </a:pPr>
                <a:r>
                  <a:rPr lang="en-GB"/>
                  <a:t>Month</a:t>
                </a:r>
              </a:p>
            </rich>
          </tx>
          <overlay val="1"/>
        </title>
        <majorTickMark val="none"/>
        <minorTickMark val="none"/>
        <tickLblPos val="nextTo"/>
        <crossAx val="100"/>
        <crosses val="autoZero"/>
        <auto val="1"/>
        <lblAlgn val="ctr"/>
        <lblOffset val="100"/>
        <noMultiLvlLbl val="1"/>
      </catAx>
      <valAx>
        <axId val="100"/>
        <scaling>
          <orientation val="minMax"/>
        </scaling>
        <delete val="1"/>
        <axPos val="l"/>
        <majorGridlines/>
        <title>
          <tx>
            <rich>
              <a:bodyPr xmlns:a="http://schemas.openxmlformats.org/drawingml/2006/main"/>
              <a:lstStyle xmlns:a="http://schemas.openxmlformats.org/drawingml/2006/main"/>
              <a:p xmlns:a="http://schemas.openxmlformats.org/drawingml/2006/main">
                <a:pPr>
                  <a:defRPr/>
                </a:pPr>
                <a:r>
                  <a:rPr lang="en-GB"/>
                  <a:t>EUR/MWh</a:t>
                </a:r>
              </a:p>
            </rich>
          </tx>
          <overlay val="1"/>
        </title>
        <numFmt formatCode="General" sourceLinked="1"/>
        <majorTickMark val="none"/>
        <minorTickMark val="none"/>
        <tickLblPos val="nextTo"/>
        <crossAx val="10"/>
        <crosses val="autoZero"/>
        <crossBetween val="between"/>
      </valAx>
    </plotArea>
    <legend>
      <legendPos val="r"/>
      <overlay val="1"/>
    </legend>
    <plotVisOnly val="1"/>
    <dispBlanksAs val="gap"/>
  </chart>
</chartSpace>
</file>

<file path=xl/charts/chart86.xml><?xml version="1.0" encoding="utf-8"?>
<chartSpace xmlns="http://schemas.openxmlformats.org/drawingml/2006/chart">
  <chart>
    <title>
      <tx>
        <rich>
          <a:bodyPr xmlns:a="http://schemas.openxmlformats.org/drawingml/2006/main"/>
          <a:lstStyle xmlns:a="http://schemas.openxmlformats.org/drawingml/2006/main"/>
          <a:p xmlns:a="http://schemas.openxmlformats.org/drawingml/2006/main">
            <a:pPr>
              <a:defRPr/>
            </a:pPr>
            <a:r>
              <a:rPr lang="en-GB"/>
              <a:t>Capture Price Ratio - DK1 Primary | DK2 Robustness</a:t>
            </a:r>
          </a:p>
        </rich>
      </tx>
      <overlay val="1"/>
    </title>
    <plotArea>
      <layout/>
      <lineChart>
        <grouping val="standard"/>
        <varyColors val="1"/>
        <ser>
          <idx val="0"/>
          <order val="0"/>
          <tx>
            <strRef>
              <f>'Capture Price Inputs'!$J$1</f>
              <strCache>
                <ptCount val="1"/>
                <pt idx="0">
                  <v>DK1 CPR — Primary</v>
                </pt>
              </strCache>
            </strRef>
          </tx>
          <spPr>
            <a:ln xmlns:a="http://schemas.openxmlformats.org/drawingml/2006/main">
              <a:solidFill>
                <a:srgbClr val="2E75B6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val>
            <numRef>
              <f>'Capture Price Inputs'!$J$2:$J$85</f>
              <numCache>
                <formatCode>General</formatCode>
                <ptCount val="84"/>
                <pt idx="12">
                  <v>1.009148659447442</v>
                </pt>
                <pt idx="13">
                  <v>1.298591168695051</v>
                </pt>
                <pt idx="14">
                  <v>0.8710146939215303</v>
                </pt>
                <pt idx="15">
                  <v>0.7131577255881921</v>
                </pt>
                <pt idx="16">
                  <v>0.9641557693120565</v>
                </pt>
                <pt idx="17">
                  <v>1.039466413731094</v>
                </pt>
                <pt idx="18">
                  <v>1.008618155660831</v>
                </pt>
                <pt idx="19">
                  <v>0.9808226440750074</v>
                </pt>
                <pt idx="20">
                  <v>1.010404486913005</v>
                </pt>
                <pt idx="21">
                  <v>1.236802226812374</v>
                </pt>
                <pt idx="22">
                  <v>1.094777917215692</v>
                </pt>
                <pt idx="23">
                  <v>1.008230164182662</v>
                </pt>
                <pt idx="24">
                  <v>1.103930861568265</v>
                </pt>
                <pt idx="25">
                  <v>1.005947927705425</v>
                </pt>
                <pt idx="26">
                  <v>0.9871758725122356</v>
                </pt>
                <pt idx="27">
                  <v>0.9088464745665017</v>
                </pt>
                <pt idx="28">
                  <v>0.8775180518715436</v>
                </pt>
                <pt idx="29">
                  <v>0.9569142795347317</v>
                </pt>
                <pt idx="30">
                  <v>0.9821132371596978</v>
                </pt>
                <pt idx="31">
                  <v>0.9902714780245057</v>
                </pt>
                <pt idx="32">
                  <v>0.9269044048361358</v>
                </pt>
                <pt idx="33">
                  <v>1.081088507413439</v>
                </pt>
                <pt idx="34">
                  <v>1.133803408504466</v>
                </pt>
                <pt idx="35">
                  <v>1.208676962454928</v>
                </pt>
                <pt idx="36">
                  <v>1.044125730427727</v>
                </pt>
                <pt idx="37">
                  <v>1.04022281700981</v>
                </pt>
                <pt idx="38">
                  <v>0.8120775904420741</v>
                </pt>
                <pt idx="39">
                  <v>0.8903913338467833</v>
                </pt>
                <pt idx="40">
                  <v>0.8694301605049858</v>
                </pt>
                <pt idx="41">
                  <v>0.9080390201234191</v>
                </pt>
                <pt idx="42">
                  <v>0.8704179159294955</v>
                </pt>
                <pt idx="43">
                  <v>0.9190855304670003</v>
                </pt>
                <pt idx="44">
                  <v>0.9063290180568312</v>
                </pt>
                <pt idx="45">
                  <v>0.9161232525396177</v>
                </pt>
                <pt idx="46">
                  <v>0.9427861207466001</v>
                </pt>
                <pt idx="47">
                  <v>1.132810339248927</v>
                </pt>
                <pt idx="48">
                  <v>1.230919869122654</v>
                </pt>
                <pt idx="49">
                  <v>0.93008781340266</v>
                </pt>
                <pt idx="50">
                  <v>0.9461253975959896</v>
                </pt>
                <pt idx="51">
                  <v>0.7920396612038634</v>
                </pt>
                <pt idx="52">
                  <v>0.6833361056151995</v>
                </pt>
                <pt idx="53">
                  <v>0.8096506208621567</v>
                </pt>
                <pt idx="54">
                  <v>0.8038042195326093</v>
                </pt>
                <pt idx="55">
                  <v>0.8628930977720407</v>
                </pt>
                <pt idx="56">
                  <v>0.8038389922187259</v>
                </pt>
                <pt idx="57">
                  <v>0.8408360556054226</v>
                </pt>
                <pt idx="58">
                  <v>1.028656893611996</v>
                </pt>
                <pt idx="59">
                  <v>0.9132560776287663</v>
                </pt>
                <pt idx="60">
                  <v>1.051614630458469</v>
                </pt>
                <pt idx="61">
                  <v>1.014420829179444</v>
                </pt>
                <pt idx="62">
                  <v>0.8373818542217274</v>
                </pt>
                <pt idx="63">
                  <v>0.8346846016164379</v>
                </pt>
                <pt idx="64">
                  <v>0.6133984536650869</v>
                </pt>
                <pt idx="65">
                  <v>0.7378100322386865</v>
                </pt>
                <pt idx="66">
                  <v>0.685499494870618</v>
                </pt>
                <pt idx="67">
                  <v>0.7151267621934952</v>
                </pt>
                <pt idx="68">
                  <v>0.636525223039573</v>
                </pt>
                <pt idx="69">
                  <v>0.7617518807592967</v>
                </pt>
                <pt idx="70">
                  <v>1.017494003861172</v>
                </pt>
                <pt idx="71">
                  <v>1.002567416041121</v>
                </pt>
                <pt idx="72">
                  <v>1.135032584901597</v>
                </pt>
                <pt idx="73">
                  <v>0.9341166514187298</v>
                </pt>
                <pt idx="74">
                  <v>0.6857908168802248</v>
                </pt>
                <pt idx="75">
                  <v>0.609953535618325</v>
                </pt>
                <pt idx="76">
                  <v>0.6237511742318941</v>
                </pt>
                <pt idx="77">
                  <v>0.569764321286333</v>
                </pt>
                <pt idx="78">
                  <v>0.7405896710838001</v>
                </pt>
                <pt idx="79">
                  <v>0.6499711234459455</v>
                </pt>
                <pt idx="80">
                  <v>0.6827347489865859</v>
                </pt>
                <pt idx="81">
                  <v>0.9470151719348058</v>
                </pt>
                <pt idx="82">
                  <v>1.028976430956097</v>
                </pt>
                <pt idx="83">
                  <v>0.9820538861792604</v>
                </pt>
              </numCache>
            </numRef>
          </val>
          <smooth val="1"/>
        </ser>
        <ser>
          <idx val="1"/>
          <order val="1"/>
          <tx>
            <strRef>
              <f>'Capture Price Inputs'!$K$1</f>
              <strCache>
                <ptCount val="1"/>
                <pt idx="0">
                  <v>DK2 CPR — Robustness</v>
                </pt>
              </strCache>
            </strRef>
          </tx>
          <spPr>
            <a:ln xmlns:a="http://schemas.openxmlformats.org/drawingml/2006/main">
              <a:solidFill>
                <a:srgbClr val="9DC3E6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val>
            <numRef>
              <f>'Capture Price Inputs'!$K$2:$K$85</f>
              <numCache>
                <formatCode>General</formatCode>
                <ptCount val="84"/>
                <pt idx="12">
                  <v>1.090446324793763</v>
                </pt>
                <pt idx="13">
                  <v>1.251821301318464</v>
                </pt>
                <pt idx="14">
                  <v>0.8552077585127711</v>
                </pt>
                <pt idx="15">
                  <v>0.763620235478716</v>
                </pt>
                <pt idx="16">
                  <v>0.9763693823354528</v>
                </pt>
                <pt idx="17">
                  <v>1.180647007173951</v>
                </pt>
                <pt idx="18">
                  <v>1.021791049952987</v>
                </pt>
                <pt idx="19">
                  <v>1.077948442472481</v>
                </pt>
                <pt idx="20">
                  <v>1.059189092335807</v>
                </pt>
                <pt idx="21">
                  <v>1.247549053102559</v>
                </pt>
                <pt idx="22">
                  <v>1.057080411727209</v>
                </pt>
                <pt idx="23">
                  <v>1.125691191699302</v>
                </pt>
                <pt idx="24">
                  <v>1.122164979814525</v>
                </pt>
                <pt idx="25">
                  <v>0.9585139857498034</v>
                </pt>
                <pt idx="26">
                  <v>1.014774172650395</v>
                </pt>
                <pt idx="27">
                  <v>0.9590164366476613</v>
                </pt>
                <pt idx="28">
                  <v>0.9103388736117121</v>
                </pt>
                <pt idx="29">
                  <v>0.9440449187481634</v>
                </pt>
                <pt idx="30">
                  <v>0.9569285690465077</v>
                </pt>
                <pt idx="31">
                  <v>1.001768528067071</v>
                </pt>
                <pt idx="32">
                  <v>0.9583833699094481</v>
                </pt>
                <pt idx="33">
                  <v>1.144501265847132</v>
                </pt>
                <pt idx="34">
                  <v>1.126460857141801</v>
                </pt>
                <pt idx="35">
                  <v>1.279578427053047</v>
                </pt>
                <pt idx="36">
                  <v>1.161754652341282</v>
                </pt>
                <pt idx="37">
                  <v>1.084871924613185</v>
                </pt>
                <pt idx="38">
                  <v>0.8162958275837114</v>
                </pt>
                <pt idx="39">
                  <v>0.9391804877392103</v>
                </pt>
                <pt idx="40">
                  <v>0.8991456314331195</v>
                </pt>
                <pt idx="41">
                  <v>0.9015136745747578</v>
                </pt>
                <pt idx="42">
                  <v>0.909562444967756</v>
                </pt>
                <pt idx="43">
                  <v>0.8830756108422062</v>
                </pt>
                <pt idx="44">
                  <v>0.9608536982958826</v>
                </pt>
                <pt idx="45">
                  <v>0.8774354195736861</v>
                </pt>
                <pt idx="46">
                  <v>0.9240447439178995</v>
                </pt>
                <pt idx="47">
                  <v>1.218528056069729</v>
                </pt>
                <pt idx="48">
                  <v>1.21186632363043</v>
                </pt>
                <pt idx="49">
                  <v>1.024478122815962</v>
                </pt>
                <pt idx="50">
                  <v>0.992236312197012</v>
                </pt>
                <pt idx="51">
                  <v>0.8502587347820391</v>
                </pt>
                <pt idx="52">
                  <v>0.7310174827054021</v>
                </pt>
                <pt idx="53">
                  <v>0.7860381991736552</v>
                </pt>
                <pt idx="54">
                  <v>0.7717034871247128</v>
                </pt>
                <pt idx="55">
                  <v>0.8454610410569836</v>
                </pt>
                <pt idx="56">
                  <v>0.7532917330845335</v>
                </pt>
                <pt idx="57">
                  <v>0.837234490334641</v>
                </pt>
                <pt idx="58">
                  <v>1.038705241708771</v>
                </pt>
                <pt idx="59">
                  <v>0.8332670757562848</v>
                </pt>
                <pt idx="60">
                  <v>0.977144875107929</v>
                </pt>
                <pt idx="61">
                  <v>0.9399172603334611</v>
                </pt>
                <pt idx="62">
                  <v>0.8314293202728863</v>
                </pt>
                <pt idx="63">
                  <v>0.7780510745637418</v>
                </pt>
                <pt idx="64">
                  <v>0.5900556342707577</v>
                </pt>
                <pt idx="65">
                  <v>0.6943958569114143</v>
                </pt>
                <pt idx="66">
                  <v>0.6176283845394642</v>
                </pt>
                <pt idx="67">
                  <v>0.6493471479229646</v>
                </pt>
                <pt idx="68">
                  <v>0.6157480113547513</v>
                </pt>
                <pt idx="69">
                  <v>0.7800073506793195</v>
                </pt>
                <pt idx="70">
                  <v>0.9404779955101509</v>
                </pt>
                <pt idx="71">
                  <v>1.087006718547946</v>
                </pt>
                <pt idx="72">
                  <v>1.149400364807902</v>
                </pt>
                <pt idx="73">
                  <v>0.9066238427133391</v>
                </pt>
                <pt idx="74">
                  <v>0.603741164715803</v>
                </pt>
                <pt idx="75">
                  <v>0.5517436798810373</v>
                </pt>
                <pt idx="76">
                  <v>0.544059463307295</v>
                </pt>
                <pt idx="77">
                  <v>0.4307606652121766</v>
                </pt>
                <pt idx="78">
                  <v>0.7474634186196619</v>
                </pt>
                <pt idx="79">
                  <v>0.5717894234335987</v>
                </pt>
                <pt idx="80">
                  <v>0.635731600833678</v>
                </pt>
                <pt idx="81">
                  <v>0.9548084008156305</v>
                </pt>
                <pt idx="82">
                  <v>0.9892725129496999</v>
                </pt>
                <pt idx="83">
                  <v>0.9701479625359415</v>
                </pt>
              </numCache>
            </numRef>
          </val>
          <smooth val="1"/>
        </ser>
        <dLbls>
          <showLegendKey val="0"/>
          <showVal val="0"/>
          <showCatName val="0"/>
          <showSerName val="0"/>
          <showPercent val="0"/>
          <showBubbleSize val="0"/>
        </dLbls>
        <smooth val="0"/>
        <axId val="10"/>
        <axId val="100"/>
      </lineChart>
      <catAx>
        <axId val="10"/>
        <scaling>
          <orientation val="minMax"/>
        </scaling>
        <delete val="1"/>
        <axPos val="b"/>
        <title>
          <tx>
            <rich>
              <a:bodyPr xmlns:a="http://schemas.openxmlformats.org/drawingml/2006/main"/>
              <a:lstStyle xmlns:a="http://schemas.openxmlformats.org/drawingml/2006/main"/>
              <a:p xmlns:a="http://schemas.openxmlformats.org/drawingml/2006/main">
                <a:pPr>
                  <a:defRPr/>
                </a:pPr>
                <a:r>
                  <a:rPr lang="en-GB"/>
                  <a:t>Month</a:t>
                </a:r>
              </a:p>
            </rich>
          </tx>
          <overlay val="1"/>
        </title>
        <majorTickMark val="none"/>
        <minorTickMark val="none"/>
        <tickLblPos val="nextTo"/>
        <crossAx val="100"/>
        <crosses val="autoZero"/>
        <auto val="1"/>
        <lblAlgn val="ctr"/>
        <lblOffset val="100"/>
        <noMultiLvlLbl val="1"/>
      </catAx>
      <valAx>
        <axId val="100"/>
        <scaling>
          <orientation val="minMax"/>
        </scaling>
        <delete val="1"/>
        <axPos val="l"/>
        <majorGridlines/>
        <title>
          <tx>
            <rich>
              <a:bodyPr xmlns:a="http://schemas.openxmlformats.org/drawingml/2006/main"/>
              <a:lstStyle xmlns:a="http://schemas.openxmlformats.org/drawingml/2006/main"/>
              <a:p xmlns:a="http://schemas.openxmlformats.org/drawingml/2006/main">
                <a:pPr>
                  <a:defRPr/>
                </a:pPr>
                <a:r>
                  <a:rPr lang="en-GB"/>
                  <a:t>CPR</a:t>
                </a:r>
              </a:p>
            </rich>
          </tx>
          <overlay val="1"/>
        </title>
        <numFmt formatCode="General" sourceLinked="1"/>
        <majorTickMark val="none"/>
        <minorTickMark val="none"/>
        <tickLblPos val="nextTo"/>
        <crossAx val="10"/>
        <crosses val="autoZero"/>
        <crossBetween val="between"/>
      </valAx>
    </plotArea>
    <legend>
      <legendPos val="r"/>
      <overlay val="1"/>
    </legend>
    <plotVisOnly val="1"/>
    <dispBlanksAs val="gap"/>
  </chart>
</chartSpace>
</file>

<file path=xl/charts/chart87.xml><?xml version="1.0" encoding="utf-8"?>
<chartSpace xmlns="http://schemas.openxmlformats.org/drawingml/2006/chart">
  <chart>
    <title>
      <tx>
        <rich>
          <a:bodyPr xmlns:a="http://schemas.openxmlformats.org/drawingml/2006/main"/>
          <a:lstStyle xmlns:a="http://schemas.openxmlformats.org/drawingml/2006/main"/>
          <a:p xmlns:a="http://schemas.openxmlformats.org/drawingml/2006/main">
            <a:pPr>
              <a:defRPr/>
            </a:pPr>
            <a:r>
              <a:rPr lang="en-GB"/>
              <a:t>Solar Penetration - DK1 Primary | DK2 Robustness</a:t>
            </a:r>
          </a:p>
        </rich>
      </tx>
      <overlay val="1"/>
    </title>
    <plotArea>
      <layout/>
      <lineChart>
        <grouping val="standard"/>
        <varyColors val="1"/>
        <ser>
          <idx val="0"/>
          <order val="0"/>
          <tx>
            <strRef>
              <f>'Capture Price Inputs'!$F$1</f>
              <strCache>
                <ptCount val="1"/>
                <pt idx="0">
                  <v>DK1 Solar Penetration (%) — Primary</v>
                </pt>
              </strCache>
            </strRef>
          </tx>
          <spPr>
            <a:ln xmlns:a="http://schemas.openxmlformats.org/drawingml/2006/main">
              <a:solidFill>
                <a:srgbClr val="FF8C00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val>
            <numRef>
              <f>'Capture Price Inputs'!$F$2:$F$85</f>
              <numCache>
                <formatCode>General</formatCode>
                <ptCount val="84"/>
                <pt idx="0">
                  <v>0</v>
                </pt>
                <pt idx="1">
                  <v>0</v>
                </pt>
                <pt idx="2">
                  <v>0</v>
                </pt>
                <pt idx="3">
                  <v>0</v>
                </pt>
                <pt idx="4">
                  <v>0</v>
                </pt>
                <pt idx="5">
                  <v>0</v>
                </pt>
                <pt idx="6">
                  <v>0</v>
                </pt>
                <pt idx="7">
                  <v>0</v>
                </pt>
                <pt idx="8">
                  <v>0</v>
                </pt>
                <pt idx="9">
                  <v>0</v>
                </pt>
                <pt idx="10">
                  <v>0</v>
                </pt>
                <pt idx="11">
                  <v>0</v>
                </pt>
                <pt idx="12">
                  <v>0.002264447892629483</v>
                </pt>
                <pt idx="13">
                  <v>0.005247452024482245</v>
                </pt>
                <pt idx="14">
                  <v>0.02020167759412729</v>
                </pt>
                <pt idx="15">
                  <v>0.0324279896123047</v>
                </pt>
                <pt idx="16">
                  <v>0.03608008723790357</v>
                </pt>
                <pt idx="17">
                  <v>0.03741361883164089</v>
                </pt>
                <pt idx="18">
                  <v>0.03399843385950392</v>
                </pt>
                <pt idx="19">
                  <v>0.03422476314253766</v>
                </pt>
                <pt idx="20">
                  <v>0.02433015193915724</v>
                </pt>
                <pt idx="21">
                  <v>0.01149038754944678</v>
                </pt>
                <pt idx="22">
                  <v>0.0001521101274151999</v>
                </pt>
                <pt idx="23">
                  <v>1.472410662127807e-05</v>
                </pt>
                <pt idx="24">
                  <v>0.003631355999035091</v>
                </pt>
                <pt idx="25">
                  <v>0.0108689417180573</v>
                </pt>
                <pt idx="26">
                  <v>0.02238230390737163</v>
                </pt>
                <pt idx="27">
                  <v>0.04212837115783985</v>
                </pt>
                <pt idx="28">
                  <v>0.03307505221196035</v>
                </pt>
                <pt idx="29">
                  <v>0.04984166182181952</v>
                </pt>
                <pt idx="30">
                  <v>0.0485715434854639</v>
                </pt>
                <pt idx="31">
                  <v>0.0388769479447087</v>
                </pt>
                <pt idx="32">
                  <v>0.02593285017943629</v>
                </pt>
                <pt idx="33">
                  <v>0.01746009643148906</v>
                </pt>
                <pt idx="34">
                  <v>0.007029306005813504</v>
                </pt>
                <pt idx="35">
                  <v>0.003243365391886713</v>
                </pt>
                <pt idx="36">
                  <v>0.006675315547248087</v>
                </pt>
                <pt idx="37">
                  <v>0.0173995712330029</v>
                </pt>
                <pt idx="38">
                  <v>0.06195507058644287</v>
                </pt>
                <pt idx="39">
                  <v>0.08404056603836467</v>
                </pt>
                <pt idx="40">
                  <v>0.09687689142031611</v>
                </pt>
                <pt idx="41">
                  <v>0.09496202074431148</v>
                </pt>
                <pt idx="42">
                  <v>0.09963556652585577</v>
                </pt>
                <pt idx="43">
                  <v>0.08962697832526678</v>
                </pt>
                <pt idx="44">
                  <v>0.06604649859170474</v>
                </pt>
                <pt idx="45">
                  <v>0.03746941447765471</v>
                </pt>
                <pt idx="46">
                  <v>0.01046932675470221</v>
                </pt>
                <pt idx="47">
                  <v>0.006229164645196865</v>
                </pt>
                <pt idx="48">
                  <v>0.01246069427686292</v>
                </pt>
                <pt idx="49">
                  <v>0.03437640419176364</v>
                </pt>
                <pt idx="50">
                  <v>0.05647796857705859</v>
                </pt>
                <pt idx="51">
                  <v>0.1509467292684683</v>
                </pt>
                <pt idx="52">
                  <v>0.18600333743842</v>
                </pt>
                <pt idx="53">
                  <v>0.218925737129461</v>
                </pt>
                <pt idx="54">
                  <v>0.1892952405634502</v>
                </pt>
                <pt idx="55">
                  <v>0.1493297980639493</v>
                </pt>
                <pt idx="56">
                  <v>0.1319165438654872</v>
                </pt>
                <pt idx="57">
                  <v>0.0428648864567301</v>
                </pt>
                <pt idx="58">
                  <v>0.01600349353715238</v>
                </pt>
                <pt idx="59">
                  <v>0.006390504672696534</v>
                </pt>
                <pt idx="60">
                  <v>0.01341718605060752</v>
                </pt>
                <pt idx="61">
                  <v>0.0264362238379265</v>
                </pt>
                <pt idx="62">
                  <v>0.06623397340035048</v>
                </pt>
                <pt idx="63">
                  <v>0.1084169878649764</v>
                </pt>
                <pt idx="64">
                  <v>0.1888703164988005</v>
                </pt>
                <pt idx="65">
                  <v>0.1715230569234828</v>
                </pt>
                <pt idx="66">
                  <v>0.1809062055635286</v>
                </pt>
                <pt idx="67">
                  <v>0.155121531117258</v>
                </pt>
                <pt idx="68">
                  <v>0.1275567235314205</v>
                </pt>
                <pt idx="69">
                  <v>0.06287376784741511</v>
                </pt>
                <pt idx="70">
                  <v>0.01780902737610289</v>
                </pt>
                <pt idx="71">
                  <v>0.006785797568345668</v>
                </pt>
                <pt idx="72">
                  <v>0.01366055484422285</v>
                </pt>
                <pt idx="73">
                  <v>0.04341993481717769</v>
                </pt>
                <pt idx="74">
                  <v>0.1120694547038418</v>
                </pt>
                <pt idx="75">
                  <v>0.1482754875605271</v>
                </pt>
                <pt idx="76">
                  <v>0.1924446817596716</v>
                </pt>
                <pt idx="77">
                  <v>0.1878482923852328</v>
                </pt>
                <pt idx="78">
                  <v>0.2182818884824121</v>
                </pt>
                <pt idx="79">
                  <v>0.1901168401280812</v>
                </pt>
                <pt idx="80">
                  <v>0.1381615272451792</v>
                </pt>
                <pt idx="81">
                  <v>0.06946207120205163</v>
                </pt>
                <pt idx="82">
                  <v>0.02660497040214753</v>
                </pt>
                <pt idx="83">
                  <v>0.0140253486520015</v>
                </pt>
              </numCache>
            </numRef>
          </val>
          <smooth val="1"/>
        </ser>
        <ser>
          <idx val="1"/>
          <order val="1"/>
          <tx>
            <strRef>
              <f>'Capture Price Inputs'!$G$1</f>
              <strCache>
                <ptCount val="1"/>
                <pt idx="0">
                  <v>DK2 Solar Penetration (%) — Robustness</v>
                </pt>
              </strCache>
            </strRef>
          </tx>
          <spPr>
            <a:ln xmlns:a="http://schemas.openxmlformats.org/drawingml/2006/main">
              <a:solidFill>
                <a:srgbClr val="FFD700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val>
            <numRef>
              <f>'Capture Price Inputs'!$G$2:$G$85</f>
              <numCache>
                <formatCode>General</formatCode>
                <ptCount val="84"/>
                <pt idx="0">
                  <v>0</v>
                </pt>
                <pt idx="1">
                  <v>0</v>
                </pt>
                <pt idx="2">
                  <v>0</v>
                </pt>
                <pt idx="3">
                  <v>0</v>
                </pt>
                <pt idx="4">
                  <v>0</v>
                </pt>
                <pt idx="5">
                  <v>0</v>
                </pt>
                <pt idx="6">
                  <v>0</v>
                </pt>
                <pt idx="7">
                  <v>0</v>
                </pt>
                <pt idx="8">
                  <v>0</v>
                </pt>
                <pt idx="9">
                  <v>0</v>
                </pt>
                <pt idx="10">
                  <v>0</v>
                </pt>
                <pt idx="11">
                  <v>0</v>
                </pt>
                <pt idx="12">
                  <v>0.001864323044087839</v>
                </pt>
                <pt idx="13">
                  <v>0.004961339344807235</v>
                </pt>
                <pt idx="14">
                  <v>0.01532033335337761</v>
                </pt>
                <pt idx="15">
                  <v>0.02618059513454593</v>
                </pt>
                <pt idx="16">
                  <v>0.03224093077416624</v>
                </pt>
                <pt idx="17">
                  <v>0.03065181208815584</v>
                </pt>
                <pt idx="18">
                  <v>0.02998206800974695</v>
                </pt>
                <pt idx="19">
                  <v>0.02803471341430708</v>
                </pt>
                <pt idx="20">
                  <v>0.02173647910159525</v>
                </pt>
                <pt idx="21">
                  <v>0.01107911770574695</v>
                </pt>
                <pt idx="22">
                  <v>0.0001104461157833284</v>
                </pt>
                <pt idx="23">
                  <v>5.635243358406259e-06</v>
                </pt>
                <pt idx="24">
                  <v>0.003104474131982996</v>
                </pt>
                <pt idx="25">
                  <v>0.009248336948772359</v>
                </pt>
                <pt idx="26">
                  <v>0.01847451704521283</v>
                </pt>
                <pt idx="27">
                  <v>0.03269440748331279</v>
                </pt>
                <pt idx="28">
                  <v>0.03294582929454019</v>
                </pt>
                <pt idx="29">
                  <v>0.04448013314005607</v>
                </pt>
                <pt idx="30">
                  <v>0.03704954253730217</v>
                </pt>
                <pt idx="31">
                  <v>0.03185776883426199</v>
                </pt>
                <pt idx="32">
                  <v>0.0223981137027396</v>
                </pt>
                <pt idx="33">
                  <v>0.01267326343754744</v>
                </pt>
                <pt idx="34">
                  <v>0.004013281085791027</v>
                </pt>
                <pt idx="35">
                  <v>0.001822629583826099</v>
                </pt>
                <pt idx="36">
                  <v>0.004939556742877535</v>
                </pt>
                <pt idx="37">
                  <v>0.01324848558669828</v>
                </pt>
                <pt idx="38">
                  <v>0.03408933034912105</v>
                </pt>
                <pt idx="39">
                  <v>0.05525443609957865</v>
                </pt>
                <pt idx="40">
                  <v>0.06581145996085939</v>
                </pt>
                <pt idx="41">
                  <v>0.06452822904586782</v>
                </pt>
                <pt idx="42">
                  <v>0.06702580380195292</v>
                </pt>
                <pt idx="43">
                  <v>0.06129992439719582</v>
                </pt>
                <pt idx="44">
                  <v>0.04578427610350702</v>
                </pt>
                <pt idx="45">
                  <v>0.0298090580270354</v>
                </pt>
                <pt idx="46">
                  <v>0.007865295261900549</v>
                </pt>
                <pt idx="47">
                  <v>0.004532355552973548</v>
                </pt>
                <pt idx="48">
                  <v>0.005862652723136608</v>
                </pt>
                <pt idx="49">
                  <v>0.01887764841837355</v>
                </pt>
                <pt idx="50">
                  <v>0.03709622939200571</v>
                </pt>
                <pt idx="51">
                  <v>0.08026996603382495</v>
                </pt>
                <pt idx="52">
                  <v>0.1080032082802261</v>
                </pt>
                <pt idx="53">
                  <v>0.1144244665352921</v>
                </pt>
                <pt idx="54">
                  <v>0.1020307450715976</v>
                </pt>
                <pt idx="55">
                  <v>0.07793101053296771</v>
                </pt>
                <pt idx="56">
                  <v>0.08090995463931874</v>
                </pt>
                <pt idx="57">
                  <v>0.02917234021559438</v>
                </pt>
                <pt idx="58">
                  <v>0.0104098691216888</v>
                </pt>
                <pt idx="59">
                  <v>0.003809030164374855</v>
                </pt>
                <pt idx="60">
                  <v>0.006178183072975508</v>
                </pt>
                <pt idx="61">
                  <v>0.01667231366864759</v>
                </pt>
                <pt idx="62">
                  <v>0.04111280636733766</v>
                </pt>
                <pt idx="63">
                  <v>0.06512337874480645</v>
                </pt>
                <pt idx="64">
                  <v>0.106315341440858</v>
                </pt>
                <pt idx="65">
                  <v>0.1072729076610999</v>
                </pt>
                <pt idx="66">
                  <v>0.1057942634887733</v>
                </pt>
                <pt idx="67">
                  <v>0.0936908322687052</v>
                </pt>
                <pt idx="68">
                  <v>0.07246320282040017</v>
                </pt>
                <pt idx="69">
                  <v>0.03614525389237988</v>
                </pt>
                <pt idx="70">
                  <v>0.008602841405423608</v>
                </pt>
                <pt idx="71">
                  <v>0.004171468465776758</v>
                </pt>
                <pt idx="72">
                  <v>0.007223240212576967</v>
                </pt>
                <pt idx="73">
                  <v>0.02010831138567791</v>
                </pt>
                <pt idx="74">
                  <v>0.04654786644745259</v>
                </pt>
                <pt idx="75">
                  <v>0.07168978364906199</v>
                </pt>
                <pt idx="76">
                  <v>0.09471412725623395</v>
                </pt>
                <pt idx="77">
                  <v>0.09982625001551076</v>
                </pt>
                <pt idx="78">
                  <v>0.09399641941869914</v>
                </pt>
                <pt idx="79">
                  <v>0.1057378118957395</v>
                </pt>
                <pt idx="80">
                  <v>0.09062887968652376</v>
                </pt>
                <pt idx="81">
                  <v>0.03957312567862663</v>
                </pt>
                <pt idx="82">
                  <v>0.01454364344794783</v>
                </pt>
                <pt idx="83">
                  <v>0.00906949116088333</v>
                </pt>
              </numCache>
            </numRef>
          </val>
          <smooth val="1"/>
        </ser>
        <dLbls>
          <showLegendKey val="0"/>
          <showVal val="0"/>
          <showCatName val="0"/>
          <showSerName val="0"/>
          <showPercent val="0"/>
          <showBubbleSize val="0"/>
        </dLbls>
        <smooth val="0"/>
        <axId val="10"/>
        <axId val="100"/>
      </lineChart>
      <catAx>
        <axId val="10"/>
        <scaling>
          <orientation val="minMax"/>
        </scaling>
        <delete val="1"/>
        <axPos val="b"/>
        <title>
          <tx>
            <rich>
              <a:bodyPr xmlns:a="http://schemas.openxmlformats.org/drawingml/2006/main"/>
              <a:lstStyle xmlns:a="http://schemas.openxmlformats.org/drawingml/2006/main"/>
              <a:p xmlns:a="http://schemas.openxmlformats.org/drawingml/2006/main">
                <a:pPr>
                  <a:defRPr/>
                </a:pPr>
                <a:r>
                  <a:rPr lang="en-GB"/>
                  <a:t>Month</a:t>
                </a:r>
              </a:p>
            </rich>
          </tx>
          <overlay val="1"/>
        </title>
        <majorTickMark val="none"/>
        <minorTickMark val="none"/>
        <tickLblPos val="nextTo"/>
        <crossAx val="100"/>
        <crosses val="autoZero"/>
        <auto val="1"/>
        <lblAlgn val="ctr"/>
        <lblOffset val="100"/>
        <noMultiLvlLbl val="1"/>
      </catAx>
      <valAx>
        <axId val="100"/>
        <scaling>
          <orientation val="minMax"/>
        </scaling>
        <delete val="1"/>
        <axPos val="l"/>
        <majorGridlines/>
        <title>
          <tx>
            <rich>
              <a:bodyPr xmlns:a="http://schemas.openxmlformats.org/drawingml/2006/main"/>
              <a:lstStyle xmlns:a="http://schemas.openxmlformats.org/drawingml/2006/main"/>
              <a:p xmlns:a="http://schemas.openxmlformats.org/drawingml/2006/main">
                <a:pPr>
                  <a:defRPr/>
                </a:pPr>
                <a:r>
                  <a:rPr lang="en-GB"/>
                  <a:t>Solar Penetration (%)</a:t>
                </a:r>
              </a:p>
            </rich>
          </tx>
          <overlay val="1"/>
        </title>
        <numFmt formatCode="General" sourceLinked="1"/>
        <majorTickMark val="none"/>
        <minorTickMark val="none"/>
        <tickLblPos val="nextTo"/>
        <crossAx val="10"/>
        <crosses val="autoZero"/>
        <crossBetween val="between"/>
      </valAx>
    </plotArea>
    <legend>
      <legendPos val="r"/>
      <overlay val="1"/>
    </legend>
    <plotVisOnly val="1"/>
    <dispBlanksAs val="gap"/>
  </chart>
</chartSpace>
</file>

<file path=xl/charts/chart88.xml><?xml version="1.0" encoding="utf-8"?>
<chartSpace xmlns="http://schemas.openxmlformats.org/drawingml/2006/chart">
  <chart>
    <title>
      <tx>
        <rich>
          <a:bodyPr xmlns:a="http://schemas.openxmlformats.org/drawingml/2006/main"/>
          <a:lstStyle xmlns:a="http://schemas.openxmlformats.org/drawingml/2006/main"/>
          <a:p xmlns:a="http://schemas.openxmlformats.org/drawingml/2006/main">
            <a:pPr>
              <a:defRPr/>
            </a:pPr>
            <a:r>
              <a:rPr lang="en-GB"/>
              <a:t>Capture Price - DK1 Primary | DK2 Robustness</a:t>
            </a:r>
          </a:p>
        </rich>
      </tx>
      <overlay val="1"/>
    </title>
    <plotArea>
      <layout/>
      <lineChart>
        <grouping val="standard"/>
        <varyColors val="1"/>
        <ser>
          <idx val="0"/>
          <order val="0"/>
          <tx>
            <strRef>
              <f>'Capture Price Inputs'!$H$1</f>
              <strCache>
                <ptCount val="1"/>
                <pt idx="0">
                  <v>DK1 Capture Price (EUR/MWh) — Primary</v>
                </pt>
              </strCache>
            </strRef>
          </tx>
          <spPr>
            <a:ln xmlns:a="http://schemas.openxmlformats.org/drawingml/2006/main">
              <a:solidFill>
                <a:srgbClr val="2E75B6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val>
            <numRef>
              <f>'Capture Price Inputs'!$H$2:$H$85</f>
              <numCache>
                <formatCode>General</formatCode>
                <ptCount val="84"/>
                <pt idx="12">
                  <v>25.22320957280251</v>
                </pt>
                <pt idx="13">
                  <v>22.83581899109792</v>
                </pt>
                <pt idx="14">
                  <v>15.94107348554973</v>
                </pt>
                <pt idx="15">
                  <v>10.36487590420421</v>
                </pt>
                <pt idx="16">
                  <v>15.478548945086</v>
                </pt>
                <pt idx="17">
                  <v>27.31330822786869</v>
                </pt>
                <pt idx="18">
                  <v>24.83174517810916</v>
                </pt>
                <pt idx="19">
                  <v>33.87691542204785</v>
                </pt>
                <pt idx="20">
                  <v>38.93597900337959</v>
                </pt>
                <pt idx="21">
                  <v>31.92774153305919</v>
                </pt>
                <pt idx="22">
                  <v>26.00599326599326</v>
                </pt>
                <pt idx="23">
                  <v>34.79516129032258</v>
                </pt>
                <pt idx="24">
                  <v>55.42296760727792</v>
                </pt>
                <pt idx="25">
                  <v>47.54261097914259</v>
                </pt>
                <pt idx="26">
                  <v>44.55070091580549</v>
                </pt>
                <pt idx="27">
                  <v>43.594739828473</v>
                </pt>
                <pt idx="28">
                  <v>47.65587057500122</v>
                </pt>
                <pt idx="29">
                  <v>70.54354791111106</v>
                </pt>
                <pt idx="30">
                  <v>78.56831974775861</v>
                </pt>
                <pt idx="31">
                  <v>81.98335113640179</v>
                </pt>
                <pt idx="32">
                  <v>116.2002249554484</v>
                </pt>
                <pt idx="33">
                  <v>126.5303952032395</v>
                </pt>
                <pt idx="34">
                  <v>160.7705833010295</v>
                </pt>
                <pt idx="35">
                  <v>228.8621705579358</v>
                </pt>
                <pt idx="36">
                  <v>123.2012506791719</v>
                </pt>
                <pt idx="37">
                  <v>117.67077903546</v>
                </pt>
                <pt idx="38">
                  <v>191.508071735067</v>
                </pt>
                <pt idx="39">
                  <v>145.7013871592604</v>
                </pt>
                <pt idx="40">
                  <v>149.4185612445558</v>
                </pt>
                <pt idx="41">
                  <v>194.7110340948198</v>
                </pt>
                <pt idx="42">
                  <v>239.3981525107354</v>
                </pt>
                <pt idx="43">
                  <v>419.792637226606</v>
                </pt>
                <pt idx="44">
                  <v>310.7073992726671</v>
                </pt>
                <pt idx="45">
                  <v>125.6295598680838</v>
                </pt>
                <pt idx="46">
                  <v>131.7111886265582</v>
                </pt>
                <pt idx="47">
                  <v>282.8237937420726</v>
                </pt>
                <pt idx="48">
                  <v>138.5299886842633</v>
                </pt>
                <pt idx="49">
                  <v>109.8769757213503</v>
                </pt>
                <pt idx="50">
                  <v>93.77419094069538</v>
                </pt>
                <pt idx="51">
                  <v>76.25042822265543</v>
                </pt>
                <pt idx="52">
                  <v>50.54348776008261</v>
                </pt>
                <pt idx="53">
                  <v>74.88898277621806</v>
                </pt>
                <pt idx="54">
                  <v>52.09559943846345</v>
                </pt>
                <pt idx="55">
                  <v>74.18042603997819</v>
                </pt>
                <pt idx="56">
                  <v>68.11686962339694</v>
                </pt>
                <pt idx="57">
                  <v>50.53909051970285</v>
                </pt>
                <pt idx="58">
                  <v>90.68080556242518</v>
                </pt>
                <pt idx="59">
                  <v>63.45532768878803</v>
                </pt>
                <pt idx="60">
                  <v>78.57131644167831</v>
                </pt>
                <pt idx="61">
                  <v>59.47948676805509</v>
                </pt>
                <pt idx="62">
                  <v>51.26978324155493</v>
                </pt>
                <pt idx="63">
                  <v>49.38394056201121</v>
                </pt>
                <pt idx="64">
                  <v>35.89414827140887</v>
                </pt>
                <pt idx="65">
                  <v>47.03763372739765</v>
                </pt>
                <pt idx="66">
                  <v>42.52177322309952</v>
                </pt>
                <pt idx="67">
                  <v>52.17121747504909</v>
                </pt>
                <pt idx="68">
                  <v>45.64750462621701</v>
                </pt>
                <pt idx="69">
                  <v>58.44158378709199</v>
                </pt>
                <pt idx="70">
                  <v>97.58235261633192</v>
                </pt>
                <pt idx="71">
                  <v>92.07321769383398</v>
                </pt>
                <pt idx="72">
                  <v>111.1945655985155</v>
                </pt>
                <pt idx="73">
                  <v>105.4131597378828</v>
                </pt>
                <pt idx="74">
                  <v>57.84566339627056</v>
                </pt>
                <pt idx="75">
                  <v>45.84439577068735</v>
                </pt>
                <pt idx="76">
                  <v>40.06566739400938</v>
                </pt>
                <pt idx="77">
                  <v>33.4933819651966</v>
                </pt>
                <pt idx="78">
                  <v>61.32224821093979</v>
                </pt>
                <pt idx="79">
                  <v>47.75582456745756</v>
                </pt>
                <pt idx="80">
                  <v>49.42909499605724</v>
                </pt>
                <pt idx="81">
                  <v>74.26663453789526</v>
                </pt>
                <pt idx="82">
                  <v>95.56453180252134</v>
                </pt>
                <pt idx="83">
                  <v>80.95803424278026</v>
                </pt>
              </numCache>
            </numRef>
          </val>
          <smooth val="1"/>
        </ser>
        <ser>
          <idx val="1"/>
          <order val="1"/>
          <tx>
            <strRef>
              <f>'Capture Price Inputs'!$I$1</f>
              <strCache>
                <ptCount val="1"/>
                <pt idx="0">
                  <v>DK2 Capture Price (EUR/MWh) — Robustness</v>
                </pt>
              </strCache>
            </strRef>
          </tx>
          <spPr>
            <a:ln xmlns:a="http://schemas.openxmlformats.org/drawingml/2006/main">
              <a:solidFill>
                <a:srgbClr val="9DC3E6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val>
            <numRef>
              <f>'Capture Price Inputs'!$I$2:$I$85</f>
              <numCache>
                <formatCode>General</formatCode>
                <ptCount val="84"/>
                <pt idx="12">
                  <v>29.86213642213642</v>
                </pt>
                <pt idx="13">
                  <v>23.55551782972189</v>
                </pt>
                <pt idx="14">
                  <v>17.14905069226102</v>
                </pt>
                <pt idx="15">
                  <v>13.25252312836708</v>
                </pt>
                <pt idx="16">
                  <v>18.59404938271605</v>
                </pt>
                <pt idx="17">
                  <v>35.21078005032583</v>
                </pt>
                <pt idx="18">
                  <v>26.450778046867</v>
                </pt>
                <pt idx="19">
                  <v>44.11376501540486</v>
                </pt>
                <pt idx="20">
                  <v>41.85304788087056</v>
                </pt>
                <pt idx="21">
                  <v>33.60087837290333</v>
                </pt>
                <pt idx="22">
                  <v>37.749765625</v>
                </pt>
                <pt idx="23">
                  <v>44.19142857142857</v>
                </pt>
                <pt idx="24">
                  <v>57.07213441008145</v>
                </pt>
                <pt idx="25">
                  <v>52.28508365452458</v>
                </pt>
                <pt idx="26">
                  <v>47.42264301189781</v>
                </pt>
                <pt idx="27">
                  <v>45.90136374824883</v>
                </pt>
                <pt idx="28">
                  <v>50.2587202314608</v>
                </pt>
                <pt idx="29">
                  <v>69.46934165377623</v>
                </pt>
                <pt idx="30">
                  <v>77.93311155139432</v>
                </pt>
                <pt idx="31">
                  <v>84.51274769025703</v>
                </pt>
                <pt idx="32">
                  <v>118.7457227855615</v>
                </pt>
                <pt idx="33">
                  <v>122.3841235967906</v>
                </pt>
                <pt idx="34">
                  <v>153.6267942781575</v>
                </pt>
                <pt idx="35">
                  <v>244.4872785976441</v>
                </pt>
                <pt idx="36">
                  <v>129.6774902315082</v>
                </pt>
                <pt idx="37">
                  <v>108.8033389925641</v>
                </pt>
                <pt idx="38">
                  <v>186.0504424586062</v>
                </pt>
                <pt idx="39">
                  <v>143.5375888642185</v>
                </pt>
                <pt idx="40">
                  <v>146.2536023446033</v>
                </pt>
                <pt idx="41">
                  <v>192.2325905808319</v>
                </pt>
                <pt idx="42">
                  <v>212.3625858003895</v>
                </pt>
                <pt idx="43">
                  <v>397.1798848597606</v>
                </pt>
                <pt idx="44">
                  <v>315.928842796779</v>
                </pt>
                <pt idx="45">
                  <v>120.1190076327392</v>
                </pt>
                <pt idx="46">
                  <v>134.0399027878758</v>
                </pt>
                <pt idx="47">
                  <v>303.2697848166857</v>
                </pt>
                <pt idx="48">
                  <v>120.8992864784306</v>
                </pt>
                <pt idx="49">
                  <v>103.112625406295</v>
                </pt>
                <pt idx="50">
                  <v>89.0984689216417</v>
                </pt>
                <pt idx="51">
                  <v>71.1250997055942</v>
                </pt>
                <pt idx="52">
                  <v>48.35808379645633</v>
                </pt>
                <pt idx="53">
                  <v>71.8620903722224</v>
                </pt>
                <pt idx="54">
                  <v>50.34596661709235</v>
                </pt>
                <pt idx="55">
                  <v>72.95799234798741</v>
                </pt>
                <pt idx="56">
                  <v>64.3944846724649</v>
                </pt>
                <pt idx="57">
                  <v>47.66025509428685</v>
                </pt>
                <pt idx="58">
                  <v>84.63997860526599</v>
                </pt>
                <pt idx="59">
                  <v>59.06174633307972</v>
                </pt>
                <pt idx="60">
                  <v>76.42720253521921</v>
                </pt>
                <pt idx="61">
                  <v>51.43437919654775</v>
                </pt>
                <pt idx="62">
                  <v>50.75116381305344</v>
                </pt>
                <pt idx="63">
                  <v>47.053967904828</v>
                </pt>
                <pt idx="64">
                  <v>34.29579411369289</v>
                </pt>
                <pt idx="65">
                  <v>46.37938403458337</v>
                </pt>
                <pt idx="66">
                  <v>38.81282196947117</v>
                </pt>
                <pt idx="67">
                  <v>47.15186311829253</v>
                </pt>
                <pt idx="68">
                  <v>43.35594635084219</v>
                </pt>
                <pt idx="69">
                  <v>59.53493763028656</v>
                </pt>
                <pt idx="70">
                  <v>89.61127747791728</v>
                </pt>
                <pt idx="71">
                  <v>100.7961313991171</v>
                </pt>
                <pt idx="72">
                  <v>115.0822593270056</v>
                </pt>
                <pt idx="73">
                  <v>106.9231820731682</v>
                </pt>
                <pt idx="74">
                  <v>50.01806296126875</v>
                </pt>
                <pt idx="75">
                  <v>41.82584156307518</v>
                </pt>
                <pt idx="76">
                  <v>34.32066034459122</v>
                </pt>
                <pt idx="77">
                  <v>24.31568572006325</v>
                </pt>
                <pt idx="78">
                  <v>59.76694388214769</v>
                </pt>
                <pt idx="79">
                  <v>43.06460478354486</v>
                </pt>
                <pt idx="80">
                  <v>52.94940515380836</v>
                </pt>
                <pt idx="81">
                  <v>78.64573032240668</v>
                </pt>
                <pt idx="82">
                  <v>92.69045487153267</v>
                </pt>
                <pt idx="83">
                  <v>79.63122802208366</v>
                </pt>
              </numCache>
            </numRef>
          </val>
          <smooth val="1"/>
        </ser>
        <dLbls>
          <showLegendKey val="0"/>
          <showVal val="0"/>
          <showCatName val="0"/>
          <showSerName val="0"/>
          <showPercent val="0"/>
          <showBubbleSize val="0"/>
        </dLbls>
        <smooth val="0"/>
        <axId val="10"/>
        <axId val="100"/>
      </lineChart>
      <catAx>
        <axId val="10"/>
        <scaling>
          <orientation val="minMax"/>
        </scaling>
        <delete val="1"/>
        <axPos val="b"/>
        <title>
          <tx>
            <rich>
              <a:bodyPr xmlns:a="http://schemas.openxmlformats.org/drawingml/2006/main"/>
              <a:lstStyle xmlns:a="http://schemas.openxmlformats.org/drawingml/2006/main"/>
              <a:p xmlns:a="http://schemas.openxmlformats.org/drawingml/2006/main">
                <a:pPr>
                  <a:defRPr/>
                </a:pPr>
                <a:r>
                  <a:rPr lang="en-GB"/>
                  <a:t>Month</a:t>
                </a:r>
              </a:p>
            </rich>
          </tx>
          <overlay val="1"/>
        </title>
        <majorTickMark val="none"/>
        <minorTickMark val="none"/>
        <tickLblPos val="nextTo"/>
        <crossAx val="100"/>
        <crosses val="autoZero"/>
        <auto val="1"/>
        <lblAlgn val="ctr"/>
        <lblOffset val="100"/>
        <noMultiLvlLbl val="1"/>
      </catAx>
      <valAx>
        <axId val="100"/>
        <scaling>
          <orientation val="minMax"/>
        </scaling>
        <delete val="1"/>
        <axPos val="l"/>
        <majorGridlines/>
        <title>
          <tx>
            <rich>
              <a:bodyPr xmlns:a="http://schemas.openxmlformats.org/drawingml/2006/main"/>
              <a:lstStyle xmlns:a="http://schemas.openxmlformats.org/drawingml/2006/main"/>
              <a:p xmlns:a="http://schemas.openxmlformats.org/drawingml/2006/main">
                <a:pPr>
                  <a:defRPr/>
                </a:pPr>
                <a:r>
                  <a:rPr lang="en-GB"/>
                  <a:t>EUR/MWh</a:t>
                </a:r>
              </a:p>
            </rich>
          </tx>
          <overlay val="1"/>
        </title>
        <numFmt formatCode="General" sourceLinked="1"/>
        <majorTickMark val="none"/>
        <minorTickMark val="none"/>
        <tickLblPos val="nextTo"/>
        <crossAx val="10"/>
        <crosses val="autoZero"/>
        <crossBetween val="between"/>
      </valAx>
    </plotArea>
    <legend>
      <legendPos val="r"/>
      <overlay val="1"/>
    </legend>
    <plotVisOnly val="1"/>
    <dispBlanksAs val="gap"/>
  </chart>
</chartSpace>
</file>

<file path=xl/charts/chart89.xml><?xml version="1.0" encoding="utf-8"?>
<chartSpace xmlns="http://schemas.openxmlformats.org/drawingml/2006/chart">
  <chart>
    <title>
      <tx>
        <rich>
          <a:bodyPr xmlns:a="http://schemas.openxmlformats.org/drawingml/2006/main"/>
          <a:lstStyle xmlns:a="http://schemas.openxmlformats.org/drawingml/2006/main"/>
          <a:p xmlns:a="http://schemas.openxmlformats.org/drawingml/2006/main">
            <a:pPr>
              <a:defRPr/>
            </a:pPr>
            <a:r>
              <a:rPr lang="en-GB"/>
              <a:t>Capture Price Ratio - DK1 Primary | DK2 Robustness</a:t>
            </a:r>
          </a:p>
        </rich>
      </tx>
      <overlay val="1"/>
    </title>
    <plotArea>
      <layout/>
      <lineChart>
        <grouping val="standard"/>
        <varyColors val="1"/>
        <ser>
          <idx val="0"/>
          <order val="0"/>
          <tx>
            <strRef>
              <f>'Capture Price Inputs'!$J$1</f>
              <strCache>
                <ptCount val="1"/>
                <pt idx="0">
                  <v>DK1 CPR — Primary</v>
                </pt>
              </strCache>
            </strRef>
          </tx>
          <spPr>
            <a:ln xmlns:a="http://schemas.openxmlformats.org/drawingml/2006/main">
              <a:solidFill>
                <a:srgbClr val="2E75B6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val>
            <numRef>
              <f>'Capture Price Inputs'!$J$2:$J$85</f>
              <numCache>
                <formatCode>General</formatCode>
                <ptCount val="84"/>
                <pt idx="12">
                  <v>1.009148659447442</v>
                </pt>
                <pt idx="13">
                  <v>1.298591168695051</v>
                </pt>
                <pt idx="14">
                  <v>0.8710146939215303</v>
                </pt>
                <pt idx="15">
                  <v>0.7131577255881921</v>
                </pt>
                <pt idx="16">
                  <v>0.9641557693120565</v>
                </pt>
                <pt idx="17">
                  <v>1.039466413731094</v>
                </pt>
                <pt idx="18">
                  <v>1.008618155660831</v>
                </pt>
                <pt idx="19">
                  <v>0.9808226440750074</v>
                </pt>
                <pt idx="20">
                  <v>1.010404486913005</v>
                </pt>
                <pt idx="21">
                  <v>1.236802226812374</v>
                </pt>
                <pt idx="22">
                  <v>1.094777917215692</v>
                </pt>
                <pt idx="23">
                  <v>1.008230164182662</v>
                </pt>
                <pt idx="24">
                  <v>1.103930861568265</v>
                </pt>
                <pt idx="25">
                  <v>1.005947927705425</v>
                </pt>
                <pt idx="26">
                  <v>0.9871758725122356</v>
                </pt>
                <pt idx="27">
                  <v>0.9088464745665017</v>
                </pt>
                <pt idx="28">
                  <v>0.8775180518715436</v>
                </pt>
                <pt idx="29">
                  <v>0.9569142795347317</v>
                </pt>
                <pt idx="30">
                  <v>0.9821132371596978</v>
                </pt>
                <pt idx="31">
                  <v>0.9902714780245057</v>
                </pt>
                <pt idx="32">
                  <v>0.9269044048361358</v>
                </pt>
                <pt idx="33">
                  <v>1.081088507413439</v>
                </pt>
                <pt idx="34">
                  <v>1.133803408504466</v>
                </pt>
                <pt idx="35">
                  <v>1.208676962454928</v>
                </pt>
                <pt idx="36">
                  <v>1.044125730427727</v>
                </pt>
                <pt idx="37">
                  <v>1.04022281700981</v>
                </pt>
                <pt idx="38">
                  <v>0.8120775904420741</v>
                </pt>
                <pt idx="39">
                  <v>0.8903913338467833</v>
                </pt>
                <pt idx="40">
                  <v>0.8694301605049858</v>
                </pt>
                <pt idx="41">
                  <v>0.9080390201234191</v>
                </pt>
                <pt idx="42">
                  <v>0.8704179159294955</v>
                </pt>
                <pt idx="43">
                  <v>0.9190855304670003</v>
                </pt>
                <pt idx="44">
                  <v>0.9063290180568312</v>
                </pt>
                <pt idx="45">
                  <v>0.9161232525396177</v>
                </pt>
                <pt idx="46">
                  <v>0.9427861207466001</v>
                </pt>
                <pt idx="47">
                  <v>1.132810339248927</v>
                </pt>
                <pt idx="48">
                  <v>1.230919869122654</v>
                </pt>
                <pt idx="49">
                  <v>0.93008781340266</v>
                </pt>
                <pt idx="50">
                  <v>0.9461253975959896</v>
                </pt>
                <pt idx="51">
                  <v>0.7920396612038634</v>
                </pt>
                <pt idx="52">
                  <v>0.6833361056151995</v>
                </pt>
                <pt idx="53">
                  <v>0.8096506208621567</v>
                </pt>
                <pt idx="54">
                  <v>0.8038042195326093</v>
                </pt>
                <pt idx="55">
                  <v>0.8628930977720407</v>
                </pt>
                <pt idx="56">
                  <v>0.8038389922187259</v>
                </pt>
                <pt idx="57">
                  <v>0.8408360556054226</v>
                </pt>
                <pt idx="58">
                  <v>1.028656893611996</v>
                </pt>
                <pt idx="59">
                  <v>0.9132560776287663</v>
                </pt>
                <pt idx="60">
                  <v>1.051614630458469</v>
                </pt>
                <pt idx="61">
                  <v>1.014420829179444</v>
                </pt>
                <pt idx="62">
                  <v>0.8373818542217274</v>
                </pt>
                <pt idx="63">
                  <v>0.8346846016164379</v>
                </pt>
                <pt idx="64">
                  <v>0.6133984536650869</v>
                </pt>
                <pt idx="65">
                  <v>0.7378100322386865</v>
                </pt>
                <pt idx="66">
                  <v>0.685499494870618</v>
                </pt>
                <pt idx="67">
                  <v>0.7151267621934952</v>
                </pt>
                <pt idx="68">
                  <v>0.636525223039573</v>
                </pt>
                <pt idx="69">
                  <v>0.7617518807592967</v>
                </pt>
                <pt idx="70">
                  <v>1.017494003861172</v>
                </pt>
                <pt idx="71">
                  <v>1.002567416041121</v>
                </pt>
                <pt idx="72">
                  <v>1.135032584901597</v>
                </pt>
                <pt idx="73">
                  <v>0.9341166514187298</v>
                </pt>
                <pt idx="74">
                  <v>0.6857908168802248</v>
                </pt>
                <pt idx="75">
                  <v>0.609953535618325</v>
                </pt>
                <pt idx="76">
                  <v>0.6237511742318941</v>
                </pt>
                <pt idx="77">
                  <v>0.569764321286333</v>
                </pt>
                <pt idx="78">
                  <v>0.7405896710838001</v>
                </pt>
                <pt idx="79">
                  <v>0.6499711234459455</v>
                </pt>
                <pt idx="80">
                  <v>0.6827347489865859</v>
                </pt>
                <pt idx="81">
                  <v>0.9470151719348058</v>
                </pt>
                <pt idx="82">
                  <v>1.028976430956097</v>
                </pt>
                <pt idx="83">
                  <v>0.9820538861792604</v>
                </pt>
              </numCache>
            </numRef>
          </val>
          <smooth val="1"/>
        </ser>
        <ser>
          <idx val="1"/>
          <order val="1"/>
          <tx>
            <strRef>
              <f>'Capture Price Inputs'!$K$1</f>
              <strCache>
                <ptCount val="1"/>
                <pt idx="0">
                  <v>DK2 CPR — Robustness</v>
                </pt>
              </strCache>
            </strRef>
          </tx>
          <spPr>
            <a:ln xmlns:a="http://schemas.openxmlformats.org/drawingml/2006/main">
              <a:solidFill>
                <a:srgbClr val="9DC3E6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val>
            <numRef>
              <f>'Capture Price Inputs'!$K$2:$K$85</f>
              <numCache>
                <formatCode>General</formatCode>
                <ptCount val="84"/>
                <pt idx="12">
                  <v>1.090446324793763</v>
                </pt>
                <pt idx="13">
                  <v>1.251821301318464</v>
                </pt>
                <pt idx="14">
                  <v>0.8552077585127711</v>
                </pt>
                <pt idx="15">
                  <v>0.763620235478716</v>
                </pt>
                <pt idx="16">
                  <v>0.9763693823354528</v>
                </pt>
                <pt idx="17">
                  <v>1.180647007173951</v>
                </pt>
                <pt idx="18">
                  <v>1.021791049952987</v>
                </pt>
                <pt idx="19">
                  <v>1.077948442472481</v>
                </pt>
                <pt idx="20">
                  <v>1.059189092335807</v>
                </pt>
                <pt idx="21">
                  <v>1.247549053102559</v>
                </pt>
                <pt idx="22">
                  <v>1.057080411727209</v>
                </pt>
                <pt idx="23">
                  <v>1.125691191699302</v>
                </pt>
                <pt idx="24">
                  <v>1.122164979814525</v>
                </pt>
                <pt idx="25">
                  <v>0.9585139857498034</v>
                </pt>
                <pt idx="26">
                  <v>1.014774172650395</v>
                </pt>
                <pt idx="27">
                  <v>0.9590164366476613</v>
                </pt>
                <pt idx="28">
                  <v>0.9103388736117121</v>
                </pt>
                <pt idx="29">
                  <v>0.9440449187481634</v>
                </pt>
                <pt idx="30">
                  <v>0.9569285690465077</v>
                </pt>
                <pt idx="31">
                  <v>1.001768528067071</v>
                </pt>
                <pt idx="32">
                  <v>0.9583833699094481</v>
                </pt>
                <pt idx="33">
                  <v>1.144501265847132</v>
                </pt>
                <pt idx="34">
                  <v>1.126460857141801</v>
                </pt>
                <pt idx="35">
                  <v>1.279578427053047</v>
                </pt>
                <pt idx="36">
                  <v>1.161754652341282</v>
                </pt>
                <pt idx="37">
                  <v>1.084871924613185</v>
                </pt>
                <pt idx="38">
                  <v>0.8162958275837114</v>
                </pt>
                <pt idx="39">
                  <v>0.9391804877392103</v>
                </pt>
                <pt idx="40">
                  <v>0.8991456314331195</v>
                </pt>
                <pt idx="41">
                  <v>0.9015136745747578</v>
                </pt>
                <pt idx="42">
                  <v>0.909562444967756</v>
                </pt>
                <pt idx="43">
                  <v>0.8830756108422062</v>
                </pt>
                <pt idx="44">
                  <v>0.9608536982958826</v>
                </pt>
                <pt idx="45">
                  <v>0.8774354195736861</v>
                </pt>
                <pt idx="46">
                  <v>0.9240447439178995</v>
                </pt>
                <pt idx="47">
                  <v>1.218528056069729</v>
                </pt>
                <pt idx="48">
                  <v>1.21186632363043</v>
                </pt>
                <pt idx="49">
                  <v>1.024478122815962</v>
                </pt>
                <pt idx="50">
                  <v>0.992236312197012</v>
                </pt>
                <pt idx="51">
                  <v>0.8502587347820391</v>
                </pt>
                <pt idx="52">
                  <v>0.7310174827054021</v>
                </pt>
                <pt idx="53">
                  <v>0.7860381991736552</v>
                </pt>
                <pt idx="54">
                  <v>0.7717034871247128</v>
                </pt>
                <pt idx="55">
                  <v>0.8454610410569836</v>
                </pt>
                <pt idx="56">
                  <v>0.7532917330845335</v>
                </pt>
                <pt idx="57">
                  <v>0.837234490334641</v>
                </pt>
                <pt idx="58">
                  <v>1.038705241708771</v>
                </pt>
                <pt idx="59">
                  <v>0.8332670757562848</v>
                </pt>
                <pt idx="60">
                  <v>0.977144875107929</v>
                </pt>
                <pt idx="61">
                  <v>0.9399172603334611</v>
                </pt>
                <pt idx="62">
                  <v>0.8314293202728863</v>
                </pt>
                <pt idx="63">
                  <v>0.7780510745637418</v>
                </pt>
                <pt idx="64">
                  <v>0.5900556342707577</v>
                </pt>
                <pt idx="65">
                  <v>0.6943958569114143</v>
                </pt>
                <pt idx="66">
                  <v>0.6176283845394642</v>
                </pt>
                <pt idx="67">
                  <v>0.6493471479229646</v>
                </pt>
                <pt idx="68">
                  <v>0.6157480113547513</v>
                </pt>
                <pt idx="69">
                  <v>0.7800073506793195</v>
                </pt>
                <pt idx="70">
                  <v>0.9404779955101509</v>
                </pt>
                <pt idx="71">
                  <v>1.087006718547946</v>
                </pt>
                <pt idx="72">
                  <v>1.149400364807902</v>
                </pt>
                <pt idx="73">
                  <v>0.9066238427133391</v>
                </pt>
                <pt idx="74">
                  <v>0.603741164715803</v>
                </pt>
                <pt idx="75">
                  <v>0.5517436798810373</v>
                </pt>
                <pt idx="76">
                  <v>0.544059463307295</v>
                </pt>
                <pt idx="77">
                  <v>0.4307606652121766</v>
                </pt>
                <pt idx="78">
                  <v>0.7474634186196619</v>
                </pt>
                <pt idx="79">
                  <v>0.5717894234335987</v>
                </pt>
                <pt idx="80">
                  <v>0.635731600833678</v>
                </pt>
                <pt idx="81">
                  <v>0.9548084008156305</v>
                </pt>
                <pt idx="82">
                  <v>0.9892725129496999</v>
                </pt>
                <pt idx="83">
                  <v>0.9701479625359415</v>
                </pt>
              </numCache>
            </numRef>
          </val>
          <smooth val="1"/>
        </ser>
        <dLbls>
          <showLegendKey val="0"/>
          <showVal val="0"/>
          <showCatName val="0"/>
          <showSerName val="0"/>
          <showPercent val="0"/>
          <showBubbleSize val="0"/>
        </dLbls>
        <smooth val="0"/>
        <axId val="10"/>
        <axId val="100"/>
      </lineChart>
      <catAx>
        <axId val="10"/>
        <scaling>
          <orientation val="minMax"/>
        </scaling>
        <delete val="1"/>
        <axPos val="b"/>
        <title>
          <tx>
            <rich>
              <a:bodyPr xmlns:a="http://schemas.openxmlformats.org/drawingml/2006/main"/>
              <a:lstStyle xmlns:a="http://schemas.openxmlformats.org/drawingml/2006/main"/>
              <a:p xmlns:a="http://schemas.openxmlformats.org/drawingml/2006/main">
                <a:pPr>
                  <a:defRPr/>
                </a:pPr>
                <a:r>
                  <a:rPr lang="en-GB"/>
                  <a:t>Month</a:t>
                </a:r>
              </a:p>
            </rich>
          </tx>
          <overlay val="1"/>
        </title>
        <majorTickMark val="none"/>
        <minorTickMark val="none"/>
        <tickLblPos val="nextTo"/>
        <crossAx val="100"/>
        <crosses val="autoZero"/>
        <auto val="1"/>
        <lblAlgn val="ctr"/>
        <lblOffset val="100"/>
        <noMultiLvlLbl val="1"/>
      </catAx>
      <valAx>
        <axId val="100"/>
        <scaling>
          <orientation val="minMax"/>
        </scaling>
        <delete val="1"/>
        <axPos val="l"/>
        <majorGridlines/>
        <title>
          <tx>
            <rich>
              <a:bodyPr xmlns:a="http://schemas.openxmlformats.org/drawingml/2006/main"/>
              <a:lstStyle xmlns:a="http://schemas.openxmlformats.org/drawingml/2006/main"/>
              <a:p xmlns:a="http://schemas.openxmlformats.org/drawingml/2006/main">
                <a:pPr>
                  <a:defRPr/>
                </a:pPr>
                <a:r>
                  <a:rPr lang="en-GB"/>
                  <a:t>CPR</a:t>
                </a:r>
              </a:p>
            </rich>
          </tx>
          <overlay val="1"/>
        </title>
        <numFmt formatCode="General" sourceLinked="1"/>
        <majorTickMark val="none"/>
        <minorTickMark val="none"/>
        <tickLblPos val="nextTo"/>
        <crossAx val="10"/>
        <crosses val="autoZero"/>
        <crossBetween val="between"/>
      </valAx>
    </plotArea>
    <legend>
      <legendPos val="r"/>
      <overlay val="1"/>
    </legend>
    <plotVisOnly val="1"/>
    <dispBlanksAs val="gap"/>
  </chart>
</chartSpace>
</file>

<file path=xl/charts/chart90.xml><?xml version="1.0" encoding="utf-8"?>
<chartSpace xmlns="http://schemas.openxmlformats.org/drawingml/2006/chart">
  <chart>
    <title>
      <tx>
        <rich>
          <a:bodyPr xmlns:a="http://schemas.openxmlformats.org/drawingml/2006/main"/>
          <a:lstStyle xmlns:a="http://schemas.openxmlformats.org/drawingml/2006/main"/>
          <a:p xmlns:a="http://schemas.openxmlformats.org/drawingml/2006/main">
            <a:pPr>
              <a:defRPr/>
            </a:pPr>
            <a:r>
              <a:rPr lang="en-GB"/>
              <a:t>Solar Penetration - DK1 Primary | DK2 Robustness</a:t>
            </a:r>
          </a:p>
        </rich>
      </tx>
      <overlay val="1"/>
    </title>
    <plotArea>
      <layout/>
      <lineChart>
        <grouping val="standard"/>
        <varyColors val="1"/>
        <ser>
          <idx val="0"/>
          <order val="0"/>
          <tx>
            <strRef>
              <f>'Capture Price Inputs'!$F$1</f>
              <strCache>
                <ptCount val="1"/>
                <pt idx="0">
                  <v>DK1 Solar Penetration (%) — Primary</v>
                </pt>
              </strCache>
            </strRef>
          </tx>
          <spPr>
            <a:ln xmlns:a="http://schemas.openxmlformats.org/drawingml/2006/main">
              <a:solidFill>
                <a:srgbClr val="FF8C00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val>
            <numRef>
              <f>'Capture Price Inputs'!$F$2:$F$85</f>
              <numCache>
                <formatCode>General</formatCode>
                <ptCount val="84"/>
                <pt idx="0">
                  <v>0</v>
                </pt>
                <pt idx="1">
                  <v>0</v>
                </pt>
                <pt idx="2">
                  <v>0</v>
                </pt>
                <pt idx="3">
                  <v>0</v>
                </pt>
                <pt idx="4">
                  <v>0</v>
                </pt>
                <pt idx="5">
                  <v>0</v>
                </pt>
                <pt idx="6">
                  <v>0</v>
                </pt>
                <pt idx="7">
                  <v>0</v>
                </pt>
                <pt idx="8">
                  <v>0</v>
                </pt>
                <pt idx="9">
                  <v>0</v>
                </pt>
                <pt idx="10">
                  <v>0</v>
                </pt>
                <pt idx="11">
                  <v>0</v>
                </pt>
                <pt idx="12">
                  <v>0.002264447892629483</v>
                </pt>
                <pt idx="13">
                  <v>0.005247452024482245</v>
                </pt>
                <pt idx="14">
                  <v>0.02020167759412729</v>
                </pt>
                <pt idx="15">
                  <v>0.0324279896123047</v>
                </pt>
                <pt idx="16">
                  <v>0.03608008723790357</v>
                </pt>
                <pt idx="17">
                  <v>0.03741361883164089</v>
                </pt>
                <pt idx="18">
                  <v>0.03399843385950392</v>
                </pt>
                <pt idx="19">
                  <v>0.03422476314253766</v>
                </pt>
                <pt idx="20">
                  <v>0.02433015193915724</v>
                </pt>
                <pt idx="21">
                  <v>0.01149038754944678</v>
                </pt>
                <pt idx="22">
                  <v>0.0001521101274151999</v>
                </pt>
                <pt idx="23">
                  <v>1.472410662127807e-05</v>
                </pt>
                <pt idx="24">
                  <v>0.003631355999035091</v>
                </pt>
                <pt idx="25">
                  <v>0.0108689417180573</v>
                </pt>
                <pt idx="26">
                  <v>0.02238230390737163</v>
                </pt>
                <pt idx="27">
                  <v>0.04212837115783985</v>
                </pt>
                <pt idx="28">
                  <v>0.03307505221196035</v>
                </pt>
                <pt idx="29">
                  <v>0.04984166182181952</v>
                </pt>
                <pt idx="30">
                  <v>0.0485715434854639</v>
                </pt>
                <pt idx="31">
                  <v>0.0388769479447087</v>
                </pt>
                <pt idx="32">
                  <v>0.02593285017943629</v>
                </pt>
                <pt idx="33">
                  <v>0.01746009643148906</v>
                </pt>
                <pt idx="34">
                  <v>0.007029306005813504</v>
                </pt>
                <pt idx="35">
                  <v>0.003243365391886713</v>
                </pt>
                <pt idx="36">
                  <v>0.006675315547248087</v>
                </pt>
                <pt idx="37">
                  <v>0.0173995712330029</v>
                </pt>
                <pt idx="38">
                  <v>0.06195507058644287</v>
                </pt>
                <pt idx="39">
                  <v>0.08404056603836467</v>
                </pt>
                <pt idx="40">
                  <v>0.09687689142031611</v>
                </pt>
                <pt idx="41">
                  <v>0.09496202074431148</v>
                </pt>
                <pt idx="42">
                  <v>0.09963556652585577</v>
                </pt>
                <pt idx="43">
                  <v>0.08962697832526678</v>
                </pt>
                <pt idx="44">
                  <v>0.06604649859170474</v>
                </pt>
                <pt idx="45">
                  <v>0.03746941447765471</v>
                </pt>
                <pt idx="46">
                  <v>0.01046932675470221</v>
                </pt>
                <pt idx="47">
                  <v>0.006229164645196865</v>
                </pt>
                <pt idx="48">
                  <v>0.01246069427686292</v>
                </pt>
                <pt idx="49">
                  <v>0.03437640419176364</v>
                </pt>
                <pt idx="50">
                  <v>0.05647796857705859</v>
                </pt>
                <pt idx="51">
                  <v>0.1509467292684683</v>
                </pt>
                <pt idx="52">
                  <v>0.18600333743842</v>
                </pt>
                <pt idx="53">
                  <v>0.218925737129461</v>
                </pt>
                <pt idx="54">
                  <v>0.1892952405634502</v>
                </pt>
                <pt idx="55">
                  <v>0.1493297980639493</v>
                </pt>
                <pt idx="56">
                  <v>0.1319165438654872</v>
                </pt>
                <pt idx="57">
                  <v>0.0428648864567301</v>
                </pt>
                <pt idx="58">
                  <v>0.01600349353715238</v>
                </pt>
                <pt idx="59">
                  <v>0.006390504672696534</v>
                </pt>
                <pt idx="60">
                  <v>0.01341718605060752</v>
                </pt>
                <pt idx="61">
                  <v>0.0264362238379265</v>
                </pt>
                <pt idx="62">
                  <v>0.06623397340035048</v>
                </pt>
                <pt idx="63">
                  <v>0.1084169878649764</v>
                </pt>
                <pt idx="64">
                  <v>0.1888703164988005</v>
                </pt>
                <pt idx="65">
                  <v>0.1715230569234828</v>
                </pt>
                <pt idx="66">
                  <v>0.1809062055635286</v>
                </pt>
                <pt idx="67">
                  <v>0.155121531117258</v>
                </pt>
                <pt idx="68">
                  <v>0.1275567235314205</v>
                </pt>
                <pt idx="69">
                  <v>0.06287376784741511</v>
                </pt>
                <pt idx="70">
                  <v>0.01780902737610289</v>
                </pt>
                <pt idx="71">
                  <v>0.006785797568345668</v>
                </pt>
                <pt idx="72">
                  <v>0.01366055484422285</v>
                </pt>
                <pt idx="73">
                  <v>0.04341993481717769</v>
                </pt>
                <pt idx="74">
                  <v>0.1120694547038418</v>
                </pt>
                <pt idx="75">
                  <v>0.1482754875605271</v>
                </pt>
                <pt idx="76">
                  <v>0.1924446817596716</v>
                </pt>
                <pt idx="77">
                  <v>0.1878482923852328</v>
                </pt>
                <pt idx="78">
                  <v>0.2182818884824121</v>
                </pt>
                <pt idx="79">
                  <v>0.1901168401280812</v>
                </pt>
                <pt idx="80">
                  <v>0.1381615272451792</v>
                </pt>
                <pt idx="81">
                  <v>0.06946207120205163</v>
                </pt>
                <pt idx="82">
                  <v>0.02660497040214753</v>
                </pt>
                <pt idx="83">
                  <v>0.0140253486520015</v>
                </pt>
              </numCache>
            </numRef>
          </val>
          <smooth val="1"/>
        </ser>
        <ser>
          <idx val="1"/>
          <order val="1"/>
          <tx>
            <strRef>
              <f>'Capture Price Inputs'!$G$1</f>
              <strCache>
                <ptCount val="1"/>
                <pt idx="0">
                  <v>DK2 Solar Penetration (%) — Robustness</v>
                </pt>
              </strCache>
            </strRef>
          </tx>
          <spPr>
            <a:ln xmlns:a="http://schemas.openxmlformats.org/drawingml/2006/main">
              <a:solidFill>
                <a:srgbClr val="FFD700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val>
            <numRef>
              <f>'Capture Price Inputs'!$G$2:$G$85</f>
              <numCache>
                <formatCode>General</formatCode>
                <ptCount val="84"/>
                <pt idx="0">
                  <v>0</v>
                </pt>
                <pt idx="1">
                  <v>0</v>
                </pt>
                <pt idx="2">
                  <v>0</v>
                </pt>
                <pt idx="3">
                  <v>0</v>
                </pt>
                <pt idx="4">
                  <v>0</v>
                </pt>
                <pt idx="5">
                  <v>0</v>
                </pt>
                <pt idx="6">
                  <v>0</v>
                </pt>
                <pt idx="7">
                  <v>0</v>
                </pt>
                <pt idx="8">
                  <v>0</v>
                </pt>
                <pt idx="9">
                  <v>0</v>
                </pt>
                <pt idx="10">
                  <v>0</v>
                </pt>
                <pt idx="11">
                  <v>0</v>
                </pt>
                <pt idx="12">
                  <v>0.001864323044087839</v>
                </pt>
                <pt idx="13">
                  <v>0.004961339344807235</v>
                </pt>
                <pt idx="14">
                  <v>0.01532033335337761</v>
                </pt>
                <pt idx="15">
                  <v>0.02618059513454593</v>
                </pt>
                <pt idx="16">
                  <v>0.03224093077416624</v>
                </pt>
                <pt idx="17">
                  <v>0.03065181208815584</v>
                </pt>
                <pt idx="18">
                  <v>0.02998206800974695</v>
                </pt>
                <pt idx="19">
                  <v>0.02803471341430708</v>
                </pt>
                <pt idx="20">
                  <v>0.02173647910159525</v>
                </pt>
                <pt idx="21">
                  <v>0.01107911770574695</v>
                </pt>
                <pt idx="22">
                  <v>0.0001104461157833284</v>
                </pt>
                <pt idx="23">
                  <v>5.635243358406259e-06</v>
                </pt>
                <pt idx="24">
                  <v>0.003104474131982996</v>
                </pt>
                <pt idx="25">
                  <v>0.009248336948772359</v>
                </pt>
                <pt idx="26">
                  <v>0.01847451704521283</v>
                </pt>
                <pt idx="27">
                  <v>0.03269440748331279</v>
                </pt>
                <pt idx="28">
                  <v>0.03294582929454019</v>
                </pt>
                <pt idx="29">
                  <v>0.04448013314005607</v>
                </pt>
                <pt idx="30">
                  <v>0.03704954253730217</v>
                </pt>
                <pt idx="31">
                  <v>0.03185776883426199</v>
                </pt>
                <pt idx="32">
                  <v>0.0223981137027396</v>
                </pt>
                <pt idx="33">
                  <v>0.01267326343754744</v>
                </pt>
                <pt idx="34">
                  <v>0.004013281085791027</v>
                </pt>
                <pt idx="35">
                  <v>0.001822629583826099</v>
                </pt>
                <pt idx="36">
                  <v>0.004939556742877535</v>
                </pt>
                <pt idx="37">
                  <v>0.01324848558669828</v>
                </pt>
                <pt idx="38">
                  <v>0.03408933034912105</v>
                </pt>
                <pt idx="39">
                  <v>0.05525443609957865</v>
                </pt>
                <pt idx="40">
                  <v>0.06581145996085939</v>
                </pt>
                <pt idx="41">
                  <v>0.06452822904586782</v>
                </pt>
                <pt idx="42">
                  <v>0.06702580380195292</v>
                </pt>
                <pt idx="43">
                  <v>0.06129992439719582</v>
                </pt>
                <pt idx="44">
                  <v>0.04578427610350702</v>
                </pt>
                <pt idx="45">
                  <v>0.0298090580270354</v>
                </pt>
                <pt idx="46">
                  <v>0.007865295261900549</v>
                </pt>
                <pt idx="47">
                  <v>0.004532355552973548</v>
                </pt>
                <pt idx="48">
                  <v>0.005862652723136608</v>
                </pt>
                <pt idx="49">
                  <v>0.01887764841837355</v>
                </pt>
                <pt idx="50">
                  <v>0.03709622939200571</v>
                </pt>
                <pt idx="51">
                  <v>0.08026996603382495</v>
                </pt>
                <pt idx="52">
                  <v>0.1080032082802261</v>
                </pt>
                <pt idx="53">
                  <v>0.1144244665352921</v>
                </pt>
                <pt idx="54">
                  <v>0.1020307450715976</v>
                </pt>
                <pt idx="55">
                  <v>0.07793101053296771</v>
                </pt>
                <pt idx="56">
                  <v>0.08090995463931874</v>
                </pt>
                <pt idx="57">
                  <v>0.02917234021559438</v>
                </pt>
                <pt idx="58">
                  <v>0.0104098691216888</v>
                </pt>
                <pt idx="59">
                  <v>0.003809030164374855</v>
                </pt>
                <pt idx="60">
                  <v>0.006178183072975508</v>
                </pt>
                <pt idx="61">
                  <v>0.01667231366864759</v>
                </pt>
                <pt idx="62">
                  <v>0.04111280636733766</v>
                </pt>
                <pt idx="63">
                  <v>0.06512337874480645</v>
                </pt>
                <pt idx="64">
                  <v>0.106315341440858</v>
                </pt>
                <pt idx="65">
                  <v>0.1072729076610999</v>
                </pt>
                <pt idx="66">
                  <v>0.1057942634887733</v>
                </pt>
                <pt idx="67">
                  <v>0.0936908322687052</v>
                </pt>
                <pt idx="68">
                  <v>0.07246320282040017</v>
                </pt>
                <pt idx="69">
                  <v>0.03614525389237988</v>
                </pt>
                <pt idx="70">
                  <v>0.008602841405423608</v>
                </pt>
                <pt idx="71">
                  <v>0.004171468465776758</v>
                </pt>
                <pt idx="72">
                  <v>0.007223240212576967</v>
                </pt>
                <pt idx="73">
                  <v>0.02010831138567791</v>
                </pt>
                <pt idx="74">
                  <v>0.04654786644745259</v>
                </pt>
                <pt idx="75">
                  <v>0.07168978364906199</v>
                </pt>
                <pt idx="76">
                  <v>0.09471412725623395</v>
                </pt>
                <pt idx="77">
                  <v>0.09982625001551076</v>
                </pt>
                <pt idx="78">
                  <v>0.09399641941869914</v>
                </pt>
                <pt idx="79">
                  <v>0.1057378118957395</v>
                </pt>
                <pt idx="80">
                  <v>0.09062887968652376</v>
                </pt>
                <pt idx="81">
                  <v>0.03957312567862663</v>
                </pt>
                <pt idx="82">
                  <v>0.01454364344794783</v>
                </pt>
                <pt idx="83">
                  <v>0.00906949116088333</v>
                </pt>
              </numCache>
            </numRef>
          </val>
          <smooth val="1"/>
        </ser>
        <dLbls>
          <showLegendKey val="0"/>
          <showVal val="0"/>
          <showCatName val="0"/>
          <showSerName val="0"/>
          <showPercent val="0"/>
          <showBubbleSize val="0"/>
        </dLbls>
        <smooth val="0"/>
        <axId val="10"/>
        <axId val="100"/>
      </lineChart>
      <catAx>
        <axId val="10"/>
        <scaling>
          <orientation val="minMax"/>
        </scaling>
        <delete val="1"/>
        <axPos val="b"/>
        <title>
          <tx>
            <rich>
              <a:bodyPr xmlns:a="http://schemas.openxmlformats.org/drawingml/2006/main"/>
              <a:lstStyle xmlns:a="http://schemas.openxmlformats.org/drawingml/2006/main"/>
              <a:p xmlns:a="http://schemas.openxmlformats.org/drawingml/2006/main">
                <a:pPr>
                  <a:defRPr/>
                </a:pPr>
                <a:r>
                  <a:rPr lang="en-GB"/>
                  <a:t>Month</a:t>
                </a:r>
              </a:p>
            </rich>
          </tx>
          <overlay val="1"/>
        </title>
        <majorTickMark val="none"/>
        <minorTickMark val="none"/>
        <tickLblPos val="nextTo"/>
        <crossAx val="100"/>
        <crosses val="autoZero"/>
        <auto val="1"/>
        <lblAlgn val="ctr"/>
        <lblOffset val="100"/>
        <noMultiLvlLbl val="1"/>
      </catAx>
      <valAx>
        <axId val="100"/>
        <scaling>
          <orientation val="minMax"/>
        </scaling>
        <delete val="1"/>
        <axPos val="l"/>
        <majorGridlines/>
        <title>
          <tx>
            <rich>
              <a:bodyPr xmlns:a="http://schemas.openxmlformats.org/drawingml/2006/main"/>
              <a:lstStyle xmlns:a="http://schemas.openxmlformats.org/drawingml/2006/main"/>
              <a:p xmlns:a="http://schemas.openxmlformats.org/drawingml/2006/main">
                <a:pPr>
                  <a:defRPr/>
                </a:pPr>
                <a:r>
                  <a:rPr lang="en-GB"/>
                  <a:t>Solar Penetration (%)</a:t>
                </a:r>
              </a:p>
            </rich>
          </tx>
          <overlay val="1"/>
        </title>
        <numFmt formatCode="General" sourceLinked="1"/>
        <majorTickMark val="none"/>
        <minorTickMark val="none"/>
        <tickLblPos val="nextTo"/>
        <crossAx val="10"/>
        <crosses val="autoZero"/>
        <crossBetween val="between"/>
      </valAx>
    </plotArea>
    <legend>
      <legendPos val="r"/>
      <overlay val="1"/>
    </legend>
    <plotVisOnly val="1"/>
    <dispBlanksAs val="gap"/>
  </chart>
</chartSpace>
</file>

<file path=xl/charts/chart91.xml><?xml version="1.0" encoding="utf-8"?>
<chartSpace xmlns="http://schemas.openxmlformats.org/drawingml/2006/chart">
  <chart>
    <title>
      <tx>
        <rich>
          <a:bodyPr xmlns:a="http://schemas.openxmlformats.org/drawingml/2006/main"/>
          <a:lstStyle xmlns:a="http://schemas.openxmlformats.org/drawingml/2006/main"/>
          <a:p xmlns:a="http://schemas.openxmlformats.org/drawingml/2006/main">
            <a:pPr>
              <a:defRPr/>
            </a:pPr>
            <a:r>
              <a:rPr lang="en-GB"/>
              <a:t>Capture Price - DK1 Primary | DK2 Robustness</a:t>
            </a:r>
          </a:p>
        </rich>
      </tx>
      <overlay val="1"/>
    </title>
    <plotArea>
      <layout/>
      <lineChart>
        <grouping val="standard"/>
        <varyColors val="1"/>
        <ser>
          <idx val="0"/>
          <order val="0"/>
          <tx>
            <strRef>
              <f>'Capture Price Inputs'!$H$1</f>
              <strCache>
                <ptCount val="1"/>
                <pt idx="0">
                  <v>DK1 Capture Price (EUR/MWh) — Primary</v>
                </pt>
              </strCache>
            </strRef>
          </tx>
          <spPr>
            <a:ln xmlns:a="http://schemas.openxmlformats.org/drawingml/2006/main">
              <a:solidFill>
                <a:srgbClr val="2E75B6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val>
            <numRef>
              <f>'Capture Price Inputs'!$H$2:$H$85</f>
              <numCache>
                <formatCode>General</formatCode>
                <ptCount val="84"/>
                <pt idx="12">
                  <v>25.22320957280251</v>
                </pt>
                <pt idx="13">
                  <v>22.83581899109792</v>
                </pt>
                <pt idx="14">
                  <v>15.94107348554973</v>
                </pt>
                <pt idx="15">
                  <v>10.36487590420421</v>
                </pt>
                <pt idx="16">
                  <v>15.478548945086</v>
                </pt>
                <pt idx="17">
                  <v>27.31330822786869</v>
                </pt>
                <pt idx="18">
                  <v>24.83174517810916</v>
                </pt>
                <pt idx="19">
                  <v>33.87691542204785</v>
                </pt>
                <pt idx="20">
                  <v>38.93597900337959</v>
                </pt>
                <pt idx="21">
                  <v>31.92774153305919</v>
                </pt>
                <pt idx="22">
                  <v>26.00599326599326</v>
                </pt>
                <pt idx="23">
                  <v>34.79516129032258</v>
                </pt>
                <pt idx="24">
                  <v>55.42296760727792</v>
                </pt>
                <pt idx="25">
                  <v>47.54261097914259</v>
                </pt>
                <pt idx="26">
                  <v>44.55070091580549</v>
                </pt>
                <pt idx="27">
                  <v>43.594739828473</v>
                </pt>
                <pt idx="28">
                  <v>47.65587057500122</v>
                </pt>
                <pt idx="29">
                  <v>70.54354791111106</v>
                </pt>
                <pt idx="30">
                  <v>78.56831974775861</v>
                </pt>
                <pt idx="31">
                  <v>81.98335113640179</v>
                </pt>
                <pt idx="32">
                  <v>116.2002249554484</v>
                </pt>
                <pt idx="33">
                  <v>126.5303952032395</v>
                </pt>
                <pt idx="34">
                  <v>160.7705833010295</v>
                </pt>
                <pt idx="35">
                  <v>228.8621705579358</v>
                </pt>
                <pt idx="36">
                  <v>123.2012506791719</v>
                </pt>
                <pt idx="37">
                  <v>117.67077903546</v>
                </pt>
                <pt idx="38">
                  <v>191.508071735067</v>
                </pt>
                <pt idx="39">
                  <v>145.7013871592604</v>
                </pt>
                <pt idx="40">
                  <v>149.4185612445558</v>
                </pt>
                <pt idx="41">
                  <v>194.7110340948198</v>
                </pt>
                <pt idx="42">
                  <v>239.3981525107354</v>
                </pt>
                <pt idx="43">
                  <v>419.792637226606</v>
                </pt>
                <pt idx="44">
                  <v>310.7073992726671</v>
                </pt>
                <pt idx="45">
                  <v>125.6295598680838</v>
                </pt>
                <pt idx="46">
                  <v>131.7111886265582</v>
                </pt>
                <pt idx="47">
                  <v>282.8237937420726</v>
                </pt>
                <pt idx="48">
                  <v>138.5299886842633</v>
                </pt>
                <pt idx="49">
                  <v>109.8769757213503</v>
                </pt>
                <pt idx="50">
                  <v>93.77419094069538</v>
                </pt>
                <pt idx="51">
                  <v>76.25042822265543</v>
                </pt>
                <pt idx="52">
                  <v>50.54348776008261</v>
                </pt>
                <pt idx="53">
                  <v>74.88898277621806</v>
                </pt>
                <pt idx="54">
                  <v>52.09559943846345</v>
                </pt>
                <pt idx="55">
                  <v>74.18042603997819</v>
                </pt>
                <pt idx="56">
                  <v>68.11686962339694</v>
                </pt>
                <pt idx="57">
                  <v>50.53909051970285</v>
                </pt>
                <pt idx="58">
                  <v>90.68080556242518</v>
                </pt>
                <pt idx="59">
                  <v>63.45532768878803</v>
                </pt>
                <pt idx="60">
                  <v>78.57131644167831</v>
                </pt>
                <pt idx="61">
                  <v>59.47948676805509</v>
                </pt>
                <pt idx="62">
                  <v>51.26978324155493</v>
                </pt>
                <pt idx="63">
                  <v>49.38394056201121</v>
                </pt>
                <pt idx="64">
                  <v>35.89414827140887</v>
                </pt>
                <pt idx="65">
                  <v>47.03763372739765</v>
                </pt>
                <pt idx="66">
                  <v>42.52177322309952</v>
                </pt>
                <pt idx="67">
                  <v>52.17121747504909</v>
                </pt>
                <pt idx="68">
                  <v>45.64750462621701</v>
                </pt>
                <pt idx="69">
                  <v>58.44158378709199</v>
                </pt>
                <pt idx="70">
                  <v>97.58235261633192</v>
                </pt>
                <pt idx="71">
                  <v>92.07321769383398</v>
                </pt>
                <pt idx="72">
                  <v>111.1945655985155</v>
                </pt>
                <pt idx="73">
                  <v>105.4131597378828</v>
                </pt>
                <pt idx="74">
                  <v>57.84566339627056</v>
                </pt>
                <pt idx="75">
                  <v>45.84439577068735</v>
                </pt>
                <pt idx="76">
                  <v>40.06566739400938</v>
                </pt>
                <pt idx="77">
                  <v>33.4933819651966</v>
                </pt>
                <pt idx="78">
                  <v>61.32224821093979</v>
                </pt>
                <pt idx="79">
                  <v>47.75582456745756</v>
                </pt>
                <pt idx="80">
                  <v>49.42909499605724</v>
                </pt>
                <pt idx="81">
                  <v>74.26663453789526</v>
                </pt>
                <pt idx="82">
                  <v>95.56453180252134</v>
                </pt>
                <pt idx="83">
                  <v>80.95803424278026</v>
                </pt>
              </numCache>
            </numRef>
          </val>
          <smooth val="1"/>
        </ser>
        <ser>
          <idx val="1"/>
          <order val="1"/>
          <tx>
            <strRef>
              <f>'Capture Price Inputs'!$I$1</f>
              <strCache>
                <ptCount val="1"/>
                <pt idx="0">
                  <v>DK2 Capture Price (EUR/MWh) — Robustness</v>
                </pt>
              </strCache>
            </strRef>
          </tx>
          <spPr>
            <a:ln xmlns:a="http://schemas.openxmlformats.org/drawingml/2006/main">
              <a:solidFill>
                <a:srgbClr val="9DC3E6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val>
            <numRef>
              <f>'Capture Price Inputs'!$I$2:$I$85</f>
              <numCache>
                <formatCode>General</formatCode>
                <ptCount val="84"/>
                <pt idx="12">
                  <v>29.86213642213642</v>
                </pt>
                <pt idx="13">
                  <v>23.55551782972189</v>
                </pt>
                <pt idx="14">
                  <v>17.14905069226102</v>
                </pt>
                <pt idx="15">
                  <v>13.25252312836708</v>
                </pt>
                <pt idx="16">
                  <v>18.59404938271605</v>
                </pt>
                <pt idx="17">
                  <v>35.21078005032583</v>
                </pt>
                <pt idx="18">
                  <v>26.450778046867</v>
                </pt>
                <pt idx="19">
                  <v>44.11376501540486</v>
                </pt>
                <pt idx="20">
                  <v>41.85304788087056</v>
                </pt>
                <pt idx="21">
                  <v>33.60087837290333</v>
                </pt>
                <pt idx="22">
                  <v>37.749765625</v>
                </pt>
                <pt idx="23">
                  <v>44.19142857142857</v>
                </pt>
                <pt idx="24">
                  <v>57.07213441008145</v>
                </pt>
                <pt idx="25">
                  <v>52.28508365452458</v>
                </pt>
                <pt idx="26">
                  <v>47.42264301189781</v>
                </pt>
                <pt idx="27">
                  <v>45.90136374824883</v>
                </pt>
                <pt idx="28">
                  <v>50.2587202314608</v>
                </pt>
                <pt idx="29">
                  <v>69.46934165377623</v>
                </pt>
                <pt idx="30">
                  <v>77.93311155139432</v>
                </pt>
                <pt idx="31">
                  <v>84.51274769025703</v>
                </pt>
                <pt idx="32">
                  <v>118.7457227855615</v>
                </pt>
                <pt idx="33">
                  <v>122.3841235967906</v>
                </pt>
                <pt idx="34">
                  <v>153.6267942781575</v>
                </pt>
                <pt idx="35">
                  <v>244.4872785976441</v>
                </pt>
                <pt idx="36">
                  <v>129.6774902315082</v>
                </pt>
                <pt idx="37">
                  <v>108.8033389925641</v>
                </pt>
                <pt idx="38">
                  <v>186.0504424586062</v>
                </pt>
                <pt idx="39">
                  <v>143.5375888642185</v>
                </pt>
                <pt idx="40">
                  <v>146.2536023446033</v>
                </pt>
                <pt idx="41">
                  <v>192.2325905808319</v>
                </pt>
                <pt idx="42">
                  <v>212.3625858003895</v>
                </pt>
                <pt idx="43">
                  <v>397.1798848597606</v>
                </pt>
                <pt idx="44">
                  <v>315.928842796779</v>
                </pt>
                <pt idx="45">
                  <v>120.1190076327392</v>
                </pt>
                <pt idx="46">
                  <v>134.0399027878758</v>
                </pt>
                <pt idx="47">
                  <v>303.2697848166857</v>
                </pt>
                <pt idx="48">
                  <v>120.8992864784306</v>
                </pt>
                <pt idx="49">
                  <v>103.112625406295</v>
                </pt>
                <pt idx="50">
                  <v>89.0984689216417</v>
                </pt>
                <pt idx="51">
                  <v>71.1250997055942</v>
                </pt>
                <pt idx="52">
                  <v>48.35808379645633</v>
                </pt>
                <pt idx="53">
                  <v>71.8620903722224</v>
                </pt>
                <pt idx="54">
                  <v>50.34596661709235</v>
                </pt>
                <pt idx="55">
                  <v>72.95799234798741</v>
                </pt>
                <pt idx="56">
                  <v>64.3944846724649</v>
                </pt>
                <pt idx="57">
                  <v>47.66025509428685</v>
                </pt>
                <pt idx="58">
                  <v>84.63997860526599</v>
                </pt>
                <pt idx="59">
                  <v>59.06174633307972</v>
                </pt>
                <pt idx="60">
                  <v>76.42720253521921</v>
                </pt>
                <pt idx="61">
                  <v>51.43437919654775</v>
                </pt>
                <pt idx="62">
                  <v>50.75116381305344</v>
                </pt>
                <pt idx="63">
                  <v>47.053967904828</v>
                </pt>
                <pt idx="64">
                  <v>34.29579411369289</v>
                </pt>
                <pt idx="65">
                  <v>46.37938403458337</v>
                </pt>
                <pt idx="66">
                  <v>38.81282196947117</v>
                </pt>
                <pt idx="67">
                  <v>47.15186311829253</v>
                </pt>
                <pt idx="68">
                  <v>43.35594635084219</v>
                </pt>
                <pt idx="69">
                  <v>59.53493763028656</v>
                </pt>
                <pt idx="70">
                  <v>89.61127747791728</v>
                </pt>
                <pt idx="71">
                  <v>100.7961313991171</v>
                </pt>
                <pt idx="72">
                  <v>115.0822593270056</v>
                </pt>
                <pt idx="73">
                  <v>106.9231820731682</v>
                </pt>
                <pt idx="74">
                  <v>50.01806296126875</v>
                </pt>
                <pt idx="75">
                  <v>41.82584156307518</v>
                </pt>
                <pt idx="76">
                  <v>34.32066034459122</v>
                </pt>
                <pt idx="77">
                  <v>24.31568572006325</v>
                </pt>
                <pt idx="78">
                  <v>59.76694388214769</v>
                </pt>
                <pt idx="79">
                  <v>43.06460478354486</v>
                </pt>
                <pt idx="80">
                  <v>52.94940515380836</v>
                </pt>
                <pt idx="81">
                  <v>78.64573032240668</v>
                </pt>
                <pt idx="82">
                  <v>92.69045487153267</v>
                </pt>
                <pt idx="83">
                  <v>79.63122802208366</v>
                </pt>
              </numCache>
            </numRef>
          </val>
          <smooth val="1"/>
        </ser>
        <dLbls>
          <showLegendKey val="0"/>
          <showVal val="0"/>
          <showCatName val="0"/>
          <showSerName val="0"/>
          <showPercent val="0"/>
          <showBubbleSize val="0"/>
        </dLbls>
        <smooth val="0"/>
        <axId val="10"/>
        <axId val="100"/>
      </lineChart>
      <catAx>
        <axId val="10"/>
        <scaling>
          <orientation val="minMax"/>
        </scaling>
        <delete val="1"/>
        <axPos val="b"/>
        <title>
          <tx>
            <rich>
              <a:bodyPr xmlns:a="http://schemas.openxmlformats.org/drawingml/2006/main"/>
              <a:lstStyle xmlns:a="http://schemas.openxmlformats.org/drawingml/2006/main"/>
              <a:p xmlns:a="http://schemas.openxmlformats.org/drawingml/2006/main">
                <a:pPr>
                  <a:defRPr/>
                </a:pPr>
                <a:r>
                  <a:rPr lang="en-GB"/>
                  <a:t>Month</a:t>
                </a:r>
              </a:p>
            </rich>
          </tx>
          <overlay val="1"/>
        </title>
        <majorTickMark val="none"/>
        <minorTickMark val="none"/>
        <tickLblPos val="nextTo"/>
        <crossAx val="100"/>
        <crosses val="autoZero"/>
        <auto val="1"/>
        <lblAlgn val="ctr"/>
        <lblOffset val="100"/>
        <noMultiLvlLbl val="1"/>
      </catAx>
      <valAx>
        <axId val="100"/>
        <scaling>
          <orientation val="minMax"/>
        </scaling>
        <delete val="1"/>
        <axPos val="l"/>
        <majorGridlines/>
        <title>
          <tx>
            <rich>
              <a:bodyPr xmlns:a="http://schemas.openxmlformats.org/drawingml/2006/main"/>
              <a:lstStyle xmlns:a="http://schemas.openxmlformats.org/drawingml/2006/main"/>
              <a:p xmlns:a="http://schemas.openxmlformats.org/drawingml/2006/main">
                <a:pPr>
                  <a:defRPr/>
                </a:pPr>
                <a:r>
                  <a:rPr lang="en-GB"/>
                  <a:t>EUR/MWh</a:t>
                </a:r>
              </a:p>
            </rich>
          </tx>
          <overlay val="1"/>
        </title>
        <numFmt formatCode="General" sourceLinked="1"/>
        <majorTickMark val="none"/>
        <minorTickMark val="none"/>
        <tickLblPos val="nextTo"/>
        <crossAx val="10"/>
        <crosses val="autoZero"/>
        <crossBetween val="between"/>
      </valAx>
    </plotArea>
    <legend>
      <legendPos val="r"/>
      <overlay val="1"/>
    </legend>
    <plotVisOnly val="1"/>
    <dispBlanksAs val="gap"/>
  </chart>
</chartSpace>
</file>

<file path=xl/charts/chart92.xml><?xml version="1.0" encoding="utf-8"?>
<chartSpace xmlns="http://schemas.openxmlformats.org/drawingml/2006/chart">
  <chart>
    <title>
      <tx>
        <rich>
          <a:bodyPr xmlns:a="http://schemas.openxmlformats.org/drawingml/2006/main"/>
          <a:lstStyle xmlns:a="http://schemas.openxmlformats.org/drawingml/2006/main"/>
          <a:p xmlns:a="http://schemas.openxmlformats.org/drawingml/2006/main">
            <a:pPr>
              <a:defRPr/>
            </a:pPr>
            <a:r>
              <a:rPr lang="en-GB"/>
              <a:t>Capture Price Ratio - DK1 Primary | DK2 Robustness</a:t>
            </a:r>
          </a:p>
        </rich>
      </tx>
      <overlay val="1"/>
    </title>
    <plotArea>
      <layout/>
      <lineChart>
        <grouping val="standard"/>
        <varyColors val="1"/>
        <ser>
          <idx val="0"/>
          <order val="0"/>
          <tx>
            <strRef>
              <f>'Capture Price Inputs'!$J$1</f>
              <strCache>
                <ptCount val="1"/>
                <pt idx="0">
                  <v>DK1 CPR — Primary</v>
                </pt>
              </strCache>
            </strRef>
          </tx>
          <spPr>
            <a:ln xmlns:a="http://schemas.openxmlformats.org/drawingml/2006/main">
              <a:solidFill>
                <a:srgbClr val="2E75B6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val>
            <numRef>
              <f>'Capture Price Inputs'!$J$2:$J$85</f>
              <numCache>
                <formatCode>General</formatCode>
                <ptCount val="84"/>
                <pt idx="12">
                  <v>1.009148659447442</v>
                </pt>
                <pt idx="13">
                  <v>1.298591168695051</v>
                </pt>
                <pt idx="14">
                  <v>0.8710146939215303</v>
                </pt>
                <pt idx="15">
                  <v>0.7131577255881921</v>
                </pt>
                <pt idx="16">
                  <v>0.9641557693120565</v>
                </pt>
                <pt idx="17">
                  <v>1.039466413731094</v>
                </pt>
                <pt idx="18">
                  <v>1.008618155660831</v>
                </pt>
                <pt idx="19">
                  <v>0.9808226440750074</v>
                </pt>
                <pt idx="20">
                  <v>1.010404486913005</v>
                </pt>
                <pt idx="21">
                  <v>1.236802226812374</v>
                </pt>
                <pt idx="22">
                  <v>1.094777917215692</v>
                </pt>
                <pt idx="23">
                  <v>1.008230164182662</v>
                </pt>
                <pt idx="24">
                  <v>1.103930861568265</v>
                </pt>
                <pt idx="25">
                  <v>1.005947927705425</v>
                </pt>
                <pt idx="26">
                  <v>0.9871758725122356</v>
                </pt>
                <pt idx="27">
                  <v>0.9088464745665017</v>
                </pt>
                <pt idx="28">
                  <v>0.8775180518715436</v>
                </pt>
                <pt idx="29">
                  <v>0.9569142795347317</v>
                </pt>
                <pt idx="30">
                  <v>0.9821132371596978</v>
                </pt>
                <pt idx="31">
                  <v>0.9902714780245057</v>
                </pt>
                <pt idx="32">
                  <v>0.9269044048361358</v>
                </pt>
                <pt idx="33">
                  <v>1.081088507413439</v>
                </pt>
                <pt idx="34">
                  <v>1.133803408504466</v>
                </pt>
                <pt idx="35">
                  <v>1.208676962454928</v>
                </pt>
                <pt idx="36">
                  <v>1.044125730427727</v>
                </pt>
                <pt idx="37">
                  <v>1.04022281700981</v>
                </pt>
                <pt idx="38">
                  <v>0.8120775904420741</v>
                </pt>
                <pt idx="39">
                  <v>0.8903913338467833</v>
                </pt>
                <pt idx="40">
                  <v>0.8694301605049858</v>
                </pt>
                <pt idx="41">
                  <v>0.9080390201234191</v>
                </pt>
                <pt idx="42">
                  <v>0.8704179159294955</v>
                </pt>
                <pt idx="43">
                  <v>0.9190855304670003</v>
                </pt>
                <pt idx="44">
                  <v>0.9063290180568312</v>
                </pt>
                <pt idx="45">
                  <v>0.9161232525396177</v>
                </pt>
                <pt idx="46">
                  <v>0.9427861207466001</v>
                </pt>
                <pt idx="47">
                  <v>1.132810339248927</v>
                </pt>
                <pt idx="48">
                  <v>1.230919869122654</v>
                </pt>
                <pt idx="49">
                  <v>0.93008781340266</v>
                </pt>
                <pt idx="50">
                  <v>0.9461253975959896</v>
                </pt>
                <pt idx="51">
                  <v>0.7920396612038634</v>
                </pt>
                <pt idx="52">
                  <v>0.6833361056151995</v>
                </pt>
                <pt idx="53">
                  <v>0.8096506208621567</v>
                </pt>
                <pt idx="54">
                  <v>0.8038042195326093</v>
                </pt>
                <pt idx="55">
                  <v>0.8628930977720407</v>
                </pt>
                <pt idx="56">
                  <v>0.8038389922187259</v>
                </pt>
                <pt idx="57">
                  <v>0.8408360556054226</v>
                </pt>
                <pt idx="58">
                  <v>1.028656893611996</v>
                </pt>
                <pt idx="59">
                  <v>0.9132560776287663</v>
                </pt>
                <pt idx="60">
                  <v>1.051614630458469</v>
                </pt>
                <pt idx="61">
                  <v>1.014420829179444</v>
                </pt>
                <pt idx="62">
                  <v>0.8373818542217274</v>
                </pt>
                <pt idx="63">
                  <v>0.8346846016164379</v>
                </pt>
                <pt idx="64">
                  <v>0.6133984536650869</v>
                </pt>
                <pt idx="65">
                  <v>0.7378100322386865</v>
                </pt>
                <pt idx="66">
                  <v>0.685499494870618</v>
                </pt>
                <pt idx="67">
                  <v>0.7151267621934952</v>
                </pt>
                <pt idx="68">
                  <v>0.636525223039573</v>
                </pt>
                <pt idx="69">
                  <v>0.7617518807592967</v>
                </pt>
                <pt idx="70">
                  <v>1.017494003861172</v>
                </pt>
                <pt idx="71">
                  <v>1.002567416041121</v>
                </pt>
                <pt idx="72">
                  <v>1.135032584901597</v>
                </pt>
                <pt idx="73">
                  <v>0.9341166514187298</v>
                </pt>
                <pt idx="74">
                  <v>0.6857908168802248</v>
                </pt>
                <pt idx="75">
                  <v>0.609953535618325</v>
                </pt>
                <pt idx="76">
                  <v>0.6237511742318941</v>
                </pt>
                <pt idx="77">
                  <v>0.569764321286333</v>
                </pt>
                <pt idx="78">
                  <v>0.7405896710838001</v>
                </pt>
                <pt idx="79">
                  <v>0.6499711234459455</v>
                </pt>
                <pt idx="80">
                  <v>0.6827347489865859</v>
                </pt>
                <pt idx="81">
                  <v>0.9470151719348058</v>
                </pt>
                <pt idx="82">
                  <v>1.028976430956097</v>
                </pt>
                <pt idx="83">
                  <v>0.9820538861792604</v>
                </pt>
              </numCache>
            </numRef>
          </val>
          <smooth val="1"/>
        </ser>
        <ser>
          <idx val="1"/>
          <order val="1"/>
          <tx>
            <strRef>
              <f>'Capture Price Inputs'!$K$1</f>
              <strCache>
                <ptCount val="1"/>
                <pt idx="0">
                  <v>DK2 CPR — Robustness</v>
                </pt>
              </strCache>
            </strRef>
          </tx>
          <spPr>
            <a:ln xmlns:a="http://schemas.openxmlformats.org/drawingml/2006/main">
              <a:solidFill>
                <a:srgbClr val="9DC3E6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val>
            <numRef>
              <f>'Capture Price Inputs'!$K$2:$K$85</f>
              <numCache>
                <formatCode>General</formatCode>
                <ptCount val="84"/>
                <pt idx="12">
                  <v>1.090446324793763</v>
                </pt>
                <pt idx="13">
                  <v>1.251821301318464</v>
                </pt>
                <pt idx="14">
                  <v>0.8552077585127711</v>
                </pt>
                <pt idx="15">
                  <v>0.763620235478716</v>
                </pt>
                <pt idx="16">
                  <v>0.9763693823354528</v>
                </pt>
                <pt idx="17">
                  <v>1.180647007173951</v>
                </pt>
                <pt idx="18">
                  <v>1.021791049952987</v>
                </pt>
                <pt idx="19">
                  <v>1.077948442472481</v>
                </pt>
                <pt idx="20">
                  <v>1.059189092335807</v>
                </pt>
                <pt idx="21">
                  <v>1.247549053102559</v>
                </pt>
                <pt idx="22">
                  <v>1.057080411727209</v>
                </pt>
                <pt idx="23">
                  <v>1.125691191699302</v>
                </pt>
                <pt idx="24">
                  <v>1.122164979814525</v>
                </pt>
                <pt idx="25">
                  <v>0.9585139857498034</v>
                </pt>
                <pt idx="26">
                  <v>1.014774172650395</v>
                </pt>
                <pt idx="27">
                  <v>0.9590164366476613</v>
                </pt>
                <pt idx="28">
                  <v>0.9103388736117121</v>
                </pt>
                <pt idx="29">
                  <v>0.9440449187481634</v>
                </pt>
                <pt idx="30">
                  <v>0.9569285690465077</v>
                </pt>
                <pt idx="31">
                  <v>1.001768528067071</v>
                </pt>
                <pt idx="32">
                  <v>0.9583833699094481</v>
                </pt>
                <pt idx="33">
                  <v>1.144501265847132</v>
                </pt>
                <pt idx="34">
                  <v>1.126460857141801</v>
                </pt>
                <pt idx="35">
                  <v>1.279578427053047</v>
                </pt>
                <pt idx="36">
                  <v>1.161754652341282</v>
                </pt>
                <pt idx="37">
                  <v>1.084871924613185</v>
                </pt>
                <pt idx="38">
                  <v>0.8162958275837114</v>
                </pt>
                <pt idx="39">
                  <v>0.9391804877392103</v>
                </pt>
                <pt idx="40">
                  <v>0.8991456314331195</v>
                </pt>
                <pt idx="41">
                  <v>0.9015136745747578</v>
                </pt>
                <pt idx="42">
                  <v>0.909562444967756</v>
                </pt>
                <pt idx="43">
                  <v>0.8830756108422062</v>
                </pt>
                <pt idx="44">
                  <v>0.9608536982958826</v>
                </pt>
                <pt idx="45">
                  <v>0.8774354195736861</v>
                </pt>
                <pt idx="46">
                  <v>0.9240447439178995</v>
                </pt>
                <pt idx="47">
                  <v>1.218528056069729</v>
                </pt>
                <pt idx="48">
                  <v>1.21186632363043</v>
                </pt>
                <pt idx="49">
                  <v>1.024478122815962</v>
                </pt>
                <pt idx="50">
                  <v>0.992236312197012</v>
                </pt>
                <pt idx="51">
                  <v>0.8502587347820391</v>
                </pt>
                <pt idx="52">
                  <v>0.7310174827054021</v>
                </pt>
                <pt idx="53">
                  <v>0.7860381991736552</v>
                </pt>
                <pt idx="54">
                  <v>0.7717034871247128</v>
                </pt>
                <pt idx="55">
                  <v>0.8454610410569836</v>
                </pt>
                <pt idx="56">
                  <v>0.7532917330845335</v>
                </pt>
                <pt idx="57">
                  <v>0.837234490334641</v>
                </pt>
                <pt idx="58">
                  <v>1.038705241708771</v>
                </pt>
                <pt idx="59">
                  <v>0.8332670757562848</v>
                </pt>
                <pt idx="60">
                  <v>0.977144875107929</v>
                </pt>
                <pt idx="61">
                  <v>0.9399172603334611</v>
                </pt>
                <pt idx="62">
                  <v>0.8314293202728863</v>
                </pt>
                <pt idx="63">
                  <v>0.7780510745637418</v>
                </pt>
                <pt idx="64">
                  <v>0.5900556342707577</v>
                </pt>
                <pt idx="65">
                  <v>0.6943958569114143</v>
                </pt>
                <pt idx="66">
                  <v>0.6176283845394642</v>
                </pt>
                <pt idx="67">
                  <v>0.6493471479229646</v>
                </pt>
                <pt idx="68">
                  <v>0.6157480113547513</v>
                </pt>
                <pt idx="69">
                  <v>0.7800073506793195</v>
                </pt>
                <pt idx="70">
                  <v>0.9404779955101509</v>
                </pt>
                <pt idx="71">
                  <v>1.087006718547946</v>
                </pt>
                <pt idx="72">
                  <v>1.149400364807902</v>
                </pt>
                <pt idx="73">
                  <v>0.9066238427133391</v>
                </pt>
                <pt idx="74">
                  <v>0.603741164715803</v>
                </pt>
                <pt idx="75">
                  <v>0.5517436798810373</v>
                </pt>
                <pt idx="76">
                  <v>0.544059463307295</v>
                </pt>
                <pt idx="77">
                  <v>0.4307606652121766</v>
                </pt>
                <pt idx="78">
                  <v>0.7474634186196619</v>
                </pt>
                <pt idx="79">
                  <v>0.5717894234335987</v>
                </pt>
                <pt idx="80">
                  <v>0.635731600833678</v>
                </pt>
                <pt idx="81">
                  <v>0.9548084008156305</v>
                </pt>
                <pt idx="82">
                  <v>0.9892725129496999</v>
                </pt>
                <pt idx="83">
                  <v>0.9701479625359415</v>
                </pt>
              </numCache>
            </numRef>
          </val>
          <smooth val="1"/>
        </ser>
        <dLbls>
          <showLegendKey val="0"/>
          <showVal val="0"/>
          <showCatName val="0"/>
          <showSerName val="0"/>
          <showPercent val="0"/>
          <showBubbleSize val="0"/>
        </dLbls>
        <smooth val="0"/>
        <axId val="10"/>
        <axId val="100"/>
      </lineChart>
      <catAx>
        <axId val="10"/>
        <scaling>
          <orientation val="minMax"/>
        </scaling>
        <delete val="1"/>
        <axPos val="b"/>
        <title>
          <tx>
            <rich>
              <a:bodyPr xmlns:a="http://schemas.openxmlformats.org/drawingml/2006/main"/>
              <a:lstStyle xmlns:a="http://schemas.openxmlformats.org/drawingml/2006/main"/>
              <a:p xmlns:a="http://schemas.openxmlformats.org/drawingml/2006/main">
                <a:pPr>
                  <a:defRPr/>
                </a:pPr>
                <a:r>
                  <a:rPr lang="en-GB"/>
                  <a:t>Month</a:t>
                </a:r>
              </a:p>
            </rich>
          </tx>
          <overlay val="1"/>
        </title>
        <majorTickMark val="none"/>
        <minorTickMark val="none"/>
        <tickLblPos val="nextTo"/>
        <crossAx val="100"/>
        <crosses val="autoZero"/>
        <auto val="1"/>
        <lblAlgn val="ctr"/>
        <lblOffset val="100"/>
        <noMultiLvlLbl val="1"/>
      </catAx>
      <valAx>
        <axId val="100"/>
        <scaling>
          <orientation val="minMax"/>
        </scaling>
        <delete val="1"/>
        <axPos val="l"/>
        <majorGridlines/>
        <title>
          <tx>
            <rich>
              <a:bodyPr xmlns:a="http://schemas.openxmlformats.org/drawingml/2006/main"/>
              <a:lstStyle xmlns:a="http://schemas.openxmlformats.org/drawingml/2006/main"/>
              <a:p xmlns:a="http://schemas.openxmlformats.org/drawingml/2006/main">
                <a:pPr>
                  <a:defRPr/>
                </a:pPr>
                <a:r>
                  <a:rPr lang="en-GB"/>
                  <a:t>CPR</a:t>
                </a:r>
              </a:p>
            </rich>
          </tx>
          <overlay val="1"/>
        </title>
        <numFmt formatCode="General" sourceLinked="1"/>
        <majorTickMark val="none"/>
        <minorTickMark val="none"/>
        <tickLblPos val="nextTo"/>
        <crossAx val="10"/>
        <crosses val="autoZero"/>
        <crossBetween val="between"/>
      </valAx>
    </plotArea>
    <legend>
      <legendPos val="r"/>
      <overlay val="1"/>
    </legend>
    <plotVisOnly val="1"/>
    <dispBlanksAs val="gap"/>
  </chart>
</chartSpace>
</file>

<file path=xl/charts/chart93.xml><?xml version="1.0" encoding="utf-8"?>
<chartSpace xmlns="http://schemas.openxmlformats.org/drawingml/2006/chart">
  <chart>
    <title>
      <tx>
        <rich>
          <a:bodyPr xmlns:a="http://schemas.openxmlformats.org/drawingml/2006/main"/>
          <a:lstStyle xmlns:a="http://schemas.openxmlformats.org/drawingml/2006/main"/>
          <a:p xmlns:a="http://schemas.openxmlformats.org/drawingml/2006/main">
            <a:pPr>
              <a:defRPr/>
            </a:pPr>
            <a:r>
              <a:rPr lang="en-GB"/>
              <a:t>Solar Penetration - DK1 Primary | DK2 Robustness</a:t>
            </a:r>
          </a:p>
        </rich>
      </tx>
      <overlay val="1"/>
    </title>
    <plotArea>
      <layout/>
      <lineChart>
        <grouping val="standard"/>
        <varyColors val="1"/>
        <ser>
          <idx val="0"/>
          <order val="0"/>
          <tx>
            <strRef>
              <f>'Capture Price Inputs'!$F$1</f>
              <strCache>
                <ptCount val="1"/>
                <pt idx="0">
                  <v>DK1 Solar Penetration (%) — Primary</v>
                </pt>
              </strCache>
            </strRef>
          </tx>
          <spPr>
            <a:ln xmlns:a="http://schemas.openxmlformats.org/drawingml/2006/main">
              <a:solidFill>
                <a:srgbClr val="FF8C00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val>
            <numRef>
              <f>'Capture Price Inputs'!$F$2:$F$85</f>
              <numCache>
                <formatCode>General</formatCode>
                <ptCount val="84"/>
                <pt idx="0">
                  <v>0</v>
                </pt>
                <pt idx="1">
                  <v>0</v>
                </pt>
                <pt idx="2">
                  <v>0</v>
                </pt>
                <pt idx="3">
                  <v>0</v>
                </pt>
                <pt idx="4">
                  <v>0</v>
                </pt>
                <pt idx="5">
                  <v>0</v>
                </pt>
                <pt idx="6">
                  <v>0</v>
                </pt>
                <pt idx="7">
                  <v>0</v>
                </pt>
                <pt idx="8">
                  <v>0</v>
                </pt>
                <pt idx="9">
                  <v>0</v>
                </pt>
                <pt idx="10">
                  <v>0</v>
                </pt>
                <pt idx="11">
                  <v>0</v>
                </pt>
                <pt idx="12">
                  <v>0.002264447892629483</v>
                </pt>
                <pt idx="13">
                  <v>0.005247452024482245</v>
                </pt>
                <pt idx="14">
                  <v>0.02020167759412729</v>
                </pt>
                <pt idx="15">
                  <v>0.0324279896123047</v>
                </pt>
                <pt idx="16">
                  <v>0.03608008723790357</v>
                </pt>
                <pt idx="17">
                  <v>0.03741361883164089</v>
                </pt>
                <pt idx="18">
                  <v>0.03399843385950392</v>
                </pt>
                <pt idx="19">
                  <v>0.03422476314253766</v>
                </pt>
                <pt idx="20">
                  <v>0.02433015193915724</v>
                </pt>
                <pt idx="21">
                  <v>0.01149038754944678</v>
                </pt>
                <pt idx="22">
                  <v>0.0001521101274151999</v>
                </pt>
                <pt idx="23">
                  <v>1.472410662127807e-05</v>
                </pt>
                <pt idx="24">
                  <v>0.003631355999035091</v>
                </pt>
                <pt idx="25">
                  <v>0.0108689417180573</v>
                </pt>
                <pt idx="26">
                  <v>0.02238230390737163</v>
                </pt>
                <pt idx="27">
                  <v>0.04212837115783985</v>
                </pt>
                <pt idx="28">
                  <v>0.03307505221196035</v>
                </pt>
                <pt idx="29">
                  <v>0.04984166182181952</v>
                </pt>
                <pt idx="30">
                  <v>0.0485715434854639</v>
                </pt>
                <pt idx="31">
                  <v>0.0388769479447087</v>
                </pt>
                <pt idx="32">
                  <v>0.02593285017943629</v>
                </pt>
                <pt idx="33">
                  <v>0.01746009643148906</v>
                </pt>
                <pt idx="34">
                  <v>0.007029306005813504</v>
                </pt>
                <pt idx="35">
                  <v>0.003243365391886713</v>
                </pt>
                <pt idx="36">
                  <v>0.006675315547248087</v>
                </pt>
                <pt idx="37">
                  <v>0.0173995712330029</v>
                </pt>
                <pt idx="38">
                  <v>0.06195507058644287</v>
                </pt>
                <pt idx="39">
                  <v>0.08404056603836467</v>
                </pt>
                <pt idx="40">
                  <v>0.09687689142031611</v>
                </pt>
                <pt idx="41">
                  <v>0.09496202074431148</v>
                </pt>
                <pt idx="42">
                  <v>0.09963556652585577</v>
                </pt>
                <pt idx="43">
                  <v>0.08962697832526678</v>
                </pt>
                <pt idx="44">
                  <v>0.06604649859170474</v>
                </pt>
                <pt idx="45">
                  <v>0.03746941447765471</v>
                </pt>
                <pt idx="46">
                  <v>0.01046932675470221</v>
                </pt>
                <pt idx="47">
                  <v>0.006229164645196865</v>
                </pt>
                <pt idx="48">
                  <v>0.01246069427686292</v>
                </pt>
                <pt idx="49">
                  <v>0.03437640419176364</v>
                </pt>
                <pt idx="50">
                  <v>0.05647796857705859</v>
                </pt>
                <pt idx="51">
                  <v>0.1509467292684683</v>
                </pt>
                <pt idx="52">
                  <v>0.18600333743842</v>
                </pt>
                <pt idx="53">
                  <v>0.218925737129461</v>
                </pt>
                <pt idx="54">
                  <v>0.1892952405634502</v>
                </pt>
                <pt idx="55">
                  <v>0.1493297980639493</v>
                </pt>
                <pt idx="56">
                  <v>0.1319165438654872</v>
                </pt>
                <pt idx="57">
                  <v>0.0428648864567301</v>
                </pt>
                <pt idx="58">
                  <v>0.01600349353715238</v>
                </pt>
                <pt idx="59">
                  <v>0.006390504672696534</v>
                </pt>
                <pt idx="60">
                  <v>0.01341718605060752</v>
                </pt>
                <pt idx="61">
                  <v>0.0264362238379265</v>
                </pt>
                <pt idx="62">
                  <v>0.06623397340035048</v>
                </pt>
                <pt idx="63">
                  <v>0.1084169878649764</v>
                </pt>
                <pt idx="64">
                  <v>0.1888703164988005</v>
                </pt>
                <pt idx="65">
                  <v>0.1715230569234828</v>
                </pt>
                <pt idx="66">
                  <v>0.1809062055635286</v>
                </pt>
                <pt idx="67">
                  <v>0.155121531117258</v>
                </pt>
                <pt idx="68">
                  <v>0.1275567235314205</v>
                </pt>
                <pt idx="69">
                  <v>0.06287376784741511</v>
                </pt>
                <pt idx="70">
                  <v>0.01780902737610289</v>
                </pt>
                <pt idx="71">
                  <v>0.006785797568345668</v>
                </pt>
                <pt idx="72">
                  <v>0.01366055484422285</v>
                </pt>
                <pt idx="73">
                  <v>0.04341993481717769</v>
                </pt>
                <pt idx="74">
                  <v>0.1120694547038418</v>
                </pt>
                <pt idx="75">
                  <v>0.1482754875605271</v>
                </pt>
                <pt idx="76">
                  <v>0.1924446817596716</v>
                </pt>
                <pt idx="77">
                  <v>0.1878482923852328</v>
                </pt>
                <pt idx="78">
                  <v>0.2182818884824121</v>
                </pt>
                <pt idx="79">
                  <v>0.1901168401280812</v>
                </pt>
                <pt idx="80">
                  <v>0.1381615272451792</v>
                </pt>
                <pt idx="81">
                  <v>0.06946207120205163</v>
                </pt>
                <pt idx="82">
                  <v>0.02660497040214753</v>
                </pt>
                <pt idx="83">
                  <v>0.0140253486520015</v>
                </pt>
              </numCache>
            </numRef>
          </val>
          <smooth val="1"/>
        </ser>
        <ser>
          <idx val="1"/>
          <order val="1"/>
          <tx>
            <strRef>
              <f>'Capture Price Inputs'!$G$1</f>
              <strCache>
                <ptCount val="1"/>
                <pt idx="0">
                  <v>DK2 Solar Penetration (%) — Robustness</v>
                </pt>
              </strCache>
            </strRef>
          </tx>
          <spPr>
            <a:ln xmlns:a="http://schemas.openxmlformats.org/drawingml/2006/main">
              <a:solidFill>
                <a:srgbClr val="FFD700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val>
            <numRef>
              <f>'Capture Price Inputs'!$G$2:$G$85</f>
              <numCache>
                <formatCode>General</formatCode>
                <ptCount val="84"/>
                <pt idx="0">
                  <v>0</v>
                </pt>
                <pt idx="1">
                  <v>0</v>
                </pt>
                <pt idx="2">
                  <v>0</v>
                </pt>
                <pt idx="3">
                  <v>0</v>
                </pt>
                <pt idx="4">
                  <v>0</v>
                </pt>
                <pt idx="5">
                  <v>0</v>
                </pt>
                <pt idx="6">
                  <v>0</v>
                </pt>
                <pt idx="7">
                  <v>0</v>
                </pt>
                <pt idx="8">
                  <v>0</v>
                </pt>
                <pt idx="9">
                  <v>0</v>
                </pt>
                <pt idx="10">
                  <v>0</v>
                </pt>
                <pt idx="11">
                  <v>0</v>
                </pt>
                <pt idx="12">
                  <v>0.001864323044087839</v>
                </pt>
                <pt idx="13">
                  <v>0.004961339344807235</v>
                </pt>
                <pt idx="14">
                  <v>0.01532033335337761</v>
                </pt>
                <pt idx="15">
                  <v>0.02618059513454593</v>
                </pt>
                <pt idx="16">
                  <v>0.03224093077416624</v>
                </pt>
                <pt idx="17">
                  <v>0.03065181208815584</v>
                </pt>
                <pt idx="18">
                  <v>0.02998206800974695</v>
                </pt>
                <pt idx="19">
                  <v>0.02803471341430708</v>
                </pt>
                <pt idx="20">
                  <v>0.02173647910159525</v>
                </pt>
                <pt idx="21">
                  <v>0.01107911770574695</v>
                </pt>
                <pt idx="22">
                  <v>0.0001104461157833284</v>
                </pt>
                <pt idx="23">
                  <v>5.635243358406259e-06</v>
                </pt>
                <pt idx="24">
                  <v>0.003104474131982996</v>
                </pt>
                <pt idx="25">
                  <v>0.009248336948772359</v>
                </pt>
                <pt idx="26">
                  <v>0.01847451704521283</v>
                </pt>
                <pt idx="27">
                  <v>0.03269440748331279</v>
                </pt>
                <pt idx="28">
                  <v>0.03294582929454019</v>
                </pt>
                <pt idx="29">
                  <v>0.04448013314005607</v>
                </pt>
                <pt idx="30">
                  <v>0.03704954253730217</v>
                </pt>
                <pt idx="31">
                  <v>0.03185776883426199</v>
                </pt>
                <pt idx="32">
                  <v>0.0223981137027396</v>
                </pt>
                <pt idx="33">
                  <v>0.01267326343754744</v>
                </pt>
                <pt idx="34">
                  <v>0.004013281085791027</v>
                </pt>
                <pt idx="35">
                  <v>0.001822629583826099</v>
                </pt>
                <pt idx="36">
                  <v>0.004939556742877535</v>
                </pt>
                <pt idx="37">
                  <v>0.01324848558669828</v>
                </pt>
                <pt idx="38">
                  <v>0.03408933034912105</v>
                </pt>
                <pt idx="39">
                  <v>0.05525443609957865</v>
                </pt>
                <pt idx="40">
                  <v>0.06581145996085939</v>
                </pt>
                <pt idx="41">
                  <v>0.06452822904586782</v>
                </pt>
                <pt idx="42">
                  <v>0.06702580380195292</v>
                </pt>
                <pt idx="43">
                  <v>0.06129992439719582</v>
                </pt>
                <pt idx="44">
                  <v>0.04578427610350702</v>
                </pt>
                <pt idx="45">
                  <v>0.0298090580270354</v>
                </pt>
                <pt idx="46">
                  <v>0.007865295261900549</v>
                </pt>
                <pt idx="47">
                  <v>0.004532355552973548</v>
                </pt>
                <pt idx="48">
                  <v>0.005862652723136608</v>
                </pt>
                <pt idx="49">
                  <v>0.01887764841837355</v>
                </pt>
                <pt idx="50">
                  <v>0.03709622939200571</v>
                </pt>
                <pt idx="51">
                  <v>0.08026996603382495</v>
                </pt>
                <pt idx="52">
                  <v>0.1080032082802261</v>
                </pt>
                <pt idx="53">
                  <v>0.1144244665352921</v>
                </pt>
                <pt idx="54">
                  <v>0.1020307450715976</v>
                </pt>
                <pt idx="55">
                  <v>0.07793101053296771</v>
                </pt>
                <pt idx="56">
                  <v>0.08090995463931874</v>
                </pt>
                <pt idx="57">
                  <v>0.02917234021559438</v>
                </pt>
                <pt idx="58">
                  <v>0.0104098691216888</v>
                </pt>
                <pt idx="59">
                  <v>0.003809030164374855</v>
                </pt>
                <pt idx="60">
                  <v>0.006178183072975508</v>
                </pt>
                <pt idx="61">
                  <v>0.01667231366864759</v>
                </pt>
                <pt idx="62">
                  <v>0.04111280636733766</v>
                </pt>
                <pt idx="63">
                  <v>0.06512337874480645</v>
                </pt>
                <pt idx="64">
                  <v>0.106315341440858</v>
                </pt>
                <pt idx="65">
                  <v>0.1072729076610999</v>
                </pt>
                <pt idx="66">
                  <v>0.1057942634887733</v>
                </pt>
                <pt idx="67">
                  <v>0.0936908322687052</v>
                </pt>
                <pt idx="68">
                  <v>0.07246320282040017</v>
                </pt>
                <pt idx="69">
                  <v>0.03614525389237988</v>
                </pt>
                <pt idx="70">
                  <v>0.008602841405423608</v>
                </pt>
                <pt idx="71">
                  <v>0.004171468465776758</v>
                </pt>
                <pt idx="72">
                  <v>0.007223240212576967</v>
                </pt>
                <pt idx="73">
                  <v>0.02010831138567791</v>
                </pt>
                <pt idx="74">
                  <v>0.04654786644745259</v>
                </pt>
                <pt idx="75">
                  <v>0.07168978364906199</v>
                </pt>
                <pt idx="76">
                  <v>0.09471412725623395</v>
                </pt>
                <pt idx="77">
                  <v>0.09982625001551076</v>
                </pt>
                <pt idx="78">
                  <v>0.09399641941869914</v>
                </pt>
                <pt idx="79">
                  <v>0.1057378118957395</v>
                </pt>
                <pt idx="80">
                  <v>0.09062887968652376</v>
                </pt>
                <pt idx="81">
                  <v>0.03957312567862663</v>
                </pt>
                <pt idx="82">
                  <v>0.01454364344794783</v>
                </pt>
                <pt idx="83">
                  <v>0.00906949116088333</v>
                </pt>
              </numCache>
            </numRef>
          </val>
          <smooth val="1"/>
        </ser>
        <dLbls>
          <showLegendKey val="0"/>
          <showVal val="0"/>
          <showCatName val="0"/>
          <showSerName val="0"/>
          <showPercent val="0"/>
          <showBubbleSize val="0"/>
        </dLbls>
        <smooth val="0"/>
        <axId val="10"/>
        <axId val="100"/>
      </lineChart>
      <catAx>
        <axId val="10"/>
        <scaling>
          <orientation val="minMax"/>
        </scaling>
        <delete val="1"/>
        <axPos val="b"/>
        <title>
          <tx>
            <rich>
              <a:bodyPr xmlns:a="http://schemas.openxmlformats.org/drawingml/2006/main"/>
              <a:lstStyle xmlns:a="http://schemas.openxmlformats.org/drawingml/2006/main"/>
              <a:p xmlns:a="http://schemas.openxmlformats.org/drawingml/2006/main">
                <a:pPr>
                  <a:defRPr/>
                </a:pPr>
                <a:r>
                  <a:rPr lang="en-GB"/>
                  <a:t>Month</a:t>
                </a:r>
              </a:p>
            </rich>
          </tx>
          <overlay val="1"/>
        </title>
        <majorTickMark val="none"/>
        <minorTickMark val="none"/>
        <tickLblPos val="nextTo"/>
        <crossAx val="100"/>
        <crosses val="autoZero"/>
        <auto val="1"/>
        <lblAlgn val="ctr"/>
        <lblOffset val="100"/>
        <noMultiLvlLbl val="1"/>
      </catAx>
      <valAx>
        <axId val="100"/>
        <scaling>
          <orientation val="minMax"/>
        </scaling>
        <delete val="1"/>
        <axPos val="l"/>
        <majorGridlines/>
        <title>
          <tx>
            <rich>
              <a:bodyPr xmlns:a="http://schemas.openxmlformats.org/drawingml/2006/main"/>
              <a:lstStyle xmlns:a="http://schemas.openxmlformats.org/drawingml/2006/main"/>
              <a:p xmlns:a="http://schemas.openxmlformats.org/drawingml/2006/main">
                <a:pPr>
                  <a:defRPr/>
                </a:pPr>
                <a:r>
                  <a:rPr lang="en-GB"/>
                  <a:t>Solar Penetration (%)</a:t>
                </a:r>
              </a:p>
            </rich>
          </tx>
          <overlay val="1"/>
        </title>
        <numFmt formatCode="General" sourceLinked="1"/>
        <majorTickMark val="none"/>
        <minorTickMark val="none"/>
        <tickLblPos val="nextTo"/>
        <crossAx val="10"/>
        <crosses val="autoZero"/>
        <crossBetween val="between"/>
      </valAx>
    </plotArea>
    <legend>
      <legendPos val="r"/>
      <overlay val="1"/>
    </legend>
    <plotVisOnly val="1"/>
    <dispBlanksAs val="gap"/>
  </chart>
</chartSpace>
</file>

<file path=xl/charts/chart94.xml><?xml version="1.0" encoding="utf-8"?>
<chartSpace xmlns="http://schemas.openxmlformats.org/drawingml/2006/chart">
  <chart>
    <title>
      <tx>
        <rich>
          <a:bodyPr xmlns:a="http://schemas.openxmlformats.org/drawingml/2006/main"/>
          <a:lstStyle xmlns:a="http://schemas.openxmlformats.org/drawingml/2006/main"/>
          <a:p xmlns:a="http://schemas.openxmlformats.org/drawingml/2006/main">
            <a:pPr>
              <a:defRPr/>
            </a:pPr>
            <a:r>
              <a:rPr lang="en-GB"/>
              <a:t>Capture Price - DK1 Primary | DK2 Robustness</a:t>
            </a:r>
          </a:p>
        </rich>
      </tx>
      <overlay val="1"/>
    </title>
    <plotArea>
      <layout/>
      <lineChart>
        <grouping val="standard"/>
        <varyColors val="1"/>
        <ser>
          <idx val="0"/>
          <order val="0"/>
          <tx>
            <strRef>
              <f>'Capture Price Inputs'!$H$1</f>
              <strCache>
                <ptCount val="1"/>
                <pt idx="0">
                  <v>DK1 Capture Price (EUR/MWh) — Primary</v>
                </pt>
              </strCache>
            </strRef>
          </tx>
          <spPr>
            <a:ln xmlns:a="http://schemas.openxmlformats.org/drawingml/2006/main">
              <a:solidFill>
                <a:srgbClr val="2E75B6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val>
            <numRef>
              <f>'Capture Price Inputs'!$H$2:$H$85</f>
              <numCache>
                <formatCode>General</formatCode>
                <ptCount val="84"/>
                <pt idx="12">
                  <v>25.22320957280251</v>
                </pt>
                <pt idx="13">
                  <v>22.83581899109792</v>
                </pt>
                <pt idx="14">
                  <v>15.94107348554973</v>
                </pt>
                <pt idx="15">
                  <v>10.36487590420421</v>
                </pt>
                <pt idx="16">
                  <v>15.478548945086</v>
                </pt>
                <pt idx="17">
                  <v>27.31330822786869</v>
                </pt>
                <pt idx="18">
                  <v>24.83174517810916</v>
                </pt>
                <pt idx="19">
                  <v>33.87691542204785</v>
                </pt>
                <pt idx="20">
                  <v>38.93597900337959</v>
                </pt>
                <pt idx="21">
                  <v>31.92774153305919</v>
                </pt>
                <pt idx="22">
                  <v>26.00599326599326</v>
                </pt>
                <pt idx="23">
                  <v>34.79516129032258</v>
                </pt>
                <pt idx="24">
                  <v>55.42296760727792</v>
                </pt>
                <pt idx="25">
                  <v>47.54261097914259</v>
                </pt>
                <pt idx="26">
                  <v>44.55070091580549</v>
                </pt>
                <pt idx="27">
                  <v>43.594739828473</v>
                </pt>
                <pt idx="28">
                  <v>47.65587057500122</v>
                </pt>
                <pt idx="29">
                  <v>70.54354791111106</v>
                </pt>
                <pt idx="30">
                  <v>78.56831974775861</v>
                </pt>
                <pt idx="31">
                  <v>81.98335113640179</v>
                </pt>
                <pt idx="32">
                  <v>116.2002249554484</v>
                </pt>
                <pt idx="33">
                  <v>126.5303952032395</v>
                </pt>
                <pt idx="34">
                  <v>160.7705833010295</v>
                </pt>
                <pt idx="35">
                  <v>228.8621705579358</v>
                </pt>
                <pt idx="36">
                  <v>123.2012506791719</v>
                </pt>
                <pt idx="37">
                  <v>117.67077903546</v>
                </pt>
                <pt idx="38">
                  <v>191.508071735067</v>
                </pt>
                <pt idx="39">
                  <v>145.7013871592604</v>
                </pt>
                <pt idx="40">
                  <v>149.4185612445558</v>
                </pt>
                <pt idx="41">
                  <v>194.7110340948198</v>
                </pt>
                <pt idx="42">
                  <v>239.3981525107354</v>
                </pt>
                <pt idx="43">
                  <v>419.792637226606</v>
                </pt>
                <pt idx="44">
                  <v>310.7073992726671</v>
                </pt>
                <pt idx="45">
                  <v>125.6295598680838</v>
                </pt>
                <pt idx="46">
                  <v>131.7111886265582</v>
                </pt>
                <pt idx="47">
                  <v>282.8237937420726</v>
                </pt>
                <pt idx="48">
                  <v>138.5299886842633</v>
                </pt>
                <pt idx="49">
                  <v>109.8769757213503</v>
                </pt>
                <pt idx="50">
                  <v>93.77419094069538</v>
                </pt>
                <pt idx="51">
                  <v>76.25042822265543</v>
                </pt>
                <pt idx="52">
                  <v>50.54348776008261</v>
                </pt>
                <pt idx="53">
                  <v>74.88898277621806</v>
                </pt>
                <pt idx="54">
                  <v>52.09559943846345</v>
                </pt>
                <pt idx="55">
                  <v>74.18042603997819</v>
                </pt>
                <pt idx="56">
                  <v>68.11686962339694</v>
                </pt>
                <pt idx="57">
                  <v>50.53909051970285</v>
                </pt>
                <pt idx="58">
                  <v>90.68080556242518</v>
                </pt>
                <pt idx="59">
                  <v>63.45532768878803</v>
                </pt>
                <pt idx="60">
                  <v>78.57131644167831</v>
                </pt>
                <pt idx="61">
                  <v>59.47948676805509</v>
                </pt>
                <pt idx="62">
                  <v>51.26978324155493</v>
                </pt>
                <pt idx="63">
                  <v>49.38394056201121</v>
                </pt>
                <pt idx="64">
                  <v>35.89414827140887</v>
                </pt>
                <pt idx="65">
                  <v>47.03763372739765</v>
                </pt>
                <pt idx="66">
                  <v>42.52177322309952</v>
                </pt>
                <pt idx="67">
                  <v>52.17121747504909</v>
                </pt>
                <pt idx="68">
                  <v>45.64750462621701</v>
                </pt>
                <pt idx="69">
                  <v>58.44158378709199</v>
                </pt>
                <pt idx="70">
                  <v>97.58235261633192</v>
                </pt>
                <pt idx="71">
                  <v>92.07321769383398</v>
                </pt>
                <pt idx="72">
                  <v>111.1945655985155</v>
                </pt>
                <pt idx="73">
                  <v>105.4131597378828</v>
                </pt>
                <pt idx="74">
                  <v>57.84566339627056</v>
                </pt>
                <pt idx="75">
                  <v>45.84439577068735</v>
                </pt>
                <pt idx="76">
                  <v>40.06566739400938</v>
                </pt>
                <pt idx="77">
                  <v>33.4933819651966</v>
                </pt>
                <pt idx="78">
                  <v>61.32224821093979</v>
                </pt>
                <pt idx="79">
                  <v>47.75582456745756</v>
                </pt>
                <pt idx="80">
                  <v>49.42909499605724</v>
                </pt>
                <pt idx="81">
                  <v>74.26663453789526</v>
                </pt>
                <pt idx="82">
                  <v>95.56453180252134</v>
                </pt>
                <pt idx="83">
                  <v>80.95803424278026</v>
                </pt>
              </numCache>
            </numRef>
          </val>
          <smooth val="1"/>
        </ser>
        <ser>
          <idx val="1"/>
          <order val="1"/>
          <tx>
            <strRef>
              <f>'Capture Price Inputs'!$I$1</f>
              <strCache>
                <ptCount val="1"/>
                <pt idx="0">
                  <v>DK2 Capture Price (EUR/MWh) — Robustness</v>
                </pt>
              </strCache>
            </strRef>
          </tx>
          <spPr>
            <a:ln xmlns:a="http://schemas.openxmlformats.org/drawingml/2006/main">
              <a:solidFill>
                <a:srgbClr val="9DC3E6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val>
            <numRef>
              <f>'Capture Price Inputs'!$I$2:$I$85</f>
              <numCache>
                <formatCode>General</formatCode>
                <ptCount val="84"/>
                <pt idx="12">
                  <v>29.86213642213642</v>
                </pt>
                <pt idx="13">
                  <v>23.55551782972189</v>
                </pt>
                <pt idx="14">
                  <v>17.14905069226102</v>
                </pt>
                <pt idx="15">
                  <v>13.25252312836708</v>
                </pt>
                <pt idx="16">
                  <v>18.59404938271605</v>
                </pt>
                <pt idx="17">
                  <v>35.21078005032583</v>
                </pt>
                <pt idx="18">
                  <v>26.450778046867</v>
                </pt>
                <pt idx="19">
                  <v>44.11376501540486</v>
                </pt>
                <pt idx="20">
                  <v>41.85304788087056</v>
                </pt>
                <pt idx="21">
                  <v>33.60087837290333</v>
                </pt>
                <pt idx="22">
                  <v>37.749765625</v>
                </pt>
                <pt idx="23">
                  <v>44.19142857142857</v>
                </pt>
                <pt idx="24">
                  <v>57.07213441008145</v>
                </pt>
                <pt idx="25">
                  <v>52.28508365452458</v>
                </pt>
                <pt idx="26">
                  <v>47.42264301189781</v>
                </pt>
                <pt idx="27">
                  <v>45.90136374824883</v>
                </pt>
                <pt idx="28">
                  <v>50.2587202314608</v>
                </pt>
                <pt idx="29">
                  <v>69.46934165377623</v>
                </pt>
                <pt idx="30">
                  <v>77.93311155139432</v>
                </pt>
                <pt idx="31">
                  <v>84.51274769025703</v>
                </pt>
                <pt idx="32">
                  <v>118.7457227855615</v>
                </pt>
                <pt idx="33">
                  <v>122.3841235967906</v>
                </pt>
                <pt idx="34">
                  <v>153.6267942781575</v>
                </pt>
                <pt idx="35">
                  <v>244.4872785976441</v>
                </pt>
                <pt idx="36">
                  <v>129.6774902315082</v>
                </pt>
                <pt idx="37">
                  <v>108.8033389925641</v>
                </pt>
                <pt idx="38">
                  <v>186.0504424586062</v>
                </pt>
                <pt idx="39">
                  <v>143.5375888642185</v>
                </pt>
                <pt idx="40">
                  <v>146.2536023446033</v>
                </pt>
                <pt idx="41">
                  <v>192.2325905808319</v>
                </pt>
                <pt idx="42">
                  <v>212.3625858003895</v>
                </pt>
                <pt idx="43">
                  <v>397.1798848597606</v>
                </pt>
                <pt idx="44">
                  <v>315.928842796779</v>
                </pt>
                <pt idx="45">
                  <v>120.1190076327392</v>
                </pt>
                <pt idx="46">
                  <v>134.0399027878758</v>
                </pt>
                <pt idx="47">
                  <v>303.2697848166857</v>
                </pt>
                <pt idx="48">
                  <v>120.8992864784306</v>
                </pt>
                <pt idx="49">
                  <v>103.112625406295</v>
                </pt>
                <pt idx="50">
                  <v>89.0984689216417</v>
                </pt>
                <pt idx="51">
                  <v>71.1250997055942</v>
                </pt>
                <pt idx="52">
                  <v>48.35808379645633</v>
                </pt>
                <pt idx="53">
                  <v>71.8620903722224</v>
                </pt>
                <pt idx="54">
                  <v>50.34596661709235</v>
                </pt>
                <pt idx="55">
                  <v>72.95799234798741</v>
                </pt>
                <pt idx="56">
                  <v>64.3944846724649</v>
                </pt>
                <pt idx="57">
                  <v>47.66025509428685</v>
                </pt>
                <pt idx="58">
                  <v>84.63997860526599</v>
                </pt>
                <pt idx="59">
                  <v>59.06174633307972</v>
                </pt>
                <pt idx="60">
                  <v>76.42720253521921</v>
                </pt>
                <pt idx="61">
                  <v>51.43437919654775</v>
                </pt>
                <pt idx="62">
                  <v>50.75116381305344</v>
                </pt>
                <pt idx="63">
                  <v>47.053967904828</v>
                </pt>
                <pt idx="64">
                  <v>34.29579411369289</v>
                </pt>
                <pt idx="65">
                  <v>46.37938403458337</v>
                </pt>
                <pt idx="66">
                  <v>38.81282196947117</v>
                </pt>
                <pt idx="67">
                  <v>47.15186311829253</v>
                </pt>
                <pt idx="68">
                  <v>43.35594635084219</v>
                </pt>
                <pt idx="69">
                  <v>59.53493763028656</v>
                </pt>
                <pt idx="70">
                  <v>89.61127747791728</v>
                </pt>
                <pt idx="71">
                  <v>100.7961313991171</v>
                </pt>
                <pt idx="72">
                  <v>115.0822593270056</v>
                </pt>
                <pt idx="73">
                  <v>106.9231820731682</v>
                </pt>
                <pt idx="74">
                  <v>50.01806296126875</v>
                </pt>
                <pt idx="75">
                  <v>41.82584156307518</v>
                </pt>
                <pt idx="76">
                  <v>34.32066034459122</v>
                </pt>
                <pt idx="77">
                  <v>24.31568572006325</v>
                </pt>
                <pt idx="78">
                  <v>59.76694388214769</v>
                </pt>
                <pt idx="79">
                  <v>43.06460478354486</v>
                </pt>
                <pt idx="80">
                  <v>52.94940515380836</v>
                </pt>
                <pt idx="81">
                  <v>78.64573032240668</v>
                </pt>
                <pt idx="82">
                  <v>92.69045487153267</v>
                </pt>
                <pt idx="83">
                  <v>79.63122802208366</v>
                </pt>
              </numCache>
            </numRef>
          </val>
          <smooth val="1"/>
        </ser>
        <dLbls>
          <showLegendKey val="0"/>
          <showVal val="0"/>
          <showCatName val="0"/>
          <showSerName val="0"/>
          <showPercent val="0"/>
          <showBubbleSize val="0"/>
        </dLbls>
        <smooth val="0"/>
        <axId val="10"/>
        <axId val="100"/>
      </lineChart>
      <catAx>
        <axId val="10"/>
        <scaling>
          <orientation val="minMax"/>
        </scaling>
        <delete val="1"/>
        <axPos val="b"/>
        <title>
          <tx>
            <rich>
              <a:bodyPr xmlns:a="http://schemas.openxmlformats.org/drawingml/2006/main"/>
              <a:lstStyle xmlns:a="http://schemas.openxmlformats.org/drawingml/2006/main"/>
              <a:p xmlns:a="http://schemas.openxmlformats.org/drawingml/2006/main">
                <a:pPr>
                  <a:defRPr/>
                </a:pPr>
                <a:r>
                  <a:rPr lang="en-GB"/>
                  <a:t>Month</a:t>
                </a:r>
              </a:p>
            </rich>
          </tx>
          <overlay val="1"/>
        </title>
        <majorTickMark val="none"/>
        <minorTickMark val="none"/>
        <tickLblPos val="nextTo"/>
        <crossAx val="100"/>
        <crosses val="autoZero"/>
        <auto val="1"/>
        <lblAlgn val="ctr"/>
        <lblOffset val="100"/>
        <noMultiLvlLbl val="1"/>
      </catAx>
      <valAx>
        <axId val="100"/>
        <scaling>
          <orientation val="minMax"/>
        </scaling>
        <delete val="1"/>
        <axPos val="l"/>
        <majorGridlines/>
        <title>
          <tx>
            <rich>
              <a:bodyPr xmlns:a="http://schemas.openxmlformats.org/drawingml/2006/main"/>
              <a:lstStyle xmlns:a="http://schemas.openxmlformats.org/drawingml/2006/main"/>
              <a:p xmlns:a="http://schemas.openxmlformats.org/drawingml/2006/main">
                <a:pPr>
                  <a:defRPr/>
                </a:pPr>
                <a:r>
                  <a:rPr lang="en-GB"/>
                  <a:t>EUR/MWh</a:t>
                </a:r>
              </a:p>
            </rich>
          </tx>
          <overlay val="1"/>
        </title>
        <numFmt formatCode="General" sourceLinked="1"/>
        <majorTickMark val="none"/>
        <minorTickMark val="none"/>
        <tickLblPos val="nextTo"/>
        <crossAx val="10"/>
        <crosses val="autoZero"/>
        <crossBetween val="between"/>
      </valAx>
    </plotArea>
    <legend>
      <legendPos val="r"/>
      <overlay val="1"/>
    </legend>
    <plotVisOnly val="1"/>
    <dispBlanksAs val="gap"/>
  </chart>
</chartSpace>
</file>

<file path=xl/charts/chart95.xml><?xml version="1.0" encoding="utf-8"?>
<chartSpace xmlns="http://schemas.openxmlformats.org/drawingml/2006/chart">
  <chart>
    <title>
      <tx>
        <rich>
          <a:bodyPr xmlns:a="http://schemas.openxmlformats.org/drawingml/2006/main"/>
          <a:lstStyle xmlns:a="http://schemas.openxmlformats.org/drawingml/2006/main"/>
          <a:p xmlns:a="http://schemas.openxmlformats.org/drawingml/2006/main">
            <a:pPr>
              <a:defRPr/>
            </a:pPr>
            <a:r>
              <a:rPr lang="en-GB"/>
              <a:t>Capture Price Ratio - DK1 Primary | DK2 Robustness</a:t>
            </a:r>
          </a:p>
        </rich>
      </tx>
      <overlay val="1"/>
    </title>
    <plotArea>
      <layout/>
      <lineChart>
        <grouping val="standard"/>
        <varyColors val="1"/>
        <ser>
          <idx val="0"/>
          <order val="0"/>
          <tx>
            <strRef>
              <f>'Capture Price Inputs'!$J$1</f>
              <strCache>
                <ptCount val="1"/>
                <pt idx="0">
                  <v>DK1 CPR — Primary</v>
                </pt>
              </strCache>
            </strRef>
          </tx>
          <spPr>
            <a:ln xmlns:a="http://schemas.openxmlformats.org/drawingml/2006/main">
              <a:solidFill>
                <a:srgbClr val="2E75B6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val>
            <numRef>
              <f>'Capture Price Inputs'!$J$2:$J$85</f>
              <numCache>
                <formatCode>General</formatCode>
                <ptCount val="84"/>
                <pt idx="12">
                  <v>1.009148659447442</v>
                </pt>
                <pt idx="13">
                  <v>1.298591168695051</v>
                </pt>
                <pt idx="14">
                  <v>0.8710146939215303</v>
                </pt>
                <pt idx="15">
                  <v>0.7131577255881921</v>
                </pt>
                <pt idx="16">
                  <v>0.9641557693120565</v>
                </pt>
                <pt idx="17">
                  <v>1.039466413731094</v>
                </pt>
                <pt idx="18">
                  <v>1.008618155660831</v>
                </pt>
                <pt idx="19">
                  <v>0.9808226440750074</v>
                </pt>
                <pt idx="20">
                  <v>1.010404486913005</v>
                </pt>
                <pt idx="21">
                  <v>1.236802226812374</v>
                </pt>
                <pt idx="22">
                  <v>1.094777917215692</v>
                </pt>
                <pt idx="23">
                  <v>1.008230164182662</v>
                </pt>
                <pt idx="24">
                  <v>1.103930861568265</v>
                </pt>
                <pt idx="25">
                  <v>1.005947927705425</v>
                </pt>
                <pt idx="26">
                  <v>0.9871758725122356</v>
                </pt>
                <pt idx="27">
                  <v>0.9088464745665017</v>
                </pt>
                <pt idx="28">
                  <v>0.8775180518715436</v>
                </pt>
                <pt idx="29">
                  <v>0.9569142795347317</v>
                </pt>
                <pt idx="30">
                  <v>0.9821132371596978</v>
                </pt>
                <pt idx="31">
                  <v>0.9902714780245057</v>
                </pt>
                <pt idx="32">
                  <v>0.9269044048361358</v>
                </pt>
                <pt idx="33">
                  <v>1.081088507413439</v>
                </pt>
                <pt idx="34">
                  <v>1.133803408504466</v>
                </pt>
                <pt idx="35">
                  <v>1.208676962454928</v>
                </pt>
                <pt idx="36">
                  <v>1.044125730427727</v>
                </pt>
                <pt idx="37">
                  <v>1.04022281700981</v>
                </pt>
                <pt idx="38">
                  <v>0.8120775904420741</v>
                </pt>
                <pt idx="39">
                  <v>0.8903913338467833</v>
                </pt>
                <pt idx="40">
                  <v>0.8694301605049858</v>
                </pt>
                <pt idx="41">
                  <v>0.9080390201234191</v>
                </pt>
                <pt idx="42">
                  <v>0.8704179159294955</v>
                </pt>
                <pt idx="43">
                  <v>0.9190855304670003</v>
                </pt>
                <pt idx="44">
                  <v>0.9063290180568312</v>
                </pt>
                <pt idx="45">
                  <v>0.9161232525396177</v>
                </pt>
                <pt idx="46">
                  <v>0.9427861207466001</v>
                </pt>
                <pt idx="47">
                  <v>1.132810339248927</v>
                </pt>
                <pt idx="48">
                  <v>1.230919869122654</v>
                </pt>
                <pt idx="49">
                  <v>0.93008781340266</v>
                </pt>
                <pt idx="50">
                  <v>0.9461253975959896</v>
                </pt>
                <pt idx="51">
                  <v>0.7920396612038634</v>
                </pt>
                <pt idx="52">
                  <v>0.6833361056151995</v>
                </pt>
                <pt idx="53">
                  <v>0.8096506208621567</v>
                </pt>
                <pt idx="54">
                  <v>0.8038042195326093</v>
                </pt>
                <pt idx="55">
                  <v>0.8628930977720407</v>
                </pt>
                <pt idx="56">
                  <v>0.8038389922187259</v>
                </pt>
                <pt idx="57">
                  <v>0.8408360556054226</v>
                </pt>
                <pt idx="58">
                  <v>1.028656893611996</v>
                </pt>
                <pt idx="59">
                  <v>0.9132560776287663</v>
                </pt>
                <pt idx="60">
                  <v>1.051614630458469</v>
                </pt>
                <pt idx="61">
                  <v>1.014420829179444</v>
                </pt>
                <pt idx="62">
                  <v>0.8373818542217274</v>
                </pt>
                <pt idx="63">
                  <v>0.8346846016164379</v>
                </pt>
                <pt idx="64">
                  <v>0.6133984536650869</v>
                </pt>
                <pt idx="65">
                  <v>0.7378100322386865</v>
                </pt>
                <pt idx="66">
                  <v>0.685499494870618</v>
                </pt>
                <pt idx="67">
                  <v>0.7151267621934952</v>
                </pt>
                <pt idx="68">
                  <v>0.636525223039573</v>
                </pt>
                <pt idx="69">
                  <v>0.7617518807592967</v>
                </pt>
                <pt idx="70">
                  <v>1.017494003861172</v>
                </pt>
                <pt idx="71">
                  <v>1.002567416041121</v>
                </pt>
                <pt idx="72">
                  <v>1.135032584901597</v>
                </pt>
                <pt idx="73">
                  <v>0.9341166514187298</v>
                </pt>
                <pt idx="74">
                  <v>0.6857908168802248</v>
                </pt>
                <pt idx="75">
                  <v>0.609953535618325</v>
                </pt>
                <pt idx="76">
                  <v>0.6237511742318941</v>
                </pt>
                <pt idx="77">
                  <v>0.569764321286333</v>
                </pt>
                <pt idx="78">
                  <v>0.7405896710838001</v>
                </pt>
                <pt idx="79">
                  <v>0.6499711234459455</v>
                </pt>
                <pt idx="80">
                  <v>0.6827347489865859</v>
                </pt>
                <pt idx="81">
                  <v>0.9470151719348058</v>
                </pt>
                <pt idx="82">
                  <v>1.028976430956097</v>
                </pt>
                <pt idx="83">
                  <v>0.9820538861792604</v>
                </pt>
              </numCache>
            </numRef>
          </val>
          <smooth val="1"/>
        </ser>
        <ser>
          <idx val="1"/>
          <order val="1"/>
          <tx>
            <strRef>
              <f>'Capture Price Inputs'!$K$1</f>
              <strCache>
                <ptCount val="1"/>
                <pt idx="0">
                  <v>DK2 CPR — Robustness</v>
                </pt>
              </strCache>
            </strRef>
          </tx>
          <spPr>
            <a:ln xmlns:a="http://schemas.openxmlformats.org/drawingml/2006/main">
              <a:solidFill>
                <a:srgbClr val="9DC3E6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val>
            <numRef>
              <f>'Capture Price Inputs'!$K$2:$K$85</f>
              <numCache>
                <formatCode>General</formatCode>
                <ptCount val="84"/>
                <pt idx="12">
                  <v>1.090446324793763</v>
                </pt>
                <pt idx="13">
                  <v>1.251821301318464</v>
                </pt>
                <pt idx="14">
                  <v>0.8552077585127711</v>
                </pt>
                <pt idx="15">
                  <v>0.763620235478716</v>
                </pt>
                <pt idx="16">
                  <v>0.9763693823354528</v>
                </pt>
                <pt idx="17">
                  <v>1.180647007173951</v>
                </pt>
                <pt idx="18">
                  <v>1.021791049952987</v>
                </pt>
                <pt idx="19">
                  <v>1.077948442472481</v>
                </pt>
                <pt idx="20">
                  <v>1.059189092335807</v>
                </pt>
                <pt idx="21">
                  <v>1.247549053102559</v>
                </pt>
                <pt idx="22">
                  <v>1.057080411727209</v>
                </pt>
                <pt idx="23">
                  <v>1.125691191699302</v>
                </pt>
                <pt idx="24">
                  <v>1.122164979814525</v>
                </pt>
                <pt idx="25">
                  <v>0.9585139857498034</v>
                </pt>
                <pt idx="26">
                  <v>1.014774172650395</v>
                </pt>
                <pt idx="27">
                  <v>0.9590164366476613</v>
                </pt>
                <pt idx="28">
                  <v>0.9103388736117121</v>
                </pt>
                <pt idx="29">
                  <v>0.9440449187481634</v>
                </pt>
                <pt idx="30">
                  <v>0.9569285690465077</v>
                </pt>
                <pt idx="31">
                  <v>1.001768528067071</v>
                </pt>
                <pt idx="32">
                  <v>0.9583833699094481</v>
                </pt>
                <pt idx="33">
                  <v>1.144501265847132</v>
                </pt>
                <pt idx="34">
                  <v>1.126460857141801</v>
                </pt>
                <pt idx="35">
                  <v>1.279578427053047</v>
                </pt>
                <pt idx="36">
                  <v>1.161754652341282</v>
                </pt>
                <pt idx="37">
                  <v>1.084871924613185</v>
                </pt>
                <pt idx="38">
                  <v>0.8162958275837114</v>
                </pt>
                <pt idx="39">
                  <v>0.9391804877392103</v>
                </pt>
                <pt idx="40">
                  <v>0.8991456314331195</v>
                </pt>
                <pt idx="41">
                  <v>0.9015136745747578</v>
                </pt>
                <pt idx="42">
                  <v>0.909562444967756</v>
                </pt>
                <pt idx="43">
                  <v>0.8830756108422062</v>
                </pt>
                <pt idx="44">
                  <v>0.9608536982958826</v>
                </pt>
                <pt idx="45">
                  <v>0.8774354195736861</v>
                </pt>
                <pt idx="46">
                  <v>0.9240447439178995</v>
                </pt>
                <pt idx="47">
                  <v>1.218528056069729</v>
                </pt>
                <pt idx="48">
                  <v>1.21186632363043</v>
                </pt>
                <pt idx="49">
                  <v>1.024478122815962</v>
                </pt>
                <pt idx="50">
                  <v>0.992236312197012</v>
                </pt>
                <pt idx="51">
                  <v>0.8502587347820391</v>
                </pt>
                <pt idx="52">
                  <v>0.7310174827054021</v>
                </pt>
                <pt idx="53">
                  <v>0.7860381991736552</v>
                </pt>
                <pt idx="54">
                  <v>0.7717034871247128</v>
                </pt>
                <pt idx="55">
                  <v>0.8454610410569836</v>
                </pt>
                <pt idx="56">
                  <v>0.7532917330845335</v>
                </pt>
                <pt idx="57">
                  <v>0.837234490334641</v>
                </pt>
                <pt idx="58">
                  <v>1.038705241708771</v>
                </pt>
                <pt idx="59">
                  <v>0.8332670757562848</v>
                </pt>
                <pt idx="60">
                  <v>0.977144875107929</v>
                </pt>
                <pt idx="61">
                  <v>0.9399172603334611</v>
                </pt>
                <pt idx="62">
                  <v>0.8314293202728863</v>
                </pt>
                <pt idx="63">
                  <v>0.7780510745637418</v>
                </pt>
                <pt idx="64">
                  <v>0.5900556342707577</v>
                </pt>
                <pt idx="65">
                  <v>0.6943958569114143</v>
                </pt>
                <pt idx="66">
                  <v>0.6176283845394642</v>
                </pt>
                <pt idx="67">
                  <v>0.6493471479229646</v>
                </pt>
                <pt idx="68">
                  <v>0.6157480113547513</v>
                </pt>
                <pt idx="69">
                  <v>0.7800073506793195</v>
                </pt>
                <pt idx="70">
                  <v>0.9404779955101509</v>
                </pt>
                <pt idx="71">
                  <v>1.087006718547946</v>
                </pt>
                <pt idx="72">
                  <v>1.149400364807902</v>
                </pt>
                <pt idx="73">
                  <v>0.9066238427133391</v>
                </pt>
                <pt idx="74">
                  <v>0.603741164715803</v>
                </pt>
                <pt idx="75">
                  <v>0.5517436798810373</v>
                </pt>
                <pt idx="76">
                  <v>0.544059463307295</v>
                </pt>
                <pt idx="77">
                  <v>0.4307606652121766</v>
                </pt>
                <pt idx="78">
                  <v>0.7474634186196619</v>
                </pt>
                <pt idx="79">
                  <v>0.5717894234335987</v>
                </pt>
                <pt idx="80">
                  <v>0.635731600833678</v>
                </pt>
                <pt idx="81">
                  <v>0.9548084008156305</v>
                </pt>
                <pt idx="82">
                  <v>0.9892725129496999</v>
                </pt>
                <pt idx="83">
                  <v>0.9701479625359415</v>
                </pt>
              </numCache>
            </numRef>
          </val>
          <smooth val="1"/>
        </ser>
        <dLbls>
          <showLegendKey val="0"/>
          <showVal val="0"/>
          <showCatName val="0"/>
          <showSerName val="0"/>
          <showPercent val="0"/>
          <showBubbleSize val="0"/>
        </dLbls>
        <smooth val="0"/>
        <axId val="10"/>
        <axId val="100"/>
      </lineChart>
      <catAx>
        <axId val="10"/>
        <scaling>
          <orientation val="minMax"/>
        </scaling>
        <delete val="1"/>
        <axPos val="b"/>
        <title>
          <tx>
            <rich>
              <a:bodyPr xmlns:a="http://schemas.openxmlformats.org/drawingml/2006/main"/>
              <a:lstStyle xmlns:a="http://schemas.openxmlformats.org/drawingml/2006/main"/>
              <a:p xmlns:a="http://schemas.openxmlformats.org/drawingml/2006/main">
                <a:pPr>
                  <a:defRPr/>
                </a:pPr>
                <a:r>
                  <a:rPr lang="en-GB"/>
                  <a:t>Month</a:t>
                </a:r>
              </a:p>
            </rich>
          </tx>
          <overlay val="1"/>
        </title>
        <majorTickMark val="none"/>
        <minorTickMark val="none"/>
        <tickLblPos val="nextTo"/>
        <crossAx val="100"/>
        <crosses val="autoZero"/>
        <auto val="1"/>
        <lblAlgn val="ctr"/>
        <lblOffset val="100"/>
        <noMultiLvlLbl val="1"/>
      </catAx>
      <valAx>
        <axId val="100"/>
        <scaling>
          <orientation val="minMax"/>
        </scaling>
        <delete val="1"/>
        <axPos val="l"/>
        <majorGridlines/>
        <title>
          <tx>
            <rich>
              <a:bodyPr xmlns:a="http://schemas.openxmlformats.org/drawingml/2006/main"/>
              <a:lstStyle xmlns:a="http://schemas.openxmlformats.org/drawingml/2006/main"/>
              <a:p xmlns:a="http://schemas.openxmlformats.org/drawingml/2006/main">
                <a:pPr>
                  <a:defRPr/>
                </a:pPr>
                <a:r>
                  <a:rPr lang="en-GB"/>
                  <a:t>CPR</a:t>
                </a:r>
              </a:p>
            </rich>
          </tx>
          <overlay val="1"/>
        </title>
        <numFmt formatCode="General" sourceLinked="1"/>
        <majorTickMark val="none"/>
        <minorTickMark val="none"/>
        <tickLblPos val="nextTo"/>
        <crossAx val="10"/>
        <crosses val="autoZero"/>
        <crossBetween val="between"/>
      </valAx>
    </plotArea>
    <legend>
      <legendPos val="r"/>
      <overlay val="1"/>
    </legend>
    <plotVisOnly val="1"/>
    <dispBlanksAs val="gap"/>
  </chart>
</chartSpace>
</file>

<file path=xl/charts/chart96.xml><?xml version="1.0" encoding="utf-8"?>
<chartSpace xmlns="http://schemas.openxmlformats.org/drawingml/2006/chart">
  <chart>
    <title>
      <tx>
        <rich>
          <a:bodyPr xmlns:a="http://schemas.openxmlformats.org/drawingml/2006/main"/>
          <a:lstStyle xmlns:a="http://schemas.openxmlformats.org/drawingml/2006/main"/>
          <a:p xmlns:a="http://schemas.openxmlformats.org/drawingml/2006/main">
            <a:pPr>
              <a:defRPr/>
            </a:pPr>
            <a:r>
              <a:rPr lang="en-GB"/>
              <a:t>Solar Penetration - DK1 Primary | DK2 Robustness</a:t>
            </a:r>
          </a:p>
        </rich>
      </tx>
      <overlay val="1"/>
    </title>
    <plotArea>
      <layout/>
      <lineChart>
        <grouping val="standard"/>
        <varyColors val="1"/>
        <ser>
          <idx val="0"/>
          <order val="0"/>
          <tx>
            <strRef>
              <f>'Capture Price Inputs'!$F$1</f>
              <strCache>
                <ptCount val="1"/>
                <pt idx="0">
                  <v>DK1 Solar Penetration (%) — Primary</v>
                </pt>
              </strCache>
            </strRef>
          </tx>
          <spPr>
            <a:ln xmlns:a="http://schemas.openxmlformats.org/drawingml/2006/main">
              <a:solidFill>
                <a:srgbClr val="FF8C00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val>
            <numRef>
              <f>'Capture Price Inputs'!$F$2:$F$85</f>
              <numCache>
                <formatCode>General</formatCode>
                <ptCount val="84"/>
                <pt idx="0">
                  <v>0</v>
                </pt>
                <pt idx="1">
                  <v>0</v>
                </pt>
                <pt idx="2">
                  <v>0</v>
                </pt>
                <pt idx="3">
                  <v>0</v>
                </pt>
                <pt idx="4">
                  <v>0</v>
                </pt>
                <pt idx="5">
                  <v>0</v>
                </pt>
                <pt idx="6">
                  <v>0</v>
                </pt>
                <pt idx="7">
                  <v>0</v>
                </pt>
                <pt idx="8">
                  <v>0</v>
                </pt>
                <pt idx="9">
                  <v>0</v>
                </pt>
                <pt idx="10">
                  <v>0</v>
                </pt>
                <pt idx="11">
                  <v>0</v>
                </pt>
                <pt idx="12">
                  <v>0.002264447892629483</v>
                </pt>
                <pt idx="13">
                  <v>0.005247452024482245</v>
                </pt>
                <pt idx="14">
                  <v>0.02020167759412729</v>
                </pt>
                <pt idx="15">
                  <v>0.0324279896123047</v>
                </pt>
                <pt idx="16">
                  <v>0.03608008723790357</v>
                </pt>
                <pt idx="17">
                  <v>0.03741361883164089</v>
                </pt>
                <pt idx="18">
                  <v>0.03399843385950392</v>
                </pt>
                <pt idx="19">
                  <v>0.03422476314253766</v>
                </pt>
                <pt idx="20">
                  <v>0.02433015193915724</v>
                </pt>
                <pt idx="21">
                  <v>0.01149038754944678</v>
                </pt>
                <pt idx="22">
                  <v>0.0001521101274151999</v>
                </pt>
                <pt idx="23">
                  <v>1.472410662127807e-05</v>
                </pt>
                <pt idx="24">
                  <v>0.003631355999035091</v>
                </pt>
                <pt idx="25">
                  <v>0.0108689417180573</v>
                </pt>
                <pt idx="26">
                  <v>0.02238230390737163</v>
                </pt>
                <pt idx="27">
                  <v>0.04212837115783985</v>
                </pt>
                <pt idx="28">
                  <v>0.03307505221196035</v>
                </pt>
                <pt idx="29">
                  <v>0.04984166182181952</v>
                </pt>
                <pt idx="30">
                  <v>0.0485715434854639</v>
                </pt>
                <pt idx="31">
                  <v>0.0388769479447087</v>
                </pt>
                <pt idx="32">
                  <v>0.02593285017943629</v>
                </pt>
                <pt idx="33">
                  <v>0.01746009643148906</v>
                </pt>
                <pt idx="34">
                  <v>0.007029306005813504</v>
                </pt>
                <pt idx="35">
                  <v>0.003243365391886713</v>
                </pt>
                <pt idx="36">
                  <v>0.006675315547248087</v>
                </pt>
                <pt idx="37">
                  <v>0.0173995712330029</v>
                </pt>
                <pt idx="38">
                  <v>0.06195507058644287</v>
                </pt>
                <pt idx="39">
                  <v>0.08404056603836467</v>
                </pt>
                <pt idx="40">
                  <v>0.09687689142031611</v>
                </pt>
                <pt idx="41">
                  <v>0.09496202074431148</v>
                </pt>
                <pt idx="42">
                  <v>0.09963556652585577</v>
                </pt>
                <pt idx="43">
                  <v>0.08962697832526678</v>
                </pt>
                <pt idx="44">
                  <v>0.06604649859170474</v>
                </pt>
                <pt idx="45">
                  <v>0.03746941447765471</v>
                </pt>
                <pt idx="46">
                  <v>0.01046932675470221</v>
                </pt>
                <pt idx="47">
                  <v>0.006229164645196865</v>
                </pt>
                <pt idx="48">
                  <v>0.01246069427686292</v>
                </pt>
                <pt idx="49">
                  <v>0.03437640419176364</v>
                </pt>
                <pt idx="50">
                  <v>0.05647796857705859</v>
                </pt>
                <pt idx="51">
                  <v>0.1509467292684683</v>
                </pt>
                <pt idx="52">
                  <v>0.18600333743842</v>
                </pt>
                <pt idx="53">
                  <v>0.218925737129461</v>
                </pt>
                <pt idx="54">
                  <v>0.1892952405634502</v>
                </pt>
                <pt idx="55">
                  <v>0.1493297980639493</v>
                </pt>
                <pt idx="56">
                  <v>0.1319165438654872</v>
                </pt>
                <pt idx="57">
                  <v>0.0428648864567301</v>
                </pt>
                <pt idx="58">
                  <v>0.01600349353715238</v>
                </pt>
                <pt idx="59">
                  <v>0.006390504672696534</v>
                </pt>
                <pt idx="60">
                  <v>0.01341718605060752</v>
                </pt>
                <pt idx="61">
                  <v>0.0264362238379265</v>
                </pt>
                <pt idx="62">
                  <v>0.06623397340035048</v>
                </pt>
                <pt idx="63">
                  <v>0.1084169878649764</v>
                </pt>
                <pt idx="64">
                  <v>0.1888703164988005</v>
                </pt>
                <pt idx="65">
                  <v>0.1715230569234828</v>
                </pt>
                <pt idx="66">
                  <v>0.1809062055635286</v>
                </pt>
                <pt idx="67">
                  <v>0.155121531117258</v>
                </pt>
                <pt idx="68">
                  <v>0.1275567235314205</v>
                </pt>
                <pt idx="69">
                  <v>0.06287376784741511</v>
                </pt>
                <pt idx="70">
                  <v>0.01780902737610289</v>
                </pt>
                <pt idx="71">
                  <v>0.006785797568345668</v>
                </pt>
                <pt idx="72">
                  <v>0.01366055484422285</v>
                </pt>
                <pt idx="73">
                  <v>0.04341993481717769</v>
                </pt>
                <pt idx="74">
                  <v>0.1120694547038418</v>
                </pt>
                <pt idx="75">
                  <v>0.1482754875605271</v>
                </pt>
                <pt idx="76">
                  <v>0.1924446817596716</v>
                </pt>
                <pt idx="77">
                  <v>0.1878482923852328</v>
                </pt>
                <pt idx="78">
                  <v>0.2182818884824121</v>
                </pt>
                <pt idx="79">
                  <v>0.1901168401280812</v>
                </pt>
                <pt idx="80">
                  <v>0.1381615272451792</v>
                </pt>
                <pt idx="81">
                  <v>0.06946207120205163</v>
                </pt>
                <pt idx="82">
                  <v>0.02660497040214753</v>
                </pt>
                <pt idx="83">
                  <v>0.0140253486520015</v>
                </pt>
              </numCache>
            </numRef>
          </val>
          <smooth val="1"/>
        </ser>
        <ser>
          <idx val="1"/>
          <order val="1"/>
          <tx>
            <strRef>
              <f>'Capture Price Inputs'!$G$1</f>
              <strCache>
                <ptCount val="1"/>
                <pt idx="0">
                  <v>DK2 Solar Penetration (%) — Robustness</v>
                </pt>
              </strCache>
            </strRef>
          </tx>
          <spPr>
            <a:ln xmlns:a="http://schemas.openxmlformats.org/drawingml/2006/main">
              <a:solidFill>
                <a:srgbClr val="FFD700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val>
            <numRef>
              <f>'Capture Price Inputs'!$G$2:$G$85</f>
              <numCache>
                <formatCode>General</formatCode>
                <ptCount val="84"/>
                <pt idx="0">
                  <v>0</v>
                </pt>
                <pt idx="1">
                  <v>0</v>
                </pt>
                <pt idx="2">
                  <v>0</v>
                </pt>
                <pt idx="3">
                  <v>0</v>
                </pt>
                <pt idx="4">
                  <v>0</v>
                </pt>
                <pt idx="5">
                  <v>0</v>
                </pt>
                <pt idx="6">
                  <v>0</v>
                </pt>
                <pt idx="7">
                  <v>0</v>
                </pt>
                <pt idx="8">
                  <v>0</v>
                </pt>
                <pt idx="9">
                  <v>0</v>
                </pt>
                <pt idx="10">
                  <v>0</v>
                </pt>
                <pt idx="11">
                  <v>0</v>
                </pt>
                <pt idx="12">
                  <v>0.001864323044087839</v>
                </pt>
                <pt idx="13">
                  <v>0.004961339344807235</v>
                </pt>
                <pt idx="14">
                  <v>0.01532033335337761</v>
                </pt>
                <pt idx="15">
                  <v>0.02618059513454593</v>
                </pt>
                <pt idx="16">
                  <v>0.03224093077416624</v>
                </pt>
                <pt idx="17">
                  <v>0.03065181208815584</v>
                </pt>
                <pt idx="18">
                  <v>0.02998206800974695</v>
                </pt>
                <pt idx="19">
                  <v>0.02803471341430708</v>
                </pt>
                <pt idx="20">
                  <v>0.02173647910159525</v>
                </pt>
                <pt idx="21">
                  <v>0.01107911770574695</v>
                </pt>
                <pt idx="22">
                  <v>0.0001104461157833284</v>
                </pt>
                <pt idx="23">
                  <v>5.635243358406259e-06</v>
                </pt>
                <pt idx="24">
                  <v>0.003104474131982996</v>
                </pt>
                <pt idx="25">
                  <v>0.009248336948772359</v>
                </pt>
                <pt idx="26">
                  <v>0.01847451704521283</v>
                </pt>
                <pt idx="27">
                  <v>0.03269440748331279</v>
                </pt>
                <pt idx="28">
                  <v>0.03294582929454019</v>
                </pt>
                <pt idx="29">
                  <v>0.04448013314005607</v>
                </pt>
                <pt idx="30">
                  <v>0.03704954253730217</v>
                </pt>
                <pt idx="31">
                  <v>0.03185776883426199</v>
                </pt>
                <pt idx="32">
                  <v>0.0223981137027396</v>
                </pt>
                <pt idx="33">
                  <v>0.01267326343754744</v>
                </pt>
                <pt idx="34">
                  <v>0.004013281085791027</v>
                </pt>
                <pt idx="35">
                  <v>0.001822629583826099</v>
                </pt>
                <pt idx="36">
                  <v>0.004939556742877535</v>
                </pt>
                <pt idx="37">
                  <v>0.01324848558669828</v>
                </pt>
                <pt idx="38">
                  <v>0.03408933034912105</v>
                </pt>
                <pt idx="39">
                  <v>0.05525443609957865</v>
                </pt>
                <pt idx="40">
                  <v>0.06581145996085939</v>
                </pt>
                <pt idx="41">
                  <v>0.06452822904586782</v>
                </pt>
                <pt idx="42">
                  <v>0.06702580380195292</v>
                </pt>
                <pt idx="43">
                  <v>0.06129992439719582</v>
                </pt>
                <pt idx="44">
                  <v>0.04578427610350702</v>
                </pt>
                <pt idx="45">
                  <v>0.0298090580270354</v>
                </pt>
                <pt idx="46">
                  <v>0.007865295261900549</v>
                </pt>
                <pt idx="47">
                  <v>0.004532355552973548</v>
                </pt>
                <pt idx="48">
                  <v>0.005862652723136608</v>
                </pt>
                <pt idx="49">
                  <v>0.01887764841837355</v>
                </pt>
                <pt idx="50">
                  <v>0.03709622939200571</v>
                </pt>
                <pt idx="51">
                  <v>0.08026996603382495</v>
                </pt>
                <pt idx="52">
                  <v>0.1080032082802261</v>
                </pt>
                <pt idx="53">
                  <v>0.1144244665352921</v>
                </pt>
                <pt idx="54">
                  <v>0.1020307450715976</v>
                </pt>
                <pt idx="55">
                  <v>0.07793101053296771</v>
                </pt>
                <pt idx="56">
                  <v>0.08090995463931874</v>
                </pt>
                <pt idx="57">
                  <v>0.02917234021559438</v>
                </pt>
                <pt idx="58">
                  <v>0.0104098691216888</v>
                </pt>
                <pt idx="59">
                  <v>0.003809030164374855</v>
                </pt>
                <pt idx="60">
                  <v>0.006178183072975508</v>
                </pt>
                <pt idx="61">
                  <v>0.01667231366864759</v>
                </pt>
                <pt idx="62">
                  <v>0.04111280636733766</v>
                </pt>
                <pt idx="63">
                  <v>0.06512337874480645</v>
                </pt>
                <pt idx="64">
                  <v>0.106315341440858</v>
                </pt>
                <pt idx="65">
                  <v>0.1072729076610999</v>
                </pt>
                <pt idx="66">
                  <v>0.1057942634887733</v>
                </pt>
                <pt idx="67">
                  <v>0.0936908322687052</v>
                </pt>
                <pt idx="68">
                  <v>0.07246320282040017</v>
                </pt>
                <pt idx="69">
                  <v>0.03614525389237988</v>
                </pt>
                <pt idx="70">
                  <v>0.008602841405423608</v>
                </pt>
                <pt idx="71">
                  <v>0.004171468465776758</v>
                </pt>
                <pt idx="72">
                  <v>0.007223240212576967</v>
                </pt>
                <pt idx="73">
                  <v>0.02010831138567791</v>
                </pt>
                <pt idx="74">
                  <v>0.04654786644745259</v>
                </pt>
                <pt idx="75">
                  <v>0.07168978364906199</v>
                </pt>
                <pt idx="76">
                  <v>0.09471412725623395</v>
                </pt>
                <pt idx="77">
                  <v>0.09982625001551076</v>
                </pt>
                <pt idx="78">
                  <v>0.09399641941869914</v>
                </pt>
                <pt idx="79">
                  <v>0.1057378118957395</v>
                </pt>
                <pt idx="80">
                  <v>0.09062887968652376</v>
                </pt>
                <pt idx="81">
                  <v>0.03957312567862663</v>
                </pt>
                <pt idx="82">
                  <v>0.01454364344794783</v>
                </pt>
                <pt idx="83">
                  <v>0.00906949116088333</v>
                </pt>
              </numCache>
            </numRef>
          </val>
          <smooth val="1"/>
        </ser>
        <dLbls>
          <showLegendKey val="0"/>
          <showVal val="0"/>
          <showCatName val="0"/>
          <showSerName val="0"/>
          <showPercent val="0"/>
          <showBubbleSize val="0"/>
        </dLbls>
        <smooth val="0"/>
        <axId val="10"/>
        <axId val="100"/>
      </lineChart>
      <catAx>
        <axId val="10"/>
        <scaling>
          <orientation val="minMax"/>
        </scaling>
        <delete val="1"/>
        <axPos val="b"/>
        <title>
          <tx>
            <rich>
              <a:bodyPr xmlns:a="http://schemas.openxmlformats.org/drawingml/2006/main"/>
              <a:lstStyle xmlns:a="http://schemas.openxmlformats.org/drawingml/2006/main"/>
              <a:p xmlns:a="http://schemas.openxmlformats.org/drawingml/2006/main">
                <a:pPr>
                  <a:defRPr/>
                </a:pPr>
                <a:r>
                  <a:rPr lang="en-GB"/>
                  <a:t>Month</a:t>
                </a:r>
              </a:p>
            </rich>
          </tx>
          <overlay val="1"/>
        </title>
        <majorTickMark val="none"/>
        <minorTickMark val="none"/>
        <tickLblPos val="nextTo"/>
        <crossAx val="100"/>
        <crosses val="autoZero"/>
        <auto val="1"/>
        <lblAlgn val="ctr"/>
        <lblOffset val="100"/>
        <noMultiLvlLbl val="1"/>
      </catAx>
      <valAx>
        <axId val="100"/>
        <scaling>
          <orientation val="minMax"/>
        </scaling>
        <delete val="1"/>
        <axPos val="l"/>
        <majorGridlines/>
        <title>
          <tx>
            <rich>
              <a:bodyPr xmlns:a="http://schemas.openxmlformats.org/drawingml/2006/main"/>
              <a:lstStyle xmlns:a="http://schemas.openxmlformats.org/drawingml/2006/main"/>
              <a:p xmlns:a="http://schemas.openxmlformats.org/drawingml/2006/main">
                <a:pPr>
                  <a:defRPr/>
                </a:pPr>
                <a:r>
                  <a:rPr lang="en-GB"/>
                  <a:t>Solar Penetration (%)</a:t>
                </a:r>
              </a:p>
            </rich>
          </tx>
          <overlay val="1"/>
        </title>
        <numFmt formatCode="General" sourceLinked="1"/>
        <majorTickMark val="none"/>
        <minorTickMark val="none"/>
        <tickLblPos val="nextTo"/>
        <crossAx val="10"/>
        <crosses val="autoZero"/>
        <crossBetween val="between"/>
      </valAx>
    </plotArea>
    <legend>
      <legendPos val="r"/>
      <overlay val="1"/>
    </legend>
    <plotVisOnly val="1"/>
    <dispBlanksAs val="gap"/>
  </chart>
</chartSpace>
</file>

<file path=xl/charts/chart97.xml><?xml version="1.0" encoding="utf-8"?>
<chartSpace xmlns="http://schemas.openxmlformats.org/drawingml/2006/chart">
  <chart>
    <title>
      <tx>
        <rich>
          <a:bodyPr xmlns:a="http://schemas.openxmlformats.org/drawingml/2006/main"/>
          <a:lstStyle xmlns:a="http://schemas.openxmlformats.org/drawingml/2006/main"/>
          <a:p xmlns:a="http://schemas.openxmlformats.org/drawingml/2006/main">
            <a:pPr>
              <a:defRPr/>
            </a:pPr>
            <a:r>
              <a:rPr lang="en-GB"/>
              <a:t>Capture Price - DK1 Primary | DK2 Robustness</a:t>
            </a:r>
          </a:p>
        </rich>
      </tx>
      <overlay val="1"/>
    </title>
    <plotArea>
      <layout/>
      <lineChart>
        <grouping val="standard"/>
        <varyColors val="1"/>
        <ser>
          <idx val="0"/>
          <order val="0"/>
          <tx>
            <strRef>
              <f>'Capture Price Inputs'!$H$1</f>
              <strCache>
                <ptCount val="1"/>
                <pt idx="0">
                  <v>DK1 Capture Price (EUR/MWh) — Primary</v>
                </pt>
              </strCache>
            </strRef>
          </tx>
          <spPr>
            <a:ln xmlns:a="http://schemas.openxmlformats.org/drawingml/2006/main">
              <a:solidFill>
                <a:srgbClr val="2E75B6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val>
            <numRef>
              <f>'Capture Price Inputs'!$H$2:$H$85</f>
              <numCache>
                <formatCode>General</formatCode>
                <ptCount val="84"/>
                <pt idx="12">
                  <v>25.22320957280251</v>
                </pt>
                <pt idx="13">
                  <v>22.83581899109792</v>
                </pt>
                <pt idx="14">
                  <v>15.94107348554973</v>
                </pt>
                <pt idx="15">
                  <v>10.36487590420421</v>
                </pt>
                <pt idx="16">
                  <v>15.478548945086</v>
                </pt>
                <pt idx="17">
                  <v>27.31330822786869</v>
                </pt>
                <pt idx="18">
                  <v>24.83174517810916</v>
                </pt>
                <pt idx="19">
                  <v>33.87691542204785</v>
                </pt>
                <pt idx="20">
                  <v>38.93597900337959</v>
                </pt>
                <pt idx="21">
                  <v>31.92774153305919</v>
                </pt>
                <pt idx="22">
                  <v>26.00599326599326</v>
                </pt>
                <pt idx="23">
                  <v>34.79516129032258</v>
                </pt>
                <pt idx="24">
                  <v>55.42296760727792</v>
                </pt>
                <pt idx="25">
                  <v>47.54261097914259</v>
                </pt>
                <pt idx="26">
                  <v>44.55070091580549</v>
                </pt>
                <pt idx="27">
                  <v>43.594739828473</v>
                </pt>
                <pt idx="28">
                  <v>47.65587057500122</v>
                </pt>
                <pt idx="29">
                  <v>70.54354791111106</v>
                </pt>
                <pt idx="30">
                  <v>78.56831974775861</v>
                </pt>
                <pt idx="31">
                  <v>81.98335113640179</v>
                </pt>
                <pt idx="32">
                  <v>116.2002249554484</v>
                </pt>
                <pt idx="33">
                  <v>126.5303952032395</v>
                </pt>
                <pt idx="34">
                  <v>160.7705833010295</v>
                </pt>
                <pt idx="35">
                  <v>228.8621705579358</v>
                </pt>
                <pt idx="36">
                  <v>123.2012506791719</v>
                </pt>
                <pt idx="37">
                  <v>117.67077903546</v>
                </pt>
                <pt idx="38">
                  <v>191.508071735067</v>
                </pt>
                <pt idx="39">
                  <v>145.7013871592604</v>
                </pt>
                <pt idx="40">
                  <v>149.4185612445558</v>
                </pt>
                <pt idx="41">
                  <v>194.7110340948198</v>
                </pt>
                <pt idx="42">
                  <v>239.3981525107354</v>
                </pt>
                <pt idx="43">
                  <v>419.792637226606</v>
                </pt>
                <pt idx="44">
                  <v>310.7073992726671</v>
                </pt>
                <pt idx="45">
                  <v>125.6295598680838</v>
                </pt>
                <pt idx="46">
                  <v>131.7111886265582</v>
                </pt>
                <pt idx="47">
                  <v>282.8237937420726</v>
                </pt>
                <pt idx="48">
                  <v>138.5299886842633</v>
                </pt>
                <pt idx="49">
                  <v>109.8769757213503</v>
                </pt>
                <pt idx="50">
                  <v>93.77419094069538</v>
                </pt>
                <pt idx="51">
                  <v>76.25042822265543</v>
                </pt>
                <pt idx="52">
                  <v>50.54348776008261</v>
                </pt>
                <pt idx="53">
                  <v>74.88898277621806</v>
                </pt>
                <pt idx="54">
                  <v>52.09559943846345</v>
                </pt>
                <pt idx="55">
                  <v>74.18042603997819</v>
                </pt>
                <pt idx="56">
                  <v>68.11686962339694</v>
                </pt>
                <pt idx="57">
                  <v>50.53909051970285</v>
                </pt>
                <pt idx="58">
                  <v>90.68080556242518</v>
                </pt>
                <pt idx="59">
                  <v>63.45532768878803</v>
                </pt>
                <pt idx="60">
                  <v>78.57131644167831</v>
                </pt>
                <pt idx="61">
                  <v>59.47948676805509</v>
                </pt>
                <pt idx="62">
                  <v>51.26978324155493</v>
                </pt>
                <pt idx="63">
                  <v>49.38394056201121</v>
                </pt>
                <pt idx="64">
                  <v>35.89414827140887</v>
                </pt>
                <pt idx="65">
                  <v>47.03763372739765</v>
                </pt>
                <pt idx="66">
                  <v>42.52177322309952</v>
                </pt>
                <pt idx="67">
                  <v>52.17121747504909</v>
                </pt>
                <pt idx="68">
                  <v>45.64750462621701</v>
                </pt>
                <pt idx="69">
                  <v>58.44158378709199</v>
                </pt>
                <pt idx="70">
                  <v>97.58235261633192</v>
                </pt>
                <pt idx="71">
                  <v>92.07321769383398</v>
                </pt>
                <pt idx="72">
                  <v>111.1945655985155</v>
                </pt>
                <pt idx="73">
                  <v>105.4131597378828</v>
                </pt>
                <pt idx="74">
                  <v>57.84566339627056</v>
                </pt>
                <pt idx="75">
                  <v>45.84439577068735</v>
                </pt>
                <pt idx="76">
                  <v>40.06566739400938</v>
                </pt>
                <pt idx="77">
                  <v>33.4933819651966</v>
                </pt>
                <pt idx="78">
                  <v>61.32224821093979</v>
                </pt>
                <pt idx="79">
                  <v>47.75582456745756</v>
                </pt>
                <pt idx="80">
                  <v>49.42909499605724</v>
                </pt>
                <pt idx="81">
                  <v>74.26663453789526</v>
                </pt>
                <pt idx="82">
                  <v>95.56453180252134</v>
                </pt>
                <pt idx="83">
                  <v>80.95803424278026</v>
                </pt>
              </numCache>
            </numRef>
          </val>
          <smooth val="1"/>
        </ser>
        <ser>
          <idx val="1"/>
          <order val="1"/>
          <tx>
            <strRef>
              <f>'Capture Price Inputs'!$I$1</f>
              <strCache>
                <ptCount val="1"/>
                <pt idx="0">
                  <v>DK2 Capture Price (EUR/MWh) — Robustness</v>
                </pt>
              </strCache>
            </strRef>
          </tx>
          <spPr>
            <a:ln xmlns:a="http://schemas.openxmlformats.org/drawingml/2006/main">
              <a:solidFill>
                <a:srgbClr val="9DC3E6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val>
            <numRef>
              <f>'Capture Price Inputs'!$I$2:$I$85</f>
              <numCache>
                <formatCode>General</formatCode>
                <ptCount val="84"/>
                <pt idx="12">
                  <v>29.86213642213642</v>
                </pt>
                <pt idx="13">
                  <v>23.55551782972189</v>
                </pt>
                <pt idx="14">
                  <v>17.14905069226102</v>
                </pt>
                <pt idx="15">
                  <v>13.25252312836708</v>
                </pt>
                <pt idx="16">
                  <v>18.59404938271605</v>
                </pt>
                <pt idx="17">
                  <v>35.21078005032583</v>
                </pt>
                <pt idx="18">
                  <v>26.450778046867</v>
                </pt>
                <pt idx="19">
                  <v>44.11376501540486</v>
                </pt>
                <pt idx="20">
                  <v>41.85304788087056</v>
                </pt>
                <pt idx="21">
                  <v>33.60087837290333</v>
                </pt>
                <pt idx="22">
                  <v>37.749765625</v>
                </pt>
                <pt idx="23">
                  <v>44.19142857142857</v>
                </pt>
                <pt idx="24">
                  <v>57.07213441008145</v>
                </pt>
                <pt idx="25">
                  <v>52.28508365452458</v>
                </pt>
                <pt idx="26">
                  <v>47.42264301189781</v>
                </pt>
                <pt idx="27">
                  <v>45.90136374824883</v>
                </pt>
                <pt idx="28">
                  <v>50.2587202314608</v>
                </pt>
                <pt idx="29">
                  <v>69.46934165377623</v>
                </pt>
                <pt idx="30">
                  <v>77.93311155139432</v>
                </pt>
                <pt idx="31">
                  <v>84.51274769025703</v>
                </pt>
                <pt idx="32">
                  <v>118.7457227855615</v>
                </pt>
                <pt idx="33">
                  <v>122.3841235967906</v>
                </pt>
                <pt idx="34">
                  <v>153.6267942781575</v>
                </pt>
                <pt idx="35">
                  <v>244.4872785976441</v>
                </pt>
                <pt idx="36">
                  <v>129.6774902315082</v>
                </pt>
                <pt idx="37">
                  <v>108.8033389925641</v>
                </pt>
                <pt idx="38">
                  <v>186.0504424586062</v>
                </pt>
                <pt idx="39">
                  <v>143.5375888642185</v>
                </pt>
                <pt idx="40">
                  <v>146.2536023446033</v>
                </pt>
                <pt idx="41">
                  <v>192.2325905808319</v>
                </pt>
                <pt idx="42">
                  <v>212.3625858003895</v>
                </pt>
                <pt idx="43">
                  <v>397.1798848597606</v>
                </pt>
                <pt idx="44">
                  <v>315.928842796779</v>
                </pt>
                <pt idx="45">
                  <v>120.1190076327392</v>
                </pt>
                <pt idx="46">
                  <v>134.0399027878758</v>
                </pt>
                <pt idx="47">
                  <v>303.2697848166857</v>
                </pt>
                <pt idx="48">
                  <v>120.8992864784306</v>
                </pt>
                <pt idx="49">
                  <v>103.112625406295</v>
                </pt>
                <pt idx="50">
                  <v>89.0984689216417</v>
                </pt>
                <pt idx="51">
                  <v>71.1250997055942</v>
                </pt>
                <pt idx="52">
                  <v>48.35808379645633</v>
                </pt>
                <pt idx="53">
                  <v>71.8620903722224</v>
                </pt>
                <pt idx="54">
                  <v>50.34596661709235</v>
                </pt>
                <pt idx="55">
                  <v>72.95799234798741</v>
                </pt>
                <pt idx="56">
                  <v>64.3944846724649</v>
                </pt>
                <pt idx="57">
                  <v>47.66025509428685</v>
                </pt>
                <pt idx="58">
                  <v>84.63997860526599</v>
                </pt>
                <pt idx="59">
                  <v>59.06174633307972</v>
                </pt>
                <pt idx="60">
                  <v>76.42720253521921</v>
                </pt>
                <pt idx="61">
                  <v>51.43437919654775</v>
                </pt>
                <pt idx="62">
                  <v>50.75116381305344</v>
                </pt>
                <pt idx="63">
                  <v>47.053967904828</v>
                </pt>
                <pt idx="64">
                  <v>34.29579411369289</v>
                </pt>
                <pt idx="65">
                  <v>46.37938403458337</v>
                </pt>
                <pt idx="66">
                  <v>38.81282196947117</v>
                </pt>
                <pt idx="67">
                  <v>47.15186311829253</v>
                </pt>
                <pt idx="68">
                  <v>43.35594635084219</v>
                </pt>
                <pt idx="69">
                  <v>59.53493763028656</v>
                </pt>
                <pt idx="70">
                  <v>89.61127747791728</v>
                </pt>
                <pt idx="71">
                  <v>100.7961313991171</v>
                </pt>
                <pt idx="72">
                  <v>115.0822593270056</v>
                </pt>
                <pt idx="73">
                  <v>106.9231820731682</v>
                </pt>
                <pt idx="74">
                  <v>50.01806296126875</v>
                </pt>
                <pt idx="75">
                  <v>41.82584156307518</v>
                </pt>
                <pt idx="76">
                  <v>34.32066034459122</v>
                </pt>
                <pt idx="77">
                  <v>24.31568572006325</v>
                </pt>
                <pt idx="78">
                  <v>59.76694388214769</v>
                </pt>
                <pt idx="79">
                  <v>43.06460478354486</v>
                </pt>
                <pt idx="80">
                  <v>52.94940515380836</v>
                </pt>
                <pt idx="81">
                  <v>78.64573032240668</v>
                </pt>
                <pt idx="82">
                  <v>92.69045487153267</v>
                </pt>
                <pt idx="83">
                  <v>79.63122802208366</v>
                </pt>
              </numCache>
            </numRef>
          </val>
          <smooth val="1"/>
        </ser>
        <dLbls>
          <showLegendKey val="0"/>
          <showVal val="0"/>
          <showCatName val="0"/>
          <showSerName val="0"/>
          <showPercent val="0"/>
          <showBubbleSize val="0"/>
        </dLbls>
        <smooth val="0"/>
        <axId val="10"/>
        <axId val="100"/>
      </lineChart>
      <catAx>
        <axId val="10"/>
        <scaling>
          <orientation val="minMax"/>
        </scaling>
        <delete val="1"/>
        <axPos val="b"/>
        <title>
          <tx>
            <rich>
              <a:bodyPr xmlns:a="http://schemas.openxmlformats.org/drawingml/2006/main"/>
              <a:lstStyle xmlns:a="http://schemas.openxmlformats.org/drawingml/2006/main"/>
              <a:p xmlns:a="http://schemas.openxmlformats.org/drawingml/2006/main">
                <a:pPr>
                  <a:defRPr/>
                </a:pPr>
                <a:r>
                  <a:rPr lang="en-GB"/>
                  <a:t>Month</a:t>
                </a:r>
              </a:p>
            </rich>
          </tx>
          <overlay val="1"/>
        </title>
        <majorTickMark val="none"/>
        <minorTickMark val="none"/>
        <tickLblPos val="nextTo"/>
        <crossAx val="100"/>
        <crosses val="autoZero"/>
        <auto val="1"/>
        <lblAlgn val="ctr"/>
        <lblOffset val="100"/>
        <noMultiLvlLbl val="1"/>
      </catAx>
      <valAx>
        <axId val="100"/>
        <scaling>
          <orientation val="minMax"/>
        </scaling>
        <delete val="1"/>
        <axPos val="l"/>
        <majorGridlines/>
        <title>
          <tx>
            <rich>
              <a:bodyPr xmlns:a="http://schemas.openxmlformats.org/drawingml/2006/main"/>
              <a:lstStyle xmlns:a="http://schemas.openxmlformats.org/drawingml/2006/main"/>
              <a:p xmlns:a="http://schemas.openxmlformats.org/drawingml/2006/main">
                <a:pPr>
                  <a:defRPr/>
                </a:pPr>
                <a:r>
                  <a:rPr lang="en-GB"/>
                  <a:t>EUR/MWh</a:t>
                </a:r>
              </a:p>
            </rich>
          </tx>
          <overlay val="1"/>
        </title>
        <numFmt formatCode="General" sourceLinked="1"/>
        <majorTickMark val="none"/>
        <minorTickMark val="none"/>
        <tickLblPos val="nextTo"/>
        <crossAx val="10"/>
        <crosses val="autoZero"/>
        <crossBetween val="between"/>
      </valAx>
    </plotArea>
    <legend>
      <legendPos val="r"/>
      <overlay val="1"/>
    </legend>
    <plotVisOnly val="1"/>
    <dispBlanksAs val="gap"/>
  </chart>
</chartSpace>
</file>

<file path=xl/charts/chart98.xml><?xml version="1.0" encoding="utf-8"?>
<chartSpace xmlns="http://schemas.openxmlformats.org/drawingml/2006/chart">
  <chart>
    <title>
      <tx>
        <rich>
          <a:bodyPr xmlns:a="http://schemas.openxmlformats.org/drawingml/2006/main"/>
          <a:lstStyle xmlns:a="http://schemas.openxmlformats.org/drawingml/2006/main"/>
          <a:p xmlns:a="http://schemas.openxmlformats.org/drawingml/2006/main">
            <a:pPr>
              <a:defRPr/>
            </a:pPr>
            <a:r>
              <a:rPr lang="en-GB"/>
              <a:t>Capture Price Ratio - DK1 Primary | DK2 Robustness</a:t>
            </a:r>
          </a:p>
        </rich>
      </tx>
      <overlay val="1"/>
    </title>
    <plotArea>
      <layout/>
      <lineChart>
        <grouping val="standard"/>
        <varyColors val="1"/>
        <ser>
          <idx val="0"/>
          <order val="0"/>
          <tx>
            <strRef>
              <f>'Capture Price Inputs'!$J$1</f>
              <strCache>
                <ptCount val="1"/>
                <pt idx="0">
                  <v>DK1 CPR — Primary</v>
                </pt>
              </strCache>
            </strRef>
          </tx>
          <spPr>
            <a:ln xmlns:a="http://schemas.openxmlformats.org/drawingml/2006/main">
              <a:solidFill>
                <a:srgbClr val="2E75B6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val>
            <numRef>
              <f>'Capture Price Inputs'!$J$2:$J$85</f>
              <numCache>
                <formatCode>General</formatCode>
                <ptCount val="84"/>
                <pt idx="12">
                  <v>1.009148659447442</v>
                </pt>
                <pt idx="13">
                  <v>1.298591168695051</v>
                </pt>
                <pt idx="14">
                  <v>0.8710146939215303</v>
                </pt>
                <pt idx="15">
                  <v>0.7131577255881921</v>
                </pt>
                <pt idx="16">
                  <v>0.9641557693120565</v>
                </pt>
                <pt idx="17">
                  <v>1.039466413731094</v>
                </pt>
                <pt idx="18">
                  <v>1.008618155660831</v>
                </pt>
                <pt idx="19">
                  <v>0.9808226440750074</v>
                </pt>
                <pt idx="20">
                  <v>1.010404486913005</v>
                </pt>
                <pt idx="21">
                  <v>1.236802226812374</v>
                </pt>
                <pt idx="22">
                  <v>1.094777917215692</v>
                </pt>
                <pt idx="23">
                  <v>1.008230164182662</v>
                </pt>
                <pt idx="24">
                  <v>1.103930861568265</v>
                </pt>
                <pt idx="25">
                  <v>1.005947927705425</v>
                </pt>
                <pt idx="26">
                  <v>0.9871758725122356</v>
                </pt>
                <pt idx="27">
                  <v>0.9088464745665017</v>
                </pt>
                <pt idx="28">
                  <v>0.8775180518715436</v>
                </pt>
                <pt idx="29">
                  <v>0.9569142795347317</v>
                </pt>
                <pt idx="30">
                  <v>0.9821132371596978</v>
                </pt>
                <pt idx="31">
                  <v>0.9902714780245057</v>
                </pt>
                <pt idx="32">
                  <v>0.9269044048361358</v>
                </pt>
                <pt idx="33">
                  <v>1.081088507413439</v>
                </pt>
                <pt idx="34">
                  <v>1.133803408504466</v>
                </pt>
                <pt idx="35">
                  <v>1.208676962454928</v>
                </pt>
                <pt idx="36">
                  <v>1.044125730427727</v>
                </pt>
                <pt idx="37">
                  <v>1.04022281700981</v>
                </pt>
                <pt idx="38">
                  <v>0.8120775904420741</v>
                </pt>
                <pt idx="39">
                  <v>0.8903913338467833</v>
                </pt>
                <pt idx="40">
                  <v>0.8694301605049858</v>
                </pt>
                <pt idx="41">
                  <v>0.9080390201234191</v>
                </pt>
                <pt idx="42">
                  <v>0.8704179159294955</v>
                </pt>
                <pt idx="43">
                  <v>0.9190855304670003</v>
                </pt>
                <pt idx="44">
                  <v>0.9063290180568312</v>
                </pt>
                <pt idx="45">
                  <v>0.9161232525396177</v>
                </pt>
                <pt idx="46">
                  <v>0.9427861207466001</v>
                </pt>
                <pt idx="47">
                  <v>1.132810339248927</v>
                </pt>
                <pt idx="48">
                  <v>1.230919869122654</v>
                </pt>
                <pt idx="49">
                  <v>0.93008781340266</v>
                </pt>
                <pt idx="50">
                  <v>0.9461253975959896</v>
                </pt>
                <pt idx="51">
                  <v>0.7920396612038634</v>
                </pt>
                <pt idx="52">
                  <v>0.6833361056151995</v>
                </pt>
                <pt idx="53">
                  <v>0.8096506208621567</v>
                </pt>
                <pt idx="54">
                  <v>0.8038042195326093</v>
                </pt>
                <pt idx="55">
                  <v>0.8628930977720407</v>
                </pt>
                <pt idx="56">
                  <v>0.8038389922187259</v>
                </pt>
                <pt idx="57">
                  <v>0.8408360556054226</v>
                </pt>
                <pt idx="58">
                  <v>1.028656893611996</v>
                </pt>
                <pt idx="59">
                  <v>0.9132560776287663</v>
                </pt>
                <pt idx="60">
                  <v>1.051614630458469</v>
                </pt>
                <pt idx="61">
                  <v>1.014420829179444</v>
                </pt>
                <pt idx="62">
                  <v>0.8373818542217274</v>
                </pt>
                <pt idx="63">
                  <v>0.8346846016164379</v>
                </pt>
                <pt idx="64">
                  <v>0.6133984536650869</v>
                </pt>
                <pt idx="65">
                  <v>0.7378100322386865</v>
                </pt>
                <pt idx="66">
                  <v>0.685499494870618</v>
                </pt>
                <pt idx="67">
                  <v>0.7151267621934952</v>
                </pt>
                <pt idx="68">
                  <v>0.636525223039573</v>
                </pt>
                <pt idx="69">
                  <v>0.7617518807592967</v>
                </pt>
                <pt idx="70">
                  <v>1.017494003861172</v>
                </pt>
                <pt idx="71">
                  <v>1.002567416041121</v>
                </pt>
                <pt idx="72">
                  <v>1.135032584901597</v>
                </pt>
                <pt idx="73">
                  <v>0.9341166514187298</v>
                </pt>
                <pt idx="74">
                  <v>0.6857908168802248</v>
                </pt>
                <pt idx="75">
                  <v>0.609953535618325</v>
                </pt>
                <pt idx="76">
                  <v>0.6237511742318941</v>
                </pt>
                <pt idx="77">
                  <v>0.569764321286333</v>
                </pt>
                <pt idx="78">
                  <v>0.7405896710838001</v>
                </pt>
                <pt idx="79">
                  <v>0.6499711234459455</v>
                </pt>
                <pt idx="80">
                  <v>0.6827347489865859</v>
                </pt>
                <pt idx="81">
                  <v>0.9470151719348058</v>
                </pt>
                <pt idx="82">
                  <v>1.028976430956097</v>
                </pt>
                <pt idx="83">
                  <v>0.9820538861792604</v>
                </pt>
              </numCache>
            </numRef>
          </val>
          <smooth val="1"/>
        </ser>
        <ser>
          <idx val="1"/>
          <order val="1"/>
          <tx>
            <strRef>
              <f>'Capture Price Inputs'!$K$1</f>
              <strCache>
                <ptCount val="1"/>
                <pt idx="0">
                  <v>DK2 CPR — Robustness</v>
                </pt>
              </strCache>
            </strRef>
          </tx>
          <spPr>
            <a:ln xmlns:a="http://schemas.openxmlformats.org/drawingml/2006/main">
              <a:solidFill>
                <a:srgbClr val="9DC3E6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val>
            <numRef>
              <f>'Capture Price Inputs'!$K$2:$K$85</f>
              <numCache>
                <formatCode>General</formatCode>
                <ptCount val="84"/>
                <pt idx="12">
                  <v>1.090446324793763</v>
                </pt>
                <pt idx="13">
                  <v>1.251821301318464</v>
                </pt>
                <pt idx="14">
                  <v>0.8552077585127711</v>
                </pt>
                <pt idx="15">
                  <v>0.763620235478716</v>
                </pt>
                <pt idx="16">
                  <v>0.9763693823354528</v>
                </pt>
                <pt idx="17">
                  <v>1.180647007173951</v>
                </pt>
                <pt idx="18">
                  <v>1.021791049952987</v>
                </pt>
                <pt idx="19">
                  <v>1.077948442472481</v>
                </pt>
                <pt idx="20">
                  <v>1.059189092335807</v>
                </pt>
                <pt idx="21">
                  <v>1.247549053102559</v>
                </pt>
                <pt idx="22">
                  <v>1.057080411727209</v>
                </pt>
                <pt idx="23">
                  <v>1.125691191699302</v>
                </pt>
                <pt idx="24">
                  <v>1.122164979814525</v>
                </pt>
                <pt idx="25">
                  <v>0.9585139857498034</v>
                </pt>
                <pt idx="26">
                  <v>1.014774172650395</v>
                </pt>
                <pt idx="27">
                  <v>0.9590164366476613</v>
                </pt>
                <pt idx="28">
                  <v>0.9103388736117121</v>
                </pt>
                <pt idx="29">
                  <v>0.9440449187481634</v>
                </pt>
                <pt idx="30">
                  <v>0.9569285690465077</v>
                </pt>
                <pt idx="31">
                  <v>1.001768528067071</v>
                </pt>
                <pt idx="32">
                  <v>0.9583833699094481</v>
                </pt>
                <pt idx="33">
                  <v>1.144501265847132</v>
                </pt>
                <pt idx="34">
                  <v>1.126460857141801</v>
                </pt>
                <pt idx="35">
                  <v>1.279578427053047</v>
                </pt>
                <pt idx="36">
                  <v>1.161754652341282</v>
                </pt>
                <pt idx="37">
                  <v>1.084871924613185</v>
                </pt>
                <pt idx="38">
                  <v>0.8162958275837114</v>
                </pt>
                <pt idx="39">
                  <v>0.9391804877392103</v>
                </pt>
                <pt idx="40">
                  <v>0.8991456314331195</v>
                </pt>
                <pt idx="41">
                  <v>0.9015136745747578</v>
                </pt>
                <pt idx="42">
                  <v>0.909562444967756</v>
                </pt>
                <pt idx="43">
                  <v>0.8830756108422062</v>
                </pt>
                <pt idx="44">
                  <v>0.9608536982958826</v>
                </pt>
                <pt idx="45">
                  <v>0.8774354195736861</v>
                </pt>
                <pt idx="46">
                  <v>0.9240447439178995</v>
                </pt>
                <pt idx="47">
                  <v>1.218528056069729</v>
                </pt>
                <pt idx="48">
                  <v>1.21186632363043</v>
                </pt>
                <pt idx="49">
                  <v>1.024478122815962</v>
                </pt>
                <pt idx="50">
                  <v>0.992236312197012</v>
                </pt>
                <pt idx="51">
                  <v>0.8502587347820391</v>
                </pt>
                <pt idx="52">
                  <v>0.7310174827054021</v>
                </pt>
                <pt idx="53">
                  <v>0.7860381991736552</v>
                </pt>
                <pt idx="54">
                  <v>0.7717034871247128</v>
                </pt>
                <pt idx="55">
                  <v>0.8454610410569836</v>
                </pt>
                <pt idx="56">
                  <v>0.7532917330845335</v>
                </pt>
                <pt idx="57">
                  <v>0.837234490334641</v>
                </pt>
                <pt idx="58">
                  <v>1.038705241708771</v>
                </pt>
                <pt idx="59">
                  <v>0.8332670757562848</v>
                </pt>
                <pt idx="60">
                  <v>0.977144875107929</v>
                </pt>
                <pt idx="61">
                  <v>0.9399172603334611</v>
                </pt>
                <pt idx="62">
                  <v>0.8314293202728863</v>
                </pt>
                <pt idx="63">
                  <v>0.7780510745637418</v>
                </pt>
                <pt idx="64">
                  <v>0.5900556342707577</v>
                </pt>
                <pt idx="65">
                  <v>0.6943958569114143</v>
                </pt>
                <pt idx="66">
                  <v>0.6176283845394642</v>
                </pt>
                <pt idx="67">
                  <v>0.6493471479229646</v>
                </pt>
                <pt idx="68">
                  <v>0.6157480113547513</v>
                </pt>
                <pt idx="69">
                  <v>0.7800073506793195</v>
                </pt>
                <pt idx="70">
                  <v>0.9404779955101509</v>
                </pt>
                <pt idx="71">
                  <v>1.087006718547946</v>
                </pt>
                <pt idx="72">
                  <v>1.149400364807902</v>
                </pt>
                <pt idx="73">
                  <v>0.9066238427133391</v>
                </pt>
                <pt idx="74">
                  <v>0.603741164715803</v>
                </pt>
                <pt idx="75">
                  <v>0.5517436798810373</v>
                </pt>
                <pt idx="76">
                  <v>0.544059463307295</v>
                </pt>
                <pt idx="77">
                  <v>0.4307606652121766</v>
                </pt>
                <pt idx="78">
                  <v>0.7474634186196619</v>
                </pt>
                <pt idx="79">
                  <v>0.5717894234335987</v>
                </pt>
                <pt idx="80">
                  <v>0.635731600833678</v>
                </pt>
                <pt idx="81">
                  <v>0.9548084008156305</v>
                </pt>
                <pt idx="82">
                  <v>0.9892725129496999</v>
                </pt>
                <pt idx="83">
                  <v>0.9701479625359415</v>
                </pt>
              </numCache>
            </numRef>
          </val>
          <smooth val="1"/>
        </ser>
        <dLbls>
          <showLegendKey val="0"/>
          <showVal val="0"/>
          <showCatName val="0"/>
          <showSerName val="0"/>
          <showPercent val="0"/>
          <showBubbleSize val="0"/>
        </dLbls>
        <smooth val="0"/>
        <axId val="10"/>
        <axId val="100"/>
      </lineChart>
      <catAx>
        <axId val="10"/>
        <scaling>
          <orientation val="minMax"/>
        </scaling>
        <delete val="1"/>
        <axPos val="b"/>
        <title>
          <tx>
            <rich>
              <a:bodyPr xmlns:a="http://schemas.openxmlformats.org/drawingml/2006/main"/>
              <a:lstStyle xmlns:a="http://schemas.openxmlformats.org/drawingml/2006/main"/>
              <a:p xmlns:a="http://schemas.openxmlformats.org/drawingml/2006/main">
                <a:pPr>
                  <a:defRPr/>
                </a:pPr>
                <a:r>
                  <a:rPr lang="en-GB"/>
                  <a:t>Month</a:t>
                </a:r>
              </a:p>
            </rich>
          </tx>
          <overlay val="1"/>
        </title>
        <majorTickMark val="none"/>
        <minorTickMark val="none"/>
        <tickLblPos val="nextTo"/>
        <crossAx val="100"/>
        <crosses val="autoZero"/>
        <auto val="1"/>
        <lblAlgn val="ctr"/>
        <lblOffset val="100"/>
        <noMultiLvlLbl val="1"/>
      </catAx>
      <valAx>
        <axId val="100"/>
        <scaling>
          <orientation val="minMax"/>
        </scaling>
        <delete val="1"/>
        <axPos val="l"/>
        <majorGridlines/>
        <title>
          <tx>
            <rich>
              <a:bodyPr xmlns:a="http://schemas.openxmlformats.org/drawingml/2006/main"/>
              <a:lstStyle xmlns:a="http://schemas.openxmlformats.org/drawingml/2006/main"/>
              <a:p xmlns:a="http://schemas.openxmlformats.org/drawingml/2006/main">
                <a:pPr>
                  <a:defRPr/>
                </a:pPr>
                <a:r>
                  <a:rPr lang="en-GB"/>
                  <a:t>CPR</a:t>
                </a:r>
              </a:p>
            </rich>
          </tx>
          <overlay val="1"/>
        </title>
        <numFmt formatCode="General" sourceLinked="1"/>
        <majorTickMark val="none"/>
        <minorTickMark val="none"/>
        <tickLblPos val="nextTo"/>
        <crossAx val="10"/>
        <crosses val="autoZero"/>
        <crossBetween val="between"/>
      </valAx>
    </plotArea>
    <legend>
      <legendPos val="r"/>
      <overlay val="1"/>
    </legend>
    <plotVisOnly val="1"/>
    <dispBlanksAs val="gap"/>
  </chart>
</chartSpace>
</file>

<file path=xl/charts/chart99.xml><?xml version="1.0" encoding="utf-8"?>
<chartSpace xmlns="http://schemas.openxmlformats.org/drawingml/2006/chart">
  <chart>
    <title>
      <tx>
        <rich>
          <a:bodyPr xmlns:a="http://schemas.openxmlformats.org/drawingml/2006/main"/>
          <a:lstStyle xmlns:a="http://schemas.openxmlformats.org/drawingml/2006/main"/>
          <a:p xmlns:a="http://schemas.openxmlformats.org/drawingml/2006/main">
            <a:pPr>
              <a:defRPr/>
            </a:pPr>
            <a:r>
              <a:rPr lang="en-GB"/>
              <a:t>Solar Penetration - DK1 Primary | DK2 Robustness</a:t>
            </a:r>
          </a:p>
        </rich>
      </tx>
      <overlay val="1"/>
    </title>
    <plotArea>
      <layout/>
      <lineChart>
        <grouping val="standard"/>
        <varyColors val="1"/>
        <ser>
          <idx val="0"/>
          <order val="0"/>
          <tx>
            <strRef>
              <f>'Capture Price Inputs'!$F$1</f>
              <strCache>
                <ptCount val="1"/>
                <pt idx="0">
                  <v>DK1 Solar Penetration (%) — Primary</v>
                </pt>
              </strCache>
            </strRef>
          </tx>
          <spPr>
            <a:ln xmlns:a="http://schemas.openxmlformats.org/drawingml/2006/main">
              <a:solidFill>
                <a:srgbClr val="FF8C00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val>
            <numRef>
              <f>'Capture Price Inputs'!$F$2:$F$85</f>
              <numCache>
                <formatCode>General</formatCode>
                <ptCount val="84"/>
                <pt idx="0">
                  <v>0</v>
                </pt>
                <pt idx="1">
                  <v>0</v>
                </pt>
                <pt idx="2">
                  <v>0</v>
                </pt>
                <pt idx="3">
                  <v>0</v>
                </pt>
                <pt idx="4">
                  <v>0</v>
                </pt>
                <pt idx="5">
                  <v>0</v>
                </pt>
                <pt idx="6">
                  <v>0</v>
                </pt>
                <pt idx="7">
                  <v>0</v>
                </pt>
                <pt idx="8">
                  <v>0</v>
                </pt>
                <pt idx="9">
                  <v>0</v>
                </pt>
                <pt idx="10">
                  <v>0</v>
                </pt>
                <pt idx="11">
                  <v>0</v>
                </pt>
                <pt idx="12">
                  <v>0.002264447892629483</v>
                </pt>
                <pt idx="13">
                  <v>0.005247452024482245</v>
                </pt>
                <pt idx="14">
                  <v>0.02020167759412729</v>
                </pt>
                <pt idx="15">
                  <v>0.0324279896123047</v>
                </pt>
                <pt idx="16">
                  <v>0.03608008723790357</v>
                </pt>
                <pt idx="17">
                  <v>0.03741361883164089</v>
                </pt>
                <pt idx="18">
                  <v>0.03399843385950392</v>
                </pt>
                <pt idx="19">
                  <v>0.03422476314253766</v>
                </pt>
                <pt idx="20">
                  <v>0.02433015193915724</v>
                </pt>
                <pt idx="21">
                  <v>0.01149038754944678</v>
                </pt>
                <pt idx="22">
                  <v>0.0001521101274151999</v>
                </pt>
                <pt idx="23">
                  <v>1.472410662127807e-05</v>
                </pt>
                <pt idx="24">
                  <v>0.003631355999035091</v>
                </pt>
                <pt idx="25">
                  <v>0.0108689417180573</v>
                </pt>
                <pt idx="26">
                  <v>0.02238230390737163</v>
                </pt>
                <pt idx="27">
                  <v>0.04212837115783985</v>
                </pt>
                <pt idx="28">
                  <v>0.03307505221196035</v>
                </pt>
                <pt idx="29">
                  <v>0.04984166182181952</v>
                </pt>
                <pt idx="30">
                  <v>0.0485715434854639</v>
                </pt>
                <pt idx="31">
                  <v>0.0388769479447087</v>
                </pt>
                <pt idx="32">
                  <v>0.02593285017943629</v>
                </pt>
                <pt idx="33">
                  <v>0.01746009643148906</v>
                </pt>
                <pt idx="34">
                  <v>0.007029306005813504</v>
                </pt>
                <pt idx="35">
                  <v>0.003243365391886713</v>
                </pt>
                <pt idx="36">
                  <v>0.006675315547248087</v>
                </pt>
                <pt idx="37">
                  <v>0.0173995712330029</v>
                </pt>
                <pt idx="38">
                  <v>0.06195507058644287</v>
                </pt>
                <pt idx="39">
                  <v>0.08404056603836467</v>
                </pt>
                <pt idx="40">
                  <v>0.09687689142031611</v>
                </pt>
                <pt idx="41">
                  <v>0.09496202074431148</v>
                </pt>
                <pt idx="42">
                  <v>0.09963556652585577</v>
                </pt>
                <pt idx="43">
                  <v>0.08962697832526678</v>
                </pt>
                <pt idx="44">
                  <v>0.06604649859170474</v>
                </pt>
                <pt idx="45">
                  <v>0.03746941447765471</v>
                </pt>
                <pt idx="46">
                  <v>0.01046932675470221</v>
                </pt>
                <pt idx="47">
                  <v>0.006229164645196865</v>
                </pt>
                <pt idx="48">
                  <v>0.01246069427686292</v>
                </pt>
                <pt idx="49">
                  <v>0.03437640419176364</v>
                </pt>
                <pt idx="50">
                  <v>0.05647796857705859</v>
                </pt>
                <pt idx="51">
                  <v>0.1509467292684683</v>
                </pt>
                <pt idx="52">
                  <v>0.18600333743842</v>
                </pt>
                <pt idx="53">
                  <v>0.218925737129461</v>
                </pt>
                <pt idx="54">
                  <v>0.1892952405634502</v>
                </pt>
                <pt idx="55">
                  <v>0.1493297980639493</v>
                </pt>
                <pt idx="56">
                  <v>0.1319165438654872</v>
                </pt>
                <pt idx="57">
                  <v>0.0428648864567301</v>
                </pt>
                <pt idx="58">
                  <v>0.01600349353715238</v>
                </pt>
                <pt idx="59">
                  <v>0.006390504672696534</v>
                </pt>
                <pt idx="60">
                  <v>0.01341718605060752</v>
                </pt>
                <pt idx="61">
                  <v>0.0264362238379265</v>
                </pt>
                <pt idx="62">
                  <v>0.06623397340035048</v>
                </pt>
                <pt idx="63">
                  <v>0.1084169878649764</v>
                </pt>
                <pt idx="64">
                  <v>0.1888703164988005</v>
                </pt>
                <pt idx="65">
                  <v>0.1715230569234828</v>
                </pt>
                <pt idx="66">
                  <v>0.1809062055635286</v>
                </pt>
                <pt idx="67">
                  <v>0.155121531117258</v>
                </pt>
                <pt idx="68">
                  <v>0.1275567235314205</v>
                </pt>
                <pt idx="69">
                  <v>0.06287376784741511</v>
                </pt>
                <pt idx="70">
                  <v>0.01780902737610289</v>
                </pt>
                <pt idx="71">
                  <v>0.006785797568345668</v>
                </pt>
                <pt idx="72">
                  <v>0.01366055484422285</v>
                </pt>
                <pt idx="73">
                  <v>0.04341993481717769</v>
                </pt>
                <pt idx="74">
                  <v>0.1120694547038418</v>
                </pt>
                <pt idx="75">
                  <v>0.1482754875605271</v>
                </pt>
                <pt idx="76">
                  <v>0.1924446817596716</v>
                </pt>
                <pt idx="77">
                  <v>0.1878482923852328</v>
                </pt>
                <pt idx="78">
                  <v>0.2182818884824121</v>
                </pt>
                <pt idx="79">
                  <v>0.1901168401280812</v>
                </pt>
                <pt idx="80">
                  <v>0.1381615272451792</v>
                </pt>
                <pt idx="81">
                  <v>0.06946207120205163</v>
                </pt>
                <pt idx="82">
                  <v>0.02660497040214753</v>
                </pt>
                <pt idx="83">
                  <v>0.0140253486520015</v>
                </pt>
              </numCache>
            </numRef>
          </val>
          <smooth val="1"/>
        </ser>
        <ser>
          <idx val="1"/>
          <order val="1"/>
          <tx>
            <strRef>
              <f>'Capture Price Inputs'!$G$1</f>
              <strCache>
                <ptCount val="1"/>
                <pt idx="0">
                  <v>DK2 Solar Penetration (%) — Robustness</v>
                </pt>
              </strCache>
            </strRef>
          </tx>
          <spPr>
            <a:ln xmlns:a="http://schemas.openxmlformats.org/drawingml/2006/main">
              <a:solidFill>
                <a:srgbClr val="FFD700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val>
            <numRef>
              <f>'Capture Price Inputs'!$G$2:$G$85</f>
              <numCache>
                <formatCode>General</formatCode>
                <ptCount val="84"/>
                <pt idx="0">
                  <v>0</v>
                </pt>
                <pt idx="1">
                  <v>0</v>
                </pt>
                <pt idx="2">
                  <v>0</v>
                </pt>
                <pt idx="3">
                  <v>0</v>
                </pt>
                <pt idx="4">
                  <v>0</v>
                </pt>
                <pt idx="5">
                  <v>0</v>
                </pt>
                <pt idx="6">
                  <v>0</v>
                </pt>
                <pt idx="7">
                  <v>0</v>
                </pt>
                <pt idx="8">
                  <v>0</v>
                </pt>
                <pt idx="9">
                  <v>0</v>
                </pt>
                <pt idx="10">
                  <v>0</v>
                </pt>
                <pt idx="11">
                  <v>0</v>
                </pt>
                <pt idx="12">
                  <v>0.001864323044087839</v>
                </pt>
                <pt idx="13">
                  <v>0.004961339344807235</v>
                </pt>
                <pt idx="14">
                  <v>0.01532033335337761</v>
                </pt>
                <pt idx="15">
                  <v>0.02618059513454593</v>
                </pt>
                <pt idx="16">
                  <v>0.03224093077416624</v>
                </pt>
                <pt idx="17">
                  <v>0.03065181208815584</v>
                </pt>
                <pt idx="18">
                  <v>0.02998206800974695</v>
                </pt>
                <pt idx="19">
                  <v>0.02803471341430708</v>
                </pt>
                <pt idx="20">
                  <v>0.02173647910159525</v>
                </pt>
                <pt idx="21">
                  <v>0.01107911770574695</v>
                </pt>
                <pt idx="22">
                  <v>0.0001104461157833284</v>
                </pt>
                <pt idx="23">
                  <v>5.635243358406259e-06</v>
                </pt>
                <pt idx="24">
                  <v>0.003104474131982996</v>
                </pt>
                <pt idx="25">
                  <v>0.009248336948772359</v>
                </pt>
                <pt idx="26">
                  <v>0.01847451704521283</v>
                </pt>
                <pt idx="27">
                  <v>0.03269440748331279</v>
                </pt>
                <pt idx="28">
                  <v>0.03294582929454019</v>
                </pt>
                <pt idx="29">
                  <v>0.04448013314005607</v>
                </pt>
                <pt idx="30">
                  <v>0.03704954253730217</v>
                </pt>
                <pt idx="31">
                  <v>0.03185776883426199</v>
                </pt>
                <pt idx="32">
                  <v>0.0223981137027396</v>
                </pt>
                <pt idx="33">
                  <v>0.01267326343754744</v>
                </pt>
                <pt idx="34">
                  <v>0.004013281085791027</v>
                </pt>
                <pt idx="35">
                  <v>0.001822629583826099</v>
                </pt>
                <pt idx="36">
                  <v>0.004939556742877535</v>
                </pt>
                <pt idx="37">
                  <v>0.01324848558669828</v>
                </pt>
                <pt idx="38">
                  <v>0.03408933034912105</v>
                </pt>
                <pt idx="39">
                  <v>0.05525443609957865</v>
                </pt>
                <pt idx="40">
                  <v>0.06581145996085939</v>
                </pt>
                <pt idx="41">
                  <v>0.06452822904586782</v>
                </pt>
                <pt idx="42">
                  <v>0.06702580380195292</v>
                </pt>
                <pt idx="43">
                  <v>0.06129992439719582</v>
                </pt>
                <pt idx="44">
                  <v>0.04578427610350702</v>
                </pt>
                <pt idx="45">
                  <v>0.0298090580270354</v>
                </pt>
                <pt idx="46">
                  <v>0.007865295261900549</v>
                </pt>
                <pt idx="47">
                  <v>0.004532355552973548</v>
                </pt>
                <pt idx="48">
                  <v>0.005862652723136608</v>
                </pt>
                <pt idx="49">
                  <v>0.01887764841837355</v>
                </pt>
                <pt idx="50">
                  <v>0.03709622939200571</v>
                </pt>
                <pt idx="51">
                  <v>0.08026996603382495</v>
                </pt>
                <pt idx="52">
                  <v>0.1080032082802261</v>
                </pt>
                <pt idx="53">
                  <v>0.1144244665352921</v>
                </pt>
                <pt idx="54">
                  <v>0.1020307450715976</v>
                </pt>
                <pt idx="55">
                  <v>0.07793101053296771</v>
                </pt>
                <pt idx="56">
                  <v>0.08090995463931874</v>
                </pt>
                <pt idx="57">
                  <v>0.02917234021559438</v>
                </pt>
                <pt idx="58">
                  <v>0.0104098691216888</v>
                </pt>
                <pt idx="59">
                  <v>0.003809030164374855</v>
                </pt>
                <pt idx="60">
                  <v>0.006178183072975508</v>
                </pt>
                <pt idx="61">
                  <v>0.01667231366864759</v>
                </pt>
                <pt idx="62">
                  <v>0.04111280636733766</v>
                </pt>
                <pt idx="63">
                  <v>0.06512337874480645</v>
                </pt>
                <pt idx="64">
                  <v>0.106315341440858</v>
                </pt>
                <pt idx="65">
                  <v>0.1072729076610999</v>
                </pt>
                <pt idx="66">
                  <v>0.1057942634887733</v>
                </pt>
                <pt idx="67">
                  <v>0.0936908322687052</v>
                </pt>
                <pt idx="68">
                  <v>0.07246320282040017</v>
                </pt>
                <pt idx="69">
                  <v>0.03614525389237988</v>
                </pt>
                <pt idx="70">
                  <v>0.008602841405423608</v>
                </pt>
                <pt idx="71">
                  <v>0.004171468465776758</v>
                </pt>
                <pt idx="72">
                  <v>0.007223240212576967</v>
                </pt>
                <pt idx="73">
                  <v>0.02010831138567791</v>
                </pt>
                <pt idx="74">
                  <v>0.04654786644745259</v>
                </pt>
                <pt idx="75">
                  <v>0.07168978364906199</v>
                </pt>
                <pt idx="76">
                  <v>0.09471412725623395</v>
                </pt>
                <pt idx="77">
                  <v>0.09982625001551076</v>
                </pt>
                <pt idx="78">
                  <v>0.09399641941869914</v>
                </pt>
                <pt idx="79">
                  <v>0.1057378118957395</v>
                </pt>
                <pt idx="80">
                  <v>0.09062887968652376</v>
                </pt>
                <pt idx="81">
                  <v>0.03957312567862663</v>
                </pt>
                <pt idx="82">
                  <v>0.01454364344794783</v>
                </pt>
                <pt idx="83">
                  <v>0.00906949116088333</v>
                </pt>
              </numCache>
            </numRef>
          </val>
          <smooth val="1"/>
        </ser>
        <dLbls>
          <showLegendKey val="0"/>
          <showVal val="0"/>
          <showCatName val="0"/>
          <showSerName val="0"/>
          <showPercent val="0"/>
          <showBubbleSize val="0"/>
        </dLbls>
        <smooth val="0"/>
        <axId val="10"/>
        <axId val="100"/>
      </lineChart>
      <catAx>
        <axId val="10"/>
        <scaling>
          <orientation val="minMax"/>
        </scaling>
        <delete val="1"/>
        <axPos val="b"/>
        <title>
          <tx>
            <rich>
              <a:bodyPr xmlns:a="http://schemas.openxmlformats.org/drawingml/2006/main"/>
              <a:lstStyle xmlns:a="http://schemas.openxmlformats.org/drawingml/2006/main"/>
              <a:p xmlns:a="http://schemas.openxmlformats.org/drawingml/2006/main">
                <a:pPr>
                  <a:defRPr/>
                </a:pPr>
                <a:r>
                  <a:rPr lang="en-GB"/>
                  <a:t>Month</a:t>
                </a:r>
              </a:p>
            </rich>
          </tx>
          <overlay val="1"/>
        </title>
        <majorTickMark val="none"/>
        <minorTickMark val="none"/>
        <tickLblPos val="nextTo"/>
        <crossAx val="100"/>
        <crosses val="autoZero"/>
        <auto val="1"/>
        <lblAlgn val="ctr"/>
        <lblOffset val="100"/>
        <noMultiLvlLbl val="1"/>
      </catAx>
      <valAx>
        <axId val="100"/>
        <scaling>
          <orientation val="minMax"/>
        </scaling>
        <delete val="1"/>
        <axPos val="l"/>
        <majorGridlines/>
        <title>
          <tx>
            <rich>
              <a:bodyPr xmlns:a="http://schemas.openxmlformats.org/drawingml/2006/main"/>
              <a:lstStyle xmlns:a="http://schemas.openxmlformats.org/drawingml/2006/main"/>
              <a:p xmlns:a="http://schemas.openxmlformats.org/drawingml/2006/main">
                <a:pPr>
                  <a:defRPr/>
                </a:pPr>
                <a:r>
                  <a:rPr lang="en-GB"/>
                  <a:t>Solar Penetration (%)</a:t>
                </a:r>
              </a:p>
            </rich>
          </tx>
          <overlay val="1"/>
        </title>
        <numFmt formatCode="General" sourceLinked="1"/>
        <majorTickMark val="none"/>
        <minorTickMark val="none"/>
        <tickLblPos val="nextTo"/>
        <crossAx val="10"/>
        <crosses val="autoZero"/>
        <crossBetween val="between"/>
      </valAx>
    </plotArea>
    <legend>
      <legendPos val="r"/>
      <overlay val="1"/>
    </legend>
    <plotVisOnly val="1"/>
    <dispBlanksAs val="gap"/>
  </chart>
</chartSpace>
</file>

<file path=xl/charts/chart100.xml><?xml version="1.0" encoding="utf-8"?>
<chartSpace xmlns="http://schemas.openxmlformats.org/drawingml/2006/chart">
  <chart>
    <title>
      <tx>
        <rich>
          <a:bodyPr xmlns:a="http://schemas.openxmlformats.org/drawingml/2006/main"/>
          <a:lstStyle xmlns:a="http://schemas.openxmlformats.org/drawingml/2006/main"/>
          <a:p xmlns:a="http://schemas.openxmlformats.org/drawingml/2006/main">
            <a:pPr>
              <a:defRPr/>
            </a:pPr>
            <a:r>
              <a:rPr lang="en-GB"/>
              <a:t>Capture Price - DK1 Primary | DK2 Robustness</a:t>
            </a:r>
          </a:p>
        </rich>
      </tx>
      <overlay val="1"/>
    </title>
    <plotArea>
      <layout/>
      <lineChart>
        <grouping val="standard"/>
        <varyColors val="1"/>
        <ser>
          <idx val="0"/>
          <order val="0"/>
          <tx>
            <strRef>
              <f>'Capture Price Inputs'!$H$1</f>
              <strCache>
                <ptCount val="1"/>
                <pt idx="0">
                  <v>DK1 Capture Price (EUR/MWh) — Primary</v>
                </pt>
              </strCache>
            </strRef>
          </tx>
          <spPr>
            <a:ln xmlns:a="http://schemas.openxmlformats.org/drawingml/2006/main">
              <a:solidFill>
                <a:srgbClr val="2E75B6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val>
            <numRef>
              <f>'Capture Price Inputs'!$H$2:$H$85</f>
              <numCache>
                <formatCode>General</formatCode>
                <ptCount val="84"/>
                <pt idx="12">
                  <v>25.22320957280251</v>
                </pt>
                <pt idx="13">
                  <v>22.83581899109792</v>
                </pt>
                <pt idx="14">
                  <v>15.94107348554973</v>
                </pt>
                <pt idx="15">
                  <v>10.36487590420421</v>
                </pt>
                <pt idx="16">
                  <v>15.478548945086</v>
                </pt>
                <pt idx="17">
                  <v>27.31330822786869</v>
                </pt>
                <pt idx="18">
                  <v>24.83174517810916</v>
                </pt>
                <pt idx="19">
                  <v>33.87691542204785</v>
                </pt>
                <pt idx="20">
                  <v>38.93597900337959</v>
                </pt>
                <pt idx="21">
                  <v>31.92774153305919</v>
                </pt>
                <pt idx="22">
                  <v>26.00599326599326</v>
                </pt>
                <pt idx="23">
                  <v>34.79516129032258</v>
                </pt>
                <pt idx="24">
                  <v>55.42296760727792</v>
                </pt>
                <pt idx="25">
                  <v>47.54261097914259</v>
                </pt>
                <pt idx="26">
                  <v>44.55070091580549</v>
                </pt>
                <pt idx="27">
                  <v>43.594739828473</v>
                </pt>
                <pt idx="28">
                  <v>47.65587057500122</v>
                </pt>
                <pt idx="29">
                  <v>70.54354791111106</v>
                </pt>
                <pt idx="30">
                  <v>78.56831974775861</v>
                </pt>
                <pt idx="31">
                  <v>81.98335113640179</v>
                </pt>
                <pt idx="32">
                  <v>116.2002249554484</v>
                </pt>
                <pt idx="33">
                  <v>126.5303952032395</v>
                </pt>
                <pt idx="34">
                  <v>160.7705833010295</v>
                </pt>
                <pt idx="35">
                  <v>228.8621705579358</v>
                </pt>
                <pt idx="36">
                  <v>123.2012506791719</v>
                </pt>
                <pt idx="37">
                  <v>117.67077903546</v>
                </pt>
                <pt idx="38">
                  <v>191.508071735067</v>
                </pt>
                <pt idx="39">
                  <v>145.7013871592604</v>
                </pt>
                <pt idx="40">
                  <v>149.4185612445558</v>
                </pt>
                <pt idx="41">
                  <v>194.7110340948198</v>
                </pt>
                <pt idx="42">
                  <v>239.3981525107354</v>
                </pt>
                <pt idx="43">
                  <v>419.792637226606</v>
                </pt>
                <pt idx="44">
                  <v>310.7073992726671</v>
                </pt>
                <pt idx="45">
                  <v>125.6295598680838</v>
                </pt>
                <pt idx="46">
                  <v>131.7111886265582</v>
                </pt>
                <pt idx="47">
                  <v>282.8237937420726</v>
                </pt>
                <pt idx="48">
                  <v>138.5299886842633</v>
                </pt>
                <pt idx="49">
                  <v>109.8769757213503</v>
                </pt>
                <pt idx="50">
                  <v>93.77419094069538</v>
                </pt>
                <pt idx="51">
                  <v>76.25042822265543</v>
                </pt>
                <pt idx="52">
                  <v>50.54348776008261</v>
                </pt>
                <pt idx="53">
                  <v>74.88898277621806</v>
                </pt>
                <pt idx="54">
                  <v>52.09559943846345</v>
                </pt>
                <pt idx="55">
                  <v>74.18042603997819</v>
                </pt>
                <pt idx="56">
                  <v>68.11686962339694</v>
                </pt>
                <pt idx="57">
                  <v>50.53909051970285</v>
                </pt>
                <pt idx="58">
                  <v>90.68080556242518</v>
                </pt>
                <pt idx="59">
                  <v>63.45532768878803</v>
                </pt>
                <pt idx="60">
                  <v>78.57131644167831</v>
                </pt>
                <pt idx="61">
                  <v>59.47948676805509</v>
                </pt>
                <pt idx="62">
                  <v>51.26978324155493</v>
                </pt>
                <pt idx="63">
                  <v>49.38394056201121</v>
                </pt>
                <pt idx="64">
                  <v>35.89414827140887</v>
                </pt>
                <pt idx="65">
                  <v>47.03763372739765</v>
                </pt>
                <pt idx="66">
                  <v>42.52177322309952</v>
                </pt>
                <pt idx="67">
                  <v>52.17121747504909</v>
                </pt>
                <pt idx="68">
                  <v>45.64750462621701</v>
                </pt>
                <pt idx="69">
                  <v>58.44158378709199</v>
                </pt>
                <pt idx="70">
                  <v>97.58235261633192</v>
                </pt>
                <pt idx="71">
                  <v>92.07321769383398</v>
                </pt>
                <pt idx="72">
                  <v>111.1945655985155</v>
                </pt>
                <pt idx="73">
                  <v>105.4131597378828</v>
                </pt>
                <pt idx="74">
                  <v>57.84566339627056</v>
                </pt>
                <pt idx="75">
                  <v>45.84439577068735</v>
                </pt>
                <pt idx="76">
                  <v>40.06566739400938</v>
                </pt>
                <pt idx="77">
                  <v>33.4933819651966</v>
                </pt>
                <pt idx="78">
                  <v>61.32224821093979</v>
                </pt>
                <pt idx="79">
                  <v>47.75582456745756</v>
                </pt>
                <pt idx="80">
                  <v>49.42909499605724</v>
                </pt>
                <pt idx="81">
                  <v>74.26663453789526</v>
                </pt>
                <pt idx="82">
                  <v>95.56453180252134</v>
                </pt>
                <pt idx="83">
                  <v>80.95803424278026</v>
                </pt>
              </numCache>
            </numRef>
          </val>
          <smooth val="1"/>
        </ser>
        <ser>
          <idx val="1"/>
          <order val="1"/>
          <tx>
            <strRef>
              <f>'Capture Price Inputs'!$I$1</f>
              <strCache>
                <ptCount val="1"/>
                <pt idx="0">
                  <v>DK2 Capture Price (EUR/MWh) — Robustness</v>
                </pt>
              </strCache>
            </strRef>
          </tx>
          <spPr>
            <a:ln xmlns:a="http://schemas.openxmlformats.org/drawingml/2006/main">
              <a:solidFill>
                <a:srgbClr val="9DC3E6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val>
            <numRef>
              <f>'Capture Price Inputs'!$I$2:$I$85</f>
              <numCache>
                <formatCode>General</formatCode>
                <ptCount val="84"/>
                <pt idx="12">
                  <v>29.86213642213642</v>
                </pt>
                <pt idx="13">
                  <v>23.55551782972189</v>
                </pt>
                <pt idx="14">
                  <v>17.14905069226102</v>
                </pt>
                <pt idx="15">
                  <v>13.25252312836708</v>
                </pt>
                <pt idx="16">
                  <v>18.59404938271605</v>
                </pt>
                <pt idx="17">
                  <v>35.21078005032583</v>
                </pt>
                <pt idx="18">
                  <v>26.450778046867</v>
                </pt>
                <pt idx="19">
                  <v>44.11376501540486</v>
                </pt>
                <pt idx="20">
                  <v>41.85304788087056</v>
                </pt>
                <pt idx="21">
                  <v>33.60087837290333</v>
                </pt>
                <pt idx="22">
                  <v>37.749765625</v>
                </pt>
                <pt idx="23">
                  <v>44.19142857142857</v>
                </pt>
                <pt idx="24">
                  <v>57.07213441008145</v>
                </pt>
                <pt idx="25">
                  <v>52.28508365452458</v>
                </pt>
                <pt idx="26">
                  <v>47.42264301189781</v>
                </pt>
                <pt idx="27">
                  <v>45.90136374824883</v>
                </pt>
                <pt idx="28">
                  <v>50.2587202314608</v>
                </pt>
                <pt idx="29">
                  <v>69.46934165377623</v>
                </pt>
                <pt idx="30">
                  <v>77.93311155139432</v>
                </pt>
                <pt idx="31">
                  <v>84.51274769025703</v>
                </pt>
                <pt idx="32">
                  <v>118.7457227855615</v>
                </pt>
                <pt idx="33">
                  <v>122.3841235967906</v>
                </pt>
                <pt idx="34">
                  <v>153.6267942781575</v>
                </pt>
                <pt idx="35">
                  <v>244.4872785976441</v>
                </pt>
                <pt idx="36">
                  <v>129.6774902315082</v>
                </pt>
                <pt idx="37">
                  <v>108.8033389925641</v>
                </pt>
                <pt idx="38">
                  <v>186.0504424586062</v>
                </pt>
                <pt idx="39">
                  <v>143.5375888642185</v>
                </pt>
                <pt idx="40">
                  <v>146.2536023446033</v>
                </pt>
                <pt idx="41">
                  <v>192.2325905808319</v>
                </pt>
                <pt idx="42">
                  <v>212.3625858003895</v>
                </pt>
                <pt idx="43">
                  <v>397.1798848597606</v>
                </pt>
                <pt idx="44">
                  <v>315.928842796779</v>
                </pt>
                <pt idx="45">
                  <v>120.1190076327392</v>
                </pt>
                <pt idx="46">
                  <v>134.0399027878758</v>
                </pt>
                <pt idx="47">
                  <v>303.2697848166857</v>
                </pt>
                <pt idx="48">
                  <v>120.8992864784306</v>
                </pt>
                <pt idx="49">
                  <v>103.112625406295</v>
                </pt>
                <pt idx="50">
                  <v>89.0984689216417</v>
                </pt>
                <pt idx="51">
                  <v>71.1250997055942</v>
                </pt>
                <pt idx="52">
                  <v>48.35808379645633</v>
                </pt>
                <pt idx="53">
                  <v>71.8620903722224</v>
                </pt>
                <pt idx="54">
                  <v>50.34596661709235</v>
                </pt>
                <pt idx="55">
                  <v>72.95799234798741</v>
                </pt>
                <pt idx="56">
                  <v>64.3944846724649</v>
                </pt>
                <pt idx="57">
                  <v>47.66025509428685</v>
                </pt>
                <pt idx="58">
                  <v>84.63997860526599</v>
                </pt>
                <pt idx="59">
                  <v>59.06174633307972</v>
                </pt>
                <pt idx="60">
                  <v>76.42720253521921</v>
                </pt>
                <pt idx="61">
                  <v>51.43437919654775</v>
                </pt>
                <pt idx="62">
                  <v>50.75116381305344</v>
                </pt>
                <pt idx="63">
                  <v>47.053967904828</v>
                </pt>
                <pt idx="64">
                  <v>34.29579411369289</v>
                </pt>
                <pt idx="65">
                  <v>46.37938403458337</v>
                </pt>
                <pt idx="66">
                  <v>38.81282196947117</v>
                </pt>
                <pt idx="67">
                  <v>47.15186311829253</v>
                </pt>
                <pt idx="68">
                  <v>43.35594635084219</v>
                </pt>
                <pt idx="69">
                  <v>59.53493763028656</v>
                </pt>
                <pt idx="70">
                  <v>89.61127747791728</v>
                </pt>
                <pt idx="71">
                  <v>100.7961313991171</v>
                </pt>
                <pt idx="72">
                  <v>115.0822593270056</v>
                </pt>
                <pt idx="73">
                  <v>106.9231820731682</v>
                </pt>
                <pt idx="74">
                  <v>50.01806296126875</v>
                </pt>
                <pt idx="75">
                  <v>41.82584156307518</v>
                </pt>
                <pt idx="76">
                  <v>34.32066034459122</v>
                </pt>
                <pt idx="77">
                  <v>24.31568572006325</v>
                </pt>
                <pt idx="78">
                  <v>59.76694388214769</v>
                </pt>
                <pt idx="79">
                  <v>43.06460478354486</v>
                </pt>
                <pt idx="80">
                  <v>52.94940515380836</v>
                </pt>
                <pt idx="81">
                  <v>78.64573032240668</v>
                </pt>
                <pt idx="82">
                  <v>92.69045487153267</v>
                </pt>
                <pt idx="83">
                  <v>79.63122802208366</v>
                </pt>
              </numCache>
            </numRef>
          </val>
          <smooth val="1"/>
        </ser>
        <dLbls>
          <showLegendKey val="0"/>
          <showVal val="0"/>
          <showCatName val="0"/>
          <showSerName val="0"/>
          <showPercent val="0"/>
          <showBubbleSize val="0"/>
        </dLbls>
        <smooth val="0"/>
        <axId val="10"/>
        <axId val="100"/>
      </lineChart>
      <catAx>
        <axId val="10"/>
        <scaling>
          <orientation val="minMax"/>
        </scaling>
        <delete val="1"/>
        <axPos val="b"/>
        <title>
          <tx>
            <rich>
              <a:bodyPr xmlns:a="http://schemas.openxmlformats.org/drawingml/2006/main"/>
              <a:lstStyle xmlns:a="http://schemas.openxmlformats.org/drawingml/2006/main"/>
              <a:p xmlns:a="http://schemas.openxmlformats.org/drawingml/2006/main">
                <a:pPr>
                  <a:defRPr/>
                </a:pPr>
                <a:r>
                  <a:rPr lang="en-GB"/>
                  <a:t>Month</a:t>
                </a:r>
              </a:p>
            </rich>
          </tx>
          <overlay val="1"/>
        </title>
        <majorTickMark val="none"/>
        <minorTickMark val="none"/>
        <tickLblPos val="nextTo"/>
        <crossAx val="100"/>
        <crosses val="autoZero"/>
        <auto val="1"/>
        <lblAlgn val="ctr"/>
        <lblOffset val="100"/>
        <noMultiLvlLbl val="1"/>
      </catAx>
      <valAx>
        <axId val="100"/>
        <scaling>
          <orientation val="minMax"/>
        </scaling>
        <delete val="1"/>
        <axPos val="l"/>
        <majorGridlines/>
        <title>
          <tx>
            <rich>
              <a:bodyPr xmlns:a="http://schemas.openxmlformats.org/drawingml/2006/main"/>
              <a:lstStyle xmlns:a="http://schemas.openxmlformats.org/drawingml/2006/main"/>
              <a:p xmlns:a="http://schemas.openxmlformats.org/drawingml/2006/main">
                <a:pPr>
                  <a:defRPr/>
                </a:pPr>
                <a:r>
                  <a:rPr lang="en-GB"/>
                  <a:t>EUR/MWh</a:t>
                </a:r>
              </a:p>
            </rich>
          </tx>
          <overlay val="1"/>
        </title>
        <numFmt formatCode="General" sourceLinked="1"/>
        <majorTickMark val="none"/>
        <minorTickMark val="none"/>
        <tickLblPos val="nextTo"/>
        <crossAx val="10"/>
        <crosses val="autoZero"/>
        <crossBetween val="between"/>
      </valAx>
    </plotArea>
    <legend>
      <legendPos val="r"/>
      <overlay val="1"/>
    </legend>
    <plotVisOnly val="1"/>
    <dispBlanksAs val="gap"/>
  </chart>
</chartSpace>
</file>

<file path=xl/charts/chart101.xml><?xml version="1.0" encoding="utf-8"?>
<chartSpace xmlns="http://schemas.openxmlformats.org/drawingml/2006/chart">
  <chart>
    <title>
      <tx>
        <rich>
          <a:bodyPr xmlns:a="http://schemas.openxmlformats.org/drawingml/2006/main"/>
          <a:lstStyle xmlns:a="http://schemas.openxmlformats.org/drawingml/2006/main"/>
          <a:p xmlns:a="http://schemas.openxmlformats.org/drawingml/2006/main">
            <a:pPr>
              <a:defRPr/>
            </a:pPr>
            <a:r>
              <a:rPr lang="en-GB"/>
              <a:t>Capture Price Ratio - DK1 Primary | DK2 Robustness</a:t>
            </a:r>
          </a:p>
        </rich>
      </tx>
      <overlay val="1"/>
    </title>
    <plotArea>
      <layout/>
      <lineChart>
        <grouping val="standard"/>
        <varyColors val="1"/>
        <ser>
          <idx val="0"/>
          <order val="0"/>
          <tx>
            <strRef>
              <f>'Capture Price Inputs'!$J$1</f>
              <strCache>
                <ptCount val="1"/>
                <pt idx="0">
                  <v>DK1 CPR — Primary</v>
                </pt>
              </strCache>
            </strRef>
          </tx>
          <spPr>
            <a:ln xmlns:a="http://schemas.openxmlformats.org/drawingml/2006/main">
              <a:solidFill>
                <a:srgbClr val="2E75B6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val>
            <numRef>
              <f>'Capture Price Inputs'!$J$2:$J$85</f>
              <numCache>
                <formatCode>General</formatCode>
                <ptCount val="84"/>
                <pt idx="12">
                  <v>1.009148659447442</v>
                </pt>
                <pt idx="13">
                  <v>1.298591168695051</v>
                </pt>
                <pt idx="14">
                  <v>0.8710146939215303</v>
                </pt>
                <pt idx="15">
                  <v>0.7131577255881921</v>
                </pt>
                <pt idx="16">
                  <v>0.9641557693120565</v>
                </pt>
                <pt idx="17">
                  <v>1.039466413731094</v>
                </pt>
                <pt idx="18">
                  <v>1.008618155660831</v>
                </pt>
                <pt idx="19">
                  <v>0.9808226440750074</v>
                </pt>
                <pt idx="20">
                  <v>1.010404486913005</v>
                </pt>
                <pt idx="21">
                  <v>1.236802226812374</v>
                </pt>
                <pt idx="22">
                  <v>1.094777917215692</v>
                </pt>
                <pt idx="23">
                  <v>1.008230164182662</v>
                </pt>
                <pt idx="24">
                  <v>1.103930861568265</v>
                </pt>
                <pt idx="25">
                  <v>1.005947927705425</v>
                </pt>
                <pt idx="26">
                  <v>0.9871758725122356</v>
                </pt>
                <pt idx="27">
                  <v>0.9088464745665017</v>
                </pt>
                <pt idx="28">
                  <v>0.8775180518715436</v>
                </pt>
                <pt idx="29">
                  <v>0.9569142795347317</v>
                </pt>
                <pt idx="30">
                  <v>0.9821132371596978</v>
                </pt>
                <pt idx="31">
                  <v>0.9902714780245057</v>
                </pt>
                <pt idx="32">
                  <v>0.9269044048361358</v>
                </pt>
                <pt idx="33">
                  <v>1.081088507413439</v>
                </pt>
                <pt idx="34">
                  <v>1.133803408504466</v>
                </pt>
                <pt idx="35">
                  <v>1.208676962454928</v>
                </pt>
                <pt idx="36">
                  <v>1.044125730427727</v>
                </pt>
                <pt idx="37">
                  <v>1.04022281700981</v>
                </pt>
                <pt idx="38">
                  <v>0.8120775904420741</v>
                </pt>
                <pt idx="39">
                  <v>0.8903913338467833</v>
                </pt>
                <pt idx="40">
                  <v>0.8694301605049858</v>
                </pt>
                <pt idx="41">
                  <v>0.9080390201234191</v>
                </pt>
                <pt idx="42">
                  <v>0.8704179159294955</v>
                </pt>
                <pt idx="43">
                  <v>0.9190855304670003</v>
                </pt>
                <pt idx="44">
                  <v>0.9063290180568312</v>
                </pt>
                <pt idx="45">
                  <v>0.9161232525396177</v>
                </pt>
                <pt idx="46">
                  <v>0.9427861207466001</v>
                </pt>
                <pt idx="47">
                  <v>1.132810339248927</v>
                </pt>
                <pt idx="48">
                  <v>1.230919869122654</v>
                </pt>
                <pt idx="49">
                  <v>0.93008781340266</v>
                </pt>
                <pt idx="50">
                  <v>0.9461253975959896</v>
                </pt>
                <pt idx="51">
                  <v>0.7920396612038634</v>
                </pt>
                <pt idx="52">
                  <v>0.6833361056151995</v>
                </pt>
                <pt idx="53">
                  <v>0.8096506208621567</v>
                </pt>
                <pt idx="54">
                  <v>0.8038042195326093</v>
                </pt>
                <pt idx="55">
                  <v>0.8628930977720407</v>
                </pt>
                <pt idx="56">
                  <v>0.8038389922187259</v>
                </pt>
                <pt idx="57">
                  <v>0.8408360556054226</v>
                </pt>
                <pt idx="58">
                  <v>1.028656893611996</v>
                </pt>
                <pt idx="59">
                  <v>0.9132560776287663</v>
                </pt>
                <pt idx="60">
                  <v>1.051614630458469</v>
                </pt>
                <pt idx="61">
                  <v>1.014420829179444</v>
                </pt>
                <pt idx="62">
                  <v>0.8373818542217274</v>
                </pt>
                <pt idx="63">
                  <v>0.8346846016164379</v>
                </pt>
                <pt idx="64">
                  <v>0.6133984536650869</v>
                </pt>
                <pt idx="65">
                  <v>0.7378100322386865</v>
                </pt>
                <pt idx="66">
                  <v>0.685499494870618</v>
                </pt>
                <pt idx="67">
                  <v>0.7151267621934952</v>
                </pt>
                <pt idx="68">
                  <v>0.636525223039573</v>
                </pt>
                <pt idx="69">
                  <v>0.7617518807592967</v>
                </pt>
                <pt idx="70">
                  <v>1.017494003861172</v>
                </pt>
                <pt idx="71">
                  <v>1.002567416041121</v>
                </pt>
                <pt idx="72">
                  <v>1.135032584901597</v>
                </pt>
                <pt idx="73">
                  <v>0.9341166514187298</v>
                </pt>
                <pt idx="74">
                  <v>0.6857908168802248</v>
                </pt>
                <pt idx="75">
                  <v>0.609953535618325</v>
                </pt>
                <pt idx="76">
                  <v>0.6237511742318941</v>
                </pt>
                <pt idx="77">
                  <v>0.569764321286333</v>
                </pt>
                <pt idx="78">
                  <v>0.7405896710838001</v>
                </pt>
                <pt idx="79">
                  <v>0.6499711234459455</v>
                </pt>
                <pt idx="80">
                  <v>0.6827347489865859</v>
                </pt>
                <pt idx="81">
                  <v>0.9470151719348058</v>
                </pt>
                <pt idx="82">
                  <v>1.028976430956097</v>
                </pt>
                <pt idx="83">
                  <v>0.9820538861792604</v>
                </pt>
              </numCache>
            </numRef>
          </val>
          <smooth val="1"/>
        </ser>
        <ser>
          <idx val="1"/>
          <order val="1"/>
          <tx>
            <strRef>
              <f>'Capture Price Inputs'!$K$1</f>
              <strCache>
                <ptCount val="1"/>
                <pt idx="0">
                  <v>DK2 CPR — Robustness</v>
                </pt>
              </strCache>
            </strRef>
          </tx>
          <spPr>
            <a:ln xmlns:a="http://schemas.openxmlformats.org/drawingml/2006/main">
              <a:solidFill>
                <a:srgbClr val="9DC3E6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val>
            <numRef>
              <f>'Capture Price Inputs'!$K$2:$K$85</f>
              <numCache>
                <formatCode>General</formatCode>
                <ptCount val="84"/>
                <pt idx="12">
                  <v>1.090446324793763</v>
                </pt>
                <pt idx="13">
                  <v>1.251821301318464</v>
                </pt>
                <pt idx="14">
                  <v>0.8552077585127711</v>
                </pt>
                <pt idx="15">
                  <v>0.763620235478716</v>
                </pt>
                <pt idx="16">
                  <v>0.9763693823354528</v>
                </pt>
                <pt idx="17">
                  <v>1.180647007173951</v>
                </pt>
                <pt idx="18">
                  <v>1.021791049952987</v>
                </pt>
                <pt idx="19">
                  <v>1.077948442472481</v>
                </pt>
                <pt idx="20">
                  <v>1.059189092335807</v>
                </pt>
                <pt idx="21">
                  <v>1.247549053102559</v>
                </pt>
                <pt idx="22">
                  <v>1.057080411727209</v>
                </pt>
                <pt idx="23">
                  <v>1.125691191699302</v>
                </pt>
                <pt idx="24">
                  <v>1.122164979814525</v>
                </pt>
                <pt idx="25">
                  <v>0.9585139857498034</v>
                </pt>
                <pt idx="26">
                  <v>1.014774172650395</v>
                </pt>
                <pt idx="27">
                  <v>0.9590164366476613</v>
                </pt>
                <pt idx="28">
                  <v>0.9103388736117121</v>
                </pt>
                <pt idx="29">
                  <v>0.9440449187481634</v>
                </pt>
                <pt idx="30">
                  <v>0.9569285690465077</v>
                </pt>
                <pt idx="31">
                  <v>1.001768528067071</v>
                </pt>
                <pt idx="32">
                  <v>0.9583833699094481</v>
                </pt>
                <pt idx="33">
                  <v>1.144501265847132</v>
                </pt>
                <pt idx="34">
                  <v>1.126460857141801</v>
                </pt>
                <pt idx="35">
                  <v>1.279578427053047</v>
                </pt>
                <pt idx="36">
                  <v>1.161754652341282</v>
                </pt>
                <pt idx="37">
                  <v>1.084871924613185</v>
                </pt>
                <pt idx="38">
                  <v>0.8162958275837114</v>
                </pt>
                <pt idx="39">
                  <v>0.9391804877392103</v>
                </pt>
                <pt idx="40">
                  <v>0.8991456314331195</v>
                </pt>
                <pt idx="41">
                  <v>0.9015136745747578</v>
                </pt>
                <pt idx="42">
                  <v>0.909562444967756</v>
                </pt>
                <pt idx="43">
                  <v>0.8830756108422062</v>
                </pt>
                <pt idx="44">
                  <v>0.9608536982958826</v>
                </pt>
                <pt idx="45">
                  <v>0.8774354195736861</v>
                </pt>
                <pt idx="46">
                  <v>0.9240447439178995</v>
                </pt>
                <pt idx="47">
                  <v>1.218528056069729</v>
                </pt>
                <pt idx="48">
                  <v>1.21186632363043</v>
                </pt>
                <pt idx="49">
                  <v>1.024478122815962</v>
                </pt>
                <pt idx="50">
                  <v>0.992236312197012</v>
                </pt>
                <pt idx="51">
                  <v>0.8502587347820391</v>
                </pt>
                <pt idx="52">
                  <v>0.7310174827054021</v>
                </pt>
                <pt idx="53">
                  <v>0.7860381991736552</v>
                </pt>
                <pt idx="54">
                  <v>0.7717034871247128</v>
                </pt>
                <pt idx="55">
                  <v>0.8454610410569836</v>
                </pt>
                <pt idx="56">
                  <v>0.7532917330845335</v>
                </pt>
                <pt idx="57">
                  <v>0.837234490334641</v>
                </pt>
                <pt idx="58">
                  <v>1.038705241708771</v>
                </pt>
                <pt idx="59">
                  <v>0.8332670757562848</v>
                </pt>
                <pt idx="60">
                  <v>0.977144875107929</v>
                </pt>
                <pt idx="61">
                  <v>0.9399172603334611</v>
                </pt>
                <pt idx="62">
                  <v>0.8314293202728863</v>
                </pt>
                <pt idx="63">
                  <v>0.7780510745637418</v>
                </pt>
                <pt idx="64">
                  <v>0.5900556342707577</v>
                </pt>
                <pt idx="65">
                  <v>0.6943958569114143</v>
                </pt>
                <pt idx="66">
                  <v>0.6176283845394642</v>
                </pt>
                <pt idx="67">
                  <v>0.6493471479229646</v>
                </pt>
                <pt idx="68">
                  <v>0.6157480113547513</v>
                </pt>
                <pt idx="69">
                  <v>0.7800073506793195</v>
                </pt>
                <pt idx="70">
                  <v>0.9404779955101509</v>
                </pt>
                <pt idx="71">
                  <v>1.087006718547946</v>
                </pt>
                <pt idx="72">
                  <v>1.149400364807902</v>
                </pt>
                <pt idx="73">
                  <v>0.9066238427133391</v>
                </pt>
                <pt idx="74">
                  <v>0.603741164715803</v>
                </pt>
                <pt idx="75">
                  <v>0.5517436798810373</v>
                </pt>
                <pt idx="76">
                  <v>0.544059463307295</v>
                </pt>
                <pt idx="77">
                  <v>0.4307606652121766</v>
                </pt>
                <pt idx="78">
                  <v>0.7474634186196619</v>
                </pt>
                <pt idx="79">
                  <v>0.5717894234335987</v>
                </pt>
                <pt idx="80">
                  <v>0.635731600833678</v>
                </pt>
                <pt idx="81">
                  <v>0.9548084008156305</v>
                </pt>
                <pt idx="82">
                  <v>0.9892725129496999</v>
                </pt>
                <pt idx="83">
                  <v>0.9701479625359415</v>
                </pt>
              </numCache>
            </numRef>
          </val>
          <smooth val="1"/>
        </ser>
        <dLbls>
          <showLegendKey val="0"/>
          <showVal val="0"/>
          <showCatName val="0"/>
          <showSerName val="0"/>
          <showPercent val="0"/>
          <showBubbleSize val="0"/>
        </dLbls>
        <smooth val="0"/>
        <axId val="10"/>
        <axId val="100"/>
      </lineChart>
      <catAx>
        <axId val="10"/>
        <scaling>
          <orientation val="minMax"/>
        </scaling>
        <delete val="1"/>
        <axPos val="b"/>
        <title>
          <tx>
            <rich>
              <a:bodyPr xmlns:a="http://schemas.openxmlformats.org/drawingml/2006/main"/>
              <a:lstStyle xmlns:a="http://schemas.openxmlformats.org/drawingml/2006/main"/>
              <a:p xmlns:a="http://schemas.openxmlformats.org/drawingml/2006/main">
                <a:pPr>
                  <a:defRPr/>
                </a:pPr>
                <a:r>
                  <a:rPr lang="en-GB"/>
                  <a:t>Month</a:t>
                </a:r>
              </a:p>
            </rich>
          </tx>
          <overlay val="1"/>
        </title>
        <majorTickMark val="none"/>
        <minorTickMark val="none"/>
        <tickLblPos val="nextTo"/>
        <crossAx val="100"/>
        <crosses val="autoZero"/>
        <auto val="1"/>
        <lblAlgn val="ctr"/>
        <lblOffset val="100"/>
        <noMultiLvlLbl val="1"/>
      </catAx>
      <valAx>
        <axId val="100"/>
        <scaling>
          <orientation val="minMax"/>
        </scaling>
        <delete val="1"/>
        <axPos val="l"/>
        <majorGridlines/>
        <title>
          <tx>
            <rich>
              <a:bodyPr xmlns:a="http://schemas.openxmlformats.org/drawingml/2006/main"/>
              <a:lstStyle xmlns:a="http://schemas.openxmlformats.org/drawingml/2006/main"/>
              <a:p xmlns:a="http://schemas.openxmlformats.org/drawingml/2006/main">
                <a:pPr>
                  <a:defRPr/>
                </a:pPr>
                <a:r>
                  <a:rPr lang="en-GB"/>
                  <a:t>CPR</a:t>
                </a:r>
              </a:p>
            </rich>
          </tx>
          <overlay val="1"/>
        </title>
        <numFmt formatCode="General" sourceLinked="1"/>
        <majorTickMark val="none"/>
        <minorTickMark val="none"/>
        <tickLblPos val="nextTo"/>
        <crossAx val="10"/>
        <crosses val="autoZero"/>
        <crossBetween val="between"/>
      </valAx>
    </plotArea>
    <legend>
      <legendPos val="r"/>
      <overlay val="1"/>
    </legend>
    <plotVisOnly val="1"/>
    <dispBlanksAs val="gap"/>
  </chart>
</chartSpace>
</file>

<file path=xl/charts/chart102.xml><?xml version="1.0" encoding="utf-8"?>
<chartSpace xmlns="http://schemas.openxmlformats.org/drawingml/2006/chart">
  <chart>
    <title>
      <tx>
        <rich>
          <a:bodyPr xmlns:a="http://schemas.openxmlformats.org/drawingml/2006/main"/>
          <a:lstStyle xmlns:a="http://schemas.openxmlformats.org/drawingml/2006/main"/>
          <a:p xmlns:a="http://schemas.openxmlformats.org/drawingml/2006/main">
            <a:pPr>
              <a:defRPr/>
            </a:pPr>
            <a:r>
              <a:rPr lang="en-GB"/>
              <a:t>Solar Penetration - DK1 Primary | DK2 Robustness</a:t>
            </a:r>
          </a:p>
        </rich>
      </tx>
      <overlay val="1"/>
    </title>
    <plotArea>
      <layout/>
      <lineChart>
        <grouping val="standard"/>
        <varyColors val="1"/>
        <ser>
          <idx val="0"/>
          <order val="0"/>
          <tx>
            <strRef>
              <f>'Capture Price Inputs'!$F$1</f>
              <strCache>
                <ptCount val="1"/>
                <pt idx="0">
                  <v>DK1 Solar Penetration (%) — Primary</v>
                </pt>
              </strCache>
            </strRef>
          </tx>
          <spPr>
            <a:ln xmlns:a="http://schemas.openxmlformats.org/drawingml/2006/main">
              <a:solidFill>
                <a:srgbClr val="FF8C00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val>
            <numRef>
              <f>'Capture Price Inputs'!$F$2:$F$85</f>
              <numCache>
                <formatCode>General</formatCode>
                <ptCount val="84"/>
                <pt idx="0">
                  <v>0</v>
                </pt>
                <pt idx="1">
                  <v>0</v>
                </pt>
                <pt idx="2">
                  <v>0</v>
                </pt>
                <pt idx="3">
                  <v>0</v>
                </pt>
                <pt idx="4">
                  <v>0</v>
                </pt>
                <pt idx="5">
                  <v>0</v>
                </pt>
                <pt idx="6">
                  <v>0</v>
                </pt>
                <pt idx="7">
                  <v>0</v>
                </pt>
                <pt idx="8">
                  <v>0</v>
                </pt>
                <pt idx="9">
                  <v>0</v>
                </pt>
                <pt idx="10">
                  <v>0</v>
                </pt>
                <pt idx="11">
                  <v>0</v>
                </pt>
                <pt idx="12">
                  <v>0.002264447892629483</v>
                </pt>
                <pt idx="13">
                  <v>0.005247452024482245</v>
                </pt>
                <pt idx="14">
                  <v>0.02020167759412729</v>
                </pt>
                <pt idx="15">
                  <v>0.0324279896123047</v>
                </pt>
                <pt idx="16">
                  <v>0.03608008723790357</v>
                </pt>
                <pt idx="17">
                  <v>0.03741361883164089</v>
                </pt>
                <pt idx="18">
                  <v>0.03399843385950392</v>
                </pt>
                <pt idx="19">
                  <v>0.03422476314253766</v>
                </pt>
                <pt idx="20">
                  <v>0.02433015193915724</v>
                </pt>
                <pt idx="21">
                  <v>0.01149038754944678</v>
                </pt>
                <pt idx="22">
                  <v>0.0001521101274151999</v>
                </pt>
                <pt idx="23">
                  <v>1.472410662127807e-05</v>
                </pt>
                <pt idx="24">
                  <v>0.003631355999035091</v>
                </pt>
                <pt idx="25">
                  <v>0.0108689417180573</v>
                </pt>
                <pt idx="26">
                  <v>0.02238230390737163</v>
                </pt>
                <pt idx="27">
                  <v>0.04212837115783985</v>
                </pt>
                <pt idx="28">
                  <v>0.03307505221196035</v>
                </pt>
                <pt idx="29">
                  <v>0.04984166182181952</v>
                </pt>
                <pt idx="30">
                  <v>0.0485715434854639</v>
                </pt>
                <pt idx="31">
                  <v>0.0388769479447087</v>
                </pt>
                <pt idx="32">
                  <v>0.02593285017943629</v>
                </pt>
                <pt idx="33">
                  <v>0.01746009643148906</v>
                </pt>
                <pt idx="34">
                  <v>0.007029306005813504</v>
                </pt>
                <pt idx="35">
                  <v>0.003243365391886713</v>
                </pt>
                <pt idx="36">
                  <v>0.006675315547248087</v>
                </pt>
                <pt idx="37">
                  <v>0.0173995712330029</v>
                </pt>
                <pt idx="38">
                  <v>0.06195507058644287</v>
                </pt>
                <pt idx="39">
                  <v>0.08404056603836467</v>
                </pt>
                <pt idx="40">
                  <v>0.09687689142031611</v>
                </pt>
                <pt idx="41">
                  <v>0.09496202074431148</v>
                </pt>
                <pt idx="42">
                  <v>0.09963556652585577</v>
                </pt>
                <pt idx="43">
                  <v>0.08962697832526678</v>
                </pt>
                <pt idx="44">
                  <v>0.06604649859170474</v>
                </pt>
                <pt idx="45">
                  <v>0.03746941447765471</v>
                </pt>
                <pt idx="46">
                  <v>0.01046932675470221</v>
                </pt>
                <pt idx="47">
                  <v>0.006229164645196865</v>
                </pt>
                <pt idx="48">
                  <v>0.01246069427686292</v>
                </pt>
                <pt idx="49">
                  <v>0.03437640419176364</v>
                </pt>
                <pt idx="50">
                  <v>0.05647796857705859</v>
                </pt>
                <pt idx="51">
                  <v>0.1509467292684683</v>
                </pt>
                <pt idx="52">
                  <v>0.18600333743842</v>
                </pt>
                <pt idx="53">
                  <v>0.218925737129461</v>
                </pt>
                <pt idx="54">
                  <v>0.1892952405634502</v>
                </pt>
                <pt idx="55">
                  <v>0.1493297980639493</v>
                </pt>
                <pt idx="56">
                  <v>0.1319165438654872</v>
                </pt>
                <pt idx="57">
                  <v>0.0428648864567301</v>
                </pt>
                <pt idx="58">
                  <v>0.01600349353715238</v>
                </pt>
                <pt idx="59">
                  <v>0.006390504672696534</v>
                </pt>
                <pt idx="60">
                  <v>0.01341718605060752</v>
                </pt>
                <pt idx="61">
                  <v>0.0264362238379265</v>
                </pt>
                <pt idx="62">
                  <v>0.06623397340035048</v>
                </pt>
                <pt idx="63">
                  <v>0.1084169878649764</v>
                </pt>
                <pt idx="64">
                  <v>0.1888703164988005</v>
                </pt>
                <pt idx="65">
                  <v>0.1715230569234828</v>
                </pt>
                <pt idx="66">
                  <v>0.1809062055635286</v>
                </pt>
                <pt idx="67">
                  <v>0.155121531117258</v>
                </pt>
                <pt idx="68">
                  <v>0.1275567235314205</v>
                </pt>
                <pt idx="69">
                  <v>0.06287376784741511</v>
                </pt>
                <pt idx="70">
                  <v>0.01780902737610289</v>
                </pt>
                <pt idx="71">
                  <v>0.006785797568345668</v>
                </pt>
                <pt idx="72">
                  <v>0.01366055484422285</v>
                </pt>
                <pt idx="73">
                  <v>0.04341993481717769</v>
                </pt>
                <pt idx="74">
                  <v>0.1120694547038418</v>
                </pt>
                <pt idx="75">
                  <v>0.1482754875605271</v>
                </pt>
                <pt idx="76">
                  <v>0.1924446817596716</v>
                </pt>
                <pt idx="77">
                  <v>0.1878482923852328</v>
                </pt>
                <pt idx="78">
                  <v>0.2182818884824121</v>
                </pt>
                <pt idx="79">
                  <v>0.1901168401280812</v>
                </pt>
                <pt idx="80">
                  <v>0.1381615272451792</v>
                </pt>
                <pt idx="81">
                  <v>0.06946207120205163</v>
                </pt>
                <pt idx="82">
                  <v>0.02660497040214753</v>
                </pt>
                <pt idx="83">
                  <v>0.0140253486520015</v>
                </pt>
              </numCache>
            </numRef>
          </val>
          <smooth val="1"/>
        </ser>
        <ser>
          <idx val="1"/>
          <order val="1"/>
          <tx>
            <strRef>
              <f>'Capture Price Inputs'!$G$1</f>
              <strCache>
                <ptCount val="1"/>
                <pt idx="0">
                  <v>DK2 Solar Penetration (%) — Robustness</v>
                </pt>
              </strCache>
            </strRef>
          </tx>
          <spPr>
            <a:ln xmlns:a="http://schemas.openxmlformats.org/drawingml/2006/main">
              <a:solidFill>
                <a:srgbClr val="FFD700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val>
            <numRef>
              <f>'Capture Price Inputs'!$G$2:$G$85</f>
              <numCache>
                <formatCode>General</formatCode>
                <ptCount val="84"/>
                <pt idx="0">
                  <v>0</v>
                </pt>
                <pt idx="1">
                  <v>0</v>
                </pt>
                <pt idx="2">
                  <v>0</v>
                </pt>
                <pt idx="3">
                  <v>0</v>
                </pt>
                <pt idx="4">
                  <v>0</v>
                </pt>
                <pt idx="5">
                  <v>0</v>
                </pt>
                <pt idx="6">
                  <v>0</v>
                </pt>
                <pt idx="7">
                  <v>0</v>
                </pt>
                <pt idx="8">
                  <v>0</v>
                </pt>
                <pt idx="9">
                  <v>0</v>
                </pt>
                <pt idx="10">
                  <v>0</v>
                </pt>
                <pt idx="11">
                  <v>0</v>
                </pt>
                <pt idx="12">
                  <v>0.001864323044087839</v>
                </pt>
                <pt idx="13">
                  <v>0.004961339344807235</v>
                </pt>
                <pt idx="14">
                  <v>0.01532033335337761</v>
                </pt>
                <pt idx="15">
                  <v>0.02618059513454593</v>
                </pt>
                <pt idx="16">
                  <v>0.03224093077416624</v>
                </pt>
                <pt idx="17">
                  <v>0.03065181208815584</v>
                </pt>
                <pt idx="18">
                  <v>0.02998206800974695</v>
                </pt>
                <pt idx="19">
                  <v>0.02803471341430708</v>
                </pt>
                <pt idx="20">
                  <v>0.02173647910159525</v>
                </pt>
                <pt idx="21">
                  <v>0.01107911770574695</v>
                </pt>
                <pt idx="22">
                  <v>0.0001104461157833284</v>
                </pt>
                <pt idx="23">
                  <v>5.635243358406259e-06</v>
                </pt>
                <pt idx="24">
                  <v>0.003104474131982996</v>
                </pt>
                <pt idx="25">
                  <v>0.009248336948772359</v>
                </pt>
                <pt idx="26">
                  <v>0.01847451704521283</v>
                </pt>
                <pt idx="27">
                  <v>0.03269440748331279</v>
                </pt>
                <pt idx="28">
                  <v>0.03294582929454019</v>
                </pt>
                <pt idx="29">
                  <v>0.04448013314005607</v>
                </pt>
                <pt idx="30">
                  <v>0.03704954253730217</v>
                </pt>
                <pt idx="31">
                  <v>0.03185776883426199</v>
                </pt>
                <pt idx="32">
                  <v>0.0223981137027396</v>
                </pt>
                <pt idx="33">
                  <v>0.01267326343754744</v>
                </pt>
                <pt idx="34">
                  <v>0.004013281085791027</v>
                </pt>
                <pt idx="35">
                  <v>0.001822629583826099</v>
                </pt>
                <pt idx="36">
                  <v>0.004939556742877535</v>
                </pt>
                <pt idx="37">
                  <v>0.01324848558669828</v>
                </pt>
                <pt idx="38">
                  <v>0.03408933034912105</v>
                </pt>
                <pt idx="39">
                  <v>0.05525443609957865</v>
                </pt>
                <pt idx="40">
                  <v>0.06581145996085939</v>
                </pt>
                <pt idx="41">
                  <v>0.06452822904586782</v>
                </pt>
                <pt idx="42">
                  <v>0.06702580380195292</v>
                </pt>
                <pt idx="43">
                  <v>0.06129992439719582</v>
                </pt>
                <pt idx="44">
                  <v>0.04578427610350702</v>
                </pt>
                <pt idx="45">
                  <v>0.0298090580270354</v>
                </pt>
                <pt idx="46">
                  <v>0.007865295261900549</v>
                </pt>
                <pt idx="47">
                  <v>0.004532355552973548</v>
                </pt>
                <pt idx="48">
                  <v>0.005862652723136608</v>
                </pt>
                <pt idx="49">
                  <v>0.01887764841837355</v>
                </pt>
                <pt idx="50">
                  <v>0.03709622939200571</v>
                </pt>
                <pt idx="51">
                  <v>0.08026996603382495</v>
                </pt>
                <pt idx="52">
                  <v>0.1080032082802261</v>
                </pt>
                <pt idx="53">
                  <v>0.1144244665352921</v>
                </pt>
                <pt idx="54">
                  <v>0.1020307450715976</v>
                </pt>
                <pt idx="55">
                  <v>0.07793101053296771</v>
                </pt>
                <pt idx="56">
                  <v>0.08090995463931874</v>
                </pt>
                <pt idx="57">
                  <v>0.02917234021559438</v>
                </pt>
                <pt idx="58">
                  <v>0.0104098691216888</v>
                </pt>
                <pt idx="59">
                  <v>0.003809030164374855</v>
                </pt>
                <pt idx="60">
                  <v>0.006178183072975508</v>
                </pt>
                <pt idx="61">
                  <v>0.01667231366864759</v>
                </pt>
                <pt idx="62">
                  <v>0.04111280636733766</v>
                </pt>
                <pt idx="63">
                  <v>0.06512337874480645</v>
                </pt>
                <pt idx="64">
                  <v>0.106315341440858</v>
                </pt>
                <pt idx="65">
                  <v>0.1072729076610999</v>
                </pt>
                <pt idx="66">
                  <v>0.1057942634887733</v>
                </pt>
                <pt idx="67">
                  <v>0.0936908322687052</v>
                </pt>
                <pt idx="68">
                  <v>0.07246320282040017</v>
                </pt>
                <pt idx="69">
                  <v>0.03614525389237988</v>
                </pt>
                <pt idx="70">
                  <v>0.008602841405423608</v>
                </pt>
                <pt idx="71">
                  <v>0.004171468465776758</v>
                </pt>
                <pt idx="72">
                  <v>0.007223240212576967</v>
                </pt>
                <pt idx="73">
                  <v>0.02010831138567791</v>
                </pt>
                <pt idx="74">
                  <v>0.04654786644745259</v>
                </pt>
                <pt idx="75">
                  <v>0.07168978364906199</v>
                </pt>
                <pt idx="76">
                  <v>0.09471412725623395</v>
                </pt>
                <pt idx="77">
                  <v>0.09982625001551076</v>
                </pt>
                <pt idx="78">
                  <v>0.09399641941869914</v>
                </pt>
                <pt idx="79">
                  <v>0.1057378118957395</v>
                </pt>
                <pt idx="80">
                  <v>0.09062887968652376</v>
                </pt>
                <pt idx="81">
                  <v>0.03957312567862663</v>
                </pt>
                <pt idx="82">
                  <v>0.01454364344794783</v>
                </pt>
                <pt idx="83">
                  <v>0.00906949116088333</v>
                </pt>
              </numCache>
            </numRef>
          </val>
          <smooth val="1"/>
        </ser>
        <dLbls>
          <showLegendKey val="0"/>
          <showVal val="0"/>
          <showCatName val="0"/>
          <showSerName val="0"/>
          <showPercent val="0"/>
          <showBubbleSize val="0"/>
        </dLbls>
        <smooth val="0"/>
        <axId val="10"/>
        <axId val="100"/>
      </lineChart>
      <catAx>
        <axId val="10"/>
        <scaling>
          <orientation val="minMax"/>
        </scaling>
        <delete val="1"/>
        <axPos val="b"/>
        <title>
          <tx>
            <rich>
              <a:bodyPr xmlns:a="http://schemas.openxmlformats.org/drawingml/2006/main"/>
              <a:lstStyle xmlns:a="http://schemas.openxmlformats.org/drawingml/2006/main"/>
              <a:p xmlns:a="http://schemas.openxmlformats.org/drawingml/2006/main">
                <a:pPr>
                  <a:defRPr/>
                </a:pPr>
                <a:r>
                  <a:rPr lang="en-GB"/>
                  <a:t>Month</a:t>
                </a:r>
              </a:p>
            </rich>
          </tx>
          <overlay val="1"/>
        </title>
        <majorTickMark val="none"/>
        <minorTickMark val="none"/>
        <tickLblPos val="nextTo"/>
        <crossAx val="100"/>
        <crosses val="autoZero"/>
        <auto val="1"/>
        <lblAlgn val="ctr"/>
        <lblOffset val="100"/>
        <noMultiLvlLbl val="1"/>
      </catAx>
      <valAx>
        <axId val="100"/>
        <scaling>
          <orientation val="minMax"/>
        </scaling>
        <delete val="1"/>
        <axPos val="l"/>
        <majorGridlines/>
        <title>
          <tx>
            <rich>
              <a:bodyPr xmlns:a="http://schemas.openxmlformats.org/drawingml/2006/main"/>
              <a:lstStyle xmlns:a="http://schemas.openxmlformats.org/drawingml/2006/main"/>
              <a:p xmlns:a="http://schemas.openxmlformats.org/drawingml/2006/main">
                <a:pPr>
                  <a:defRPr/>
                </a:pPr>
                <a:r>
                  <a:rPr lang="en-GB"/>
                  <a:t>Solar Penetration (%)</a:t>
                </a:r>
              </a:p>
            </rich>
          </tx>
          <overlay val="1"/>
        </title>
        <numFmt formatCode="General" sourceLinked="1"/>
        <majorTickMark val="none"/>
        <minorTickMark val="none"/>
        <tickLblPos val="nextTo"/>
        <crossAx val="10"/>
        <crosses val="autoZero"/>
        <crossBetween val="between"/>
      </valAx>
    </plotArea>
    <legend>
      <legendPos val="r"/>
      <overlay val="1"/>
    </legend>
    <plotVisOnly val="1"/>
    <dispBlanksAs val="gap"/>
  </chart>
</chartSpace>
</file>

<file path=xl/charts/chart103.xml><?xml version="1.0" encoding="utf-8"?>
<chartSpace xmlns="http://schemas.openxmlformats.org/drawingml/2006/chart">
  <chart>
    <title>
      <tx>
        <rich>
          <a:bodyPr xmlns:a="http://schemas.openxmlformats.org/drawingml/2006/main"/>
          <a:lstStyle xmlns:a="http://schemas.openxmlformats.org/drawingml/2006/main"/>
          <a:p xmlns:a="http://schemas.openxmlformats.org/drawingml/2006/main">
            <a:pPr>
              <a:defRPr/>
            </a:pPr>
            <a:r>
              <a:rPr lang="en-GB"/>
              <a:t>Capture Price - DK1 Primary | DK2 Robustness</a:t>
            </a:r>
          </a:p>
        </rich>
      </tx>
      <overlay val="1"/>
    </title>
    <plotArea>
      <layout/>
      <lineChart>
        <grouping val="standard"/>
        <varyColors val="1"/>
        <ser>
          <idx val="0"/>
          <order val="0"/>
          <tx>
            <strRef>
              <f>'Capture Price Inputs'!$H$1</f>
              <strCache>
                <ptCount val="1"/>
                <pt idx="0">
                  <v>DK1 Capture Price (EUR/MWh) — Primary</v>
                </pt>
              </strCache>
            </strRef>
          </tx>
          <spPr>
            <a:ln xmlns:a="http://schemas.openxmlformats.org/drawingml/2006/main">
              <a:solidFill>
                <a:srgbClr val="2E75B6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val>
            <numRef>
              <f>'Capture Price Inputs'!$H$2:$H$85</f>
              <numCache>
                <formatCode>General</formatCode>
                <ptCount val="84"/>
                <pt idx="12">
                  <v>25.22320957280251</v>
                </pt>
                <pt idx="13">
                  <v>22.83581899109792</v>
                </pt>
                <pt idx="14">
                  <v>15.94107348554973</v>
                </pt>
                <pt idx="15">
                  <v>10.36487590420421</v>
                </pt>
                <pt idx="16">
                  <v>15.478548945086</v>
                </pt>
                <pt idx="17">
                  <v>27.31330822786869</v>
                </pt>
                <pt idx="18">
                  <v>24.83174517810916</v>
                </pt>
                <pt idx="19">
                  <v>33.87691542204785</v>
                </pt>
                <pt idx="20">
                  <v>38.93597900337959</v>
                </pt>
                <pt idx="21">
                  <v>31.92774153305919</v>
                </pt>
                <pt idx="22">
                  <v>26.00599326599326</v>
                </pt>
                <pt idx="23">
                  <v>34.79516129032258</v>
                </pt>
                <pt idx="24">
                  <v>55.42296760727792</v>
                </pt>
                <pt idx="25">
                  <v>47.54261097914259</v>
                </pt>
                <pt idx="26">
                  <v>44.55070091580549</v>
                </pt>
                <pt idx="27">
                  <v>43.594739828473</v>
                </pt>
                <pt idx="28">
                  <v>47.65587057500122</v>
                </pt>
                <pt idx="29">
                  <v>70.54354791111106</v>
                </pt>
                <pt idx="30">
                  <v>78.56831974775861</v>
                </pt>
                <pt idx="31">
                  <v>81.98335113640179</v>
                </pt>
                <pt idx="32">
                  <v>116.2002249554484</v>
                </pt>
                <pt idx="33">
                  <v>126.5303952032395</v>
                </pt>
                <pt idx="34">
                  <v>160.7705833010295</v>
                </pt>
                <pt idx="35">
                  <v>228.8621705579358</v>
                </pt>
                <pt idx="36">
                  <v>123.2012506791719</v>
                </pt>
                <pt idx="37">
                  <v>117.67077903546</v>
                </pt>
                <pt idx="38">
                  <v>191.508071735067</v>
                </pt>
                <pt idx="39">
                  <v>145.7013871592604</v>
                </pt>
                <pt idx="40">
                  <v>149.4185612445558</v>
                </pt>
                <pt idx="41">
                  <v>194.7110340948198</v>
                </pt>
                <pt idx="42">
                  <v>239.3981525107354</v>
                </pt>
                <pt idx="43">
                  <v>419.792637226606</v>
                </pt>
                <pt idx="44">
                  <v>310.7073992726671</v>
                </pt>
                <pt idx="45">
                  <v>125.6295598680838</v>
                </pt>
                <pt idx="46">
                  <v>131.7111886265582</v>
                </pt>
                <pt idx="47">
                  <v>282.8237937420726</v>
                </pt>
                <pt idx="48">
                  <v>138.5299886842633</v>
                </pt>
                <pt idx="49">
                  <v>109.8769757213503</v>
                </pt>
                <pt idx="50">
                  <v>93.77419094069538</v>
                </pt>
                <pt idx="51">
                  <v>76.25042822265543</v>
                </pt>
                <pt idx="52">
                  <v>50.54348776008261</v>
                </pt>
                <pt idx="53">
                  <v>74.88898277621806</v>
                </pt>
                <pt idx="54">
                  <v>52.09559943846345</v>
                </pt>
                <pt idx="55">
                  <v>74.18042603997819</v>
                </pt>
                <pt idx="56">
                  <v>68.11686962339694</v>
                </pt>
                <pt idx="57">
                  <v>50.53909051970285</v>
                </pt>
                <pt idx="58">
                  <v>90.68080556242518</v>
                </pt>
                <pt idx="59">
                  <v>63.45532768878803</v>
                </pt>
                <pt idx="60">
                  <v>78.57131644167831</v>
                </pt>
                <pt idx="61">
                  <v>59.47948676805509</v>
                </pt>
                <pt idx="62">
                  <v>51.26978324155493</v>
                </pt>
                <pt idx="63">
                  <v>49.38394056201121</v>
                </pt>
                <pt idx="64">
                  <v>35.89414827140887</v>
                </pt>
                <pt idx="65">
                  <v>47.03763372739765</v>
                </pt>
                <pt idx="66">
                  <v>42.52177322309952</v>
                </pt>
                <pt idx="67">
                  <v>52.17121747504909</v>
                </pt>
                <pt idx="68">
                  <v>45.64750462621701</v>
                </pt>
                <pt idx="69">
                  <v>58.44158378709199</v>
                </pt>
                <pt idx="70">
                  <v>97.58235261633192</v>
                </pt>
                <pt idx="71">
                  <v>92.07321769383398</v>
                </pt>
                <pt idx="72">
                  <v>111.1945655985155</v>
                </pt>
                <pt idx="73">
                  <v>105.4131597378828</v>
                </pt>
                <pt idx="74">
                  <v>57.84566339627056</v>
                </pt>
                <pt idx="75">
                  <v>45.84439577068735</v>
                </pt>
                <pt idx="76">
                  <v>40.06566739400938</v>
                </pt>
                <pt idx="77">
                  <v>33.4933819651966</v>
                </pt>
                <pt idx="78">
                  <v>61.32224821093979</v>
                </pt>
                <pt idx="79">
                  <v>47.75582456745756</v>
                </pt>
                <pt idx="80">
                  <v>49.42909499605724</v>
                </pt>
                <pt idx="81">
                  <v>74.26663453789526</v>
                </pt>
                <pt idx="82">
                  <v>95.56453180252134</v>
                </pt>
                <pt idx="83">
                  <v>80.95803424278026</v>
                </pt>
              </numCache>
            </numRef>
          </val>
          <smooth val="1"/>
        </ser>
        <ser>
          <idx val="1"/>
          <order val="1"/>
          <tx>
            <strRef>
              <f>'Capture Price Inputs'!$I$1</f>
              <strCache>
                <ptCount val="1"/>
                <pt idx="0">
                  <v>DK2 Capture Price (EUR/MWh) — Robustness</v>
                </pt>
              </strCache>
            </strRef>
          </tx>
          <spPr>
            <a:ln xmlns:a="http://schemas.openxmlformats.org/drawingml/2006/main">
              <a:solidFill>
                <a:srgbClr val="9DC3E6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val>
            <numRef>
              <f>'Capture Price Inputs'!$I$2:$I$85</f>
              <numCache>
                <formatCode>General</formatCode>
                <ptCount val="84"/>
                <pt idx="12">
                  <v>29.86213642213642</v>
                </pt>
                <pt idx="13">
                  <v>23.55551782972189</v>
                </pt>
                <pt idx="14">
                  <v>17.14905069226102</v>
                </pt>
                <pt idx="15">
                  <v>13.25252312836708</v>
                </pt>
                <pt idx="16">
                  <v>18.59404938271605</v>
                </pt>
                <pt idx="17">
                  <v>35.21078005032583</v>
                </pt>
                <pt idx="18">
                  <v>26.450778046867</v>
                </pt>
                <pt idx="19">
                  <v>44.11376501540486</v>
                </pt>
                <pt idx="20">
                  <v>41.85304788087056</v>
                </pt>
                <pt idx="21">
                  <v>33.60087837290333</v>
                </pt>
                <pt idx="22">
                  <v>37.749765625</v>
                </pt>
                <pt idx="23">
                  <v>44.19142857142857</v>
                </pt>
                <pt idx="24">
                  <v>57.07213441008145</v>
                </pt>
                <pt idx="25">
                  <v>52.28508365452458</v>
                </pt>
                <pt idx="26">
                  <v>47.42264301189781</v>
                </pt>
                <pt idx="27">
                  <v>45.90136374824883</v>
                </pt>
                <pt idx="28">
                  <v>50.2587202314608</v>
                </pt>
                <pt idx="29">
                  <v>69.46934165377623</v>
                </pt>
                <pt idx="30">
                  <v>77.93311155139432</v>
                </pt>
                <pt idx="31">
                  <v>84.51274769025703</v>
                </pt>
                <pt idx="32">
                  <v>118.7457227855615</v>
                </pt>
                <pt idx="33">
                  <v>122.3841235967906</v>
                </pt>
                <pt idx="34">
                  <v>153.6267942781575</v>
                </pt>
                <pt idx="35">
                  <v>244.4872785976441</v>
                </pt>
                <pt idx="36">
                  <v>129.6774902315082</v>
                </pt>
                <pt idx="37">
                  <v>108.8033389925641</v>
                </pt>
                <pt idx="38">
                  <v>186.0504424586062</v>
                </pt>
                <pt idx="39">
                  <v>143.5375888642185</v>
                </pt>
                <pt idx="40">
                  <v>146.2536023446033</v>
                </pt>
                <pt idx="41">
                  <v>192.2325905808319</v>
                </pt>
                <pt idx="42">
                  <v>212.3625858003895</v>
                </pt>
                <pt idx="43">
                  <v>397.1798848597606</v>
                </pt>
                <pt idx="44">
                  <v>315.928842796779</v>
                </pt>
                <pt idx="45">
                  <v>120.1190076327392</v>
                </pt>
                <pt idx="46">
                  <v>134.0399027878758</v>
                </pt>
                <pt idx="47">
                  <v>303.2697848166857</v>
                </pt>
                <pt idx="48">
                  <v>120.8992864784306</v>
                </pt>
                <pt idx="49">
                  <v>103.112625406295</v>
                </pt>
                <pt idx="50">
                  <v>89.0984689216417</v>
                </pt>
                <pt idx="51">
                  <v>71.1250997055942</v>
                </pt>
                <pt idx="52">
                  <v>48.35808379645633</v>
                </pt>
                <pt idx="53">
                  <v>71.8620903722224</v>
                </pt>
                <pt idx="54">
                  <v>50.34596661709235</v>
                </pt>
                <pt idx="55">
                  <v>72.95799234798741</v>
                </pt>
                <pt idx="56">
                  <v>64.3944846724649</v>
                </pt>
                <pt idx="57">
                  <v>47.66025509428685</v>
                </pt>
                <pt idx="58">
                  <v>84.63997860526599</v>
                </pt>
                <pt idx="59">
                  <v>59.06174633307972</v>
                </pt>
                <pt idx="60">
                  <v>76.42720253521921</v>
                </pt>
                <pt idx="61">
                  <v>51.43437919654775</v>
                </pt>
                <pt idx="62">
                  <v>50.75116381305344</v>
                </pt>
                <pt idx="63">
                  <v>47.053967904828</v>
                </pt>
                <pt idx="64">
                  <v>34.29579411369289</v>
                </pt>
                <pt idx="65">
                  <v>46.37938403458337</v>
                </pt>
                <pt idx="66">
                  <v>38.81282196947117</v>
                </pt>
                <pt idx="67">
                  <v>47.15186311829253</v>
                </pt>
                <pt idx="68">
                  <v>43.35594635084219</v>
                </pt>
                <pt idx="69">
                  <v>59.53493763028656</v>
                </pt>
                <pt idx="70">
                  <v>89.61127747791728</v>
                </pt>
                <pt idx="71">
                  <v>100.7961313991171</v>
                </pt>
                <pt idx="72">
                  <v>115.0822593270056</v>
                </pt>
                <pt idx="73">
                  <v>106.9231820731682</v>
                </pt>
                <pt idx="74">
                  <v>50.01806296126875</v>
                </pt>
                <pt idx="75">
                  <v>41.82584156307518</v>
                </pt>
                <pt idx="76">
                  <v>34.32066034459122</v>
                </pt>
                <pt idx="77">
                  <v>24.31568572006325</v>
                </pt>
                <pt idx="78">
                  <v>59.76694388214769</v>
                </pt>
                <pt idx="79">
                  <v>43.06460478354486</v>
                </pt>
                <pt idx="80">
                  <v>52.94940515380836</v>
                </pt>
                <pt idx="81">
                  <v>78.64573032240668</v>
                </pt>
                <pt idx="82">
                  <v>92.69045487153267</v>
                </pt>
                <pt idx="83">
                  <v>79.63122802208366</v>
                </pt>
              </numCache>
            </numRef>
          </val>
          <smooth val="1"/>
        </ser>
        <dLbls>
          <showLegendKey val="0"/>
          <showVal val="0"/>
          <showCatName val="0"/>
          <showSerName val="0"/>
          <showPercent val="0"/>
          <showBubbleSize val="0"/>
        </dLbls>
        <smooth val="0"/>
        <axId val="10"/>
        <axId val="100"/>
      </lineChart>
      <catAx>
        <axId val="10"/>
        <scaling>
          <orientation val="minMax"/>
        </scaling>
        <delete val="1"/>
        <axPos val="b"/>
        <title>
          <tx>
            <rich>
              <a:bodyPr xmlns:a="http://schemas.openxmlformats.org/drawingml/2006/main"/>
              <a:lstStyle xmlns:a="http://schemas.openxmlformats.org/drawingml/2006/main"/>
              <a:p xmlns:a="http://schemas.openxmlformats.org/drawingml/2006/main">
                <a:pPr>
                  <a:defRPr/>
                </a:pPr>
                <a:r>
                  <a:rPr lang="en-GB"/>
                  <a:t>Month</a:t>
                </a:r>
              </a:p>
            </rich>
          </tx>
          <overlay val="1"/>
        </title>
        <majorTickMark val="none"/>
        <minorTickMark val="none"/>
        <tickLblPos val="nextTo"/>
        <crossAx val="100"/>
        <crosses val="autoZero"/>
        <auto val="1"/>
        <lblAlgn val="ctr"/>
        <lblOffset val="100"/>
        <noMultiLvlLbl val="1"/>
      </catAx>
      <valAx>
        <axId val="100"/>
        <scaling>
          <orientation val="minMax"/>
        </scaling>
        <delete val="1"/>
        <axPos val="l"/>
        <majorGridlines/>
        <title>
          <tx>
            <rich>
              <a:bodyPr xmlns:a="http://schemas.openxmlformats.org/drawingml/2006/main"/>
              <a:lstStyle xmlns:a="http://schemas.openxmlformats.org/drawingml/2006/main"/>
              <a:p xmlns:a="http://schemas.openxmlformats.org/drawingml/2006/main">
                <a:pPr>
                  <a:defRPr/>
                </a:pPr>
                <a:r>
                  <a:rPr lang="en-GB"/>
                  <a:t>EUR/MWh</a:t>
                </a:r>
              </a:p>
            </rich>
          </tx>
          <overlay val="1"/>
        </title>
        <numFmt formatCode="General" sourceLinked="1"/>
        <majorTickMark val="none"/>
        <minorTickMark val="none"/>
        <tickLblPos val="nextTo"/>
        <crossAx val="10"/>
        <crosses val="autoZero"/>
        <crossBetween val="between"/>
      </valAx>
    </plotArea>
    <legend>
      <legendPos val="r"/>
      <overlay val="1"/>
    </legend>
    <plotVisOnly val="1"/>
    <dispBlanksAs val="gap"/>
  </chart>
</chartSpace>
</file>

<file path=xl/charts/chart104.xml><?xml version="1.0" encoding="utf-8"?>
<chartSpace xmlns="http://schemas.openxmlformats.org/drawingml/2006/chart">
  <chart>
    <title>
      <tx>
        <rich>
          <a:bodyPr xmlns:a="http://schemas.openxmlformats.org/drawingml/2006/main"/>
          <a:lstStyle xmlns:a="http://schemas.openxmlformats.org/drawingml/2006/main"/>
          <a:p xmlns:a="http://schemas.openxmlformats.org/drawingml/2006/main">
            <a:pPr>
              <a:defRPr/>
            </a:pPr>
            <a:r>
              <a:rPr lang="en-GB"/>
              <a:t>Capture Price Ratio - DK1 Primary | DK2 Robustness</a:t>
            </a:r>
          </a:p>
        </rich>
      </tx>
      <overlay val="1"/>
    </title>
    <plotArea>
      <layout/>
      <lineChart>
        <grouping val="standard"/>
        <varyColors val="1"/>
        <ser>
          <idx val="0"/>
          <order val="0"/>
          <tx>
            <strRef>
              <f>'Capture Price Inputs'!$J$1</f>
              <strCache>
                <ptCount val="1"/>
                <pt idx="0">
                  <v>DK1 CPR — Primary</v>
                </pt>
              </strCache>
            </strRef>
          </tx>
          <spPr>
            <a:ln xmlns:a="http://schemas.openxmlformats.org/drawingml/2006/main">
              <a:solidFill>
                <a:srgbClr val="2E75B6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val>
            <numRef>
              <f>'Capture Price Inputs'!$J$2:$J$85</f>
              <numCache>
                <formatCode>General</formatCode>
                <ptCount val="84"/>
                <pt idx="12">
                  <v>1.009148659447442</v>
                </pt>
                <pt idx="13">
                  <v>1.298591168695051</v>
                </pt>
                <pt idx="14">
                  <v>0.8710146939215303</v>
                </pt>
                <pt idx="15">
                  <v>0.7131577255881921</v>
                </pt>
                <pt idx="16">
                  <v>0.9641557693120565</v>
                </pt>
                <pt idx="17">
                  <v>1.039466413731094</v>
                </pt>
                <pt idx="18">
                  <v>1.008618155660831</v>
                </pt>
                <pt idx="19">
                  <v>0.9808226440750074</v>
                </pt>
                <pt idx="20">
                  <v>1.010404486913005</v>
                </pt>
                <pt idx="21">
                  <v>1.236802226812374</v>
                </pt>
                <pt idx="22">
                  <v>1.094777917215692</v>
                </pt>
                <pt idx="23">
                  <v>1.008230164182662</v>
                </pt>
                <pt idx="24">
                  <v>1.103930861568265</v>
                </pt>
                <pt idx="25">
                  <v>1.005947927705425</v>
                </pt>
                <pt idx="26">
                  <v>0.9871758725122356</v>
                </pt>
                <pt idx="27">
                  <v>0.9088464745665017</v>
                </pt>
                <pt idx="28">
                  <v>0.8775180518715436</v>
                </pt>
                <pt idx="29">
                  <v>0.9569142795347317</v>
                </pt>
                <pt idx="30">
                  <v>0.9821132371596978</v>
                </pt>
                <pt idx="31">
                  <v>0.9902714780245057</v>
                </pt>
                <pt idx="32">
                  <v>0.9269044048361358</v>
                </pt>
                <pt idx="33">
                  <v>1.081088507413439</v>
                </pt>
                <pt idx="34">
                  <v>1.133803408504466</v>
                </pt>
                <pt idx="35">
                  <v>1.208676962454928</v>
                </pt>
                <pt idx="36">
                  <v>1.044125730427727</v>
                </pt>
                <pt idx="37">
                  <v>1.04022281700981</v>
                </pt>
                <pt idx="38">
                  <v>0.8120775904420741</v>
                </pt>
                <pt idx="39">
                  <v>0.8903913338467833</v>
                </pt>
                <pt idx="40">
                  <v>0.8694301605049858</v>
                </pt>
                <pt idx="41">
                  <v>0.9080390201234191</v>
                </pt>
                <pt idx="42">
                  <v>0.8704179159294955</v>
                </pt>
                <pt idx="43">
                  <v>0.9190855304670003</v>
                </pt>
                <pt idx="44">
                  <v>0.9063290180568312</v>
                </pt>
                <pt idx="45">
                  <v>0.9161232525396177</v>
                </pt>
                <pt idx="46">
                  <v>0.9427861207466001</v>
                </pt>
                <pt idx="47">
                  <v>1.132810339248927</v>
                </pt>
                <pt idx="48">
                  <v>1.230919869122654</v>
                </pt>
                <pt idx="49">
                  <v>0.93008781340266</v>
                </pt>
                <pt idx="50">
                  <v>0.9461253975959896</v>
                </pt>
                <pt idx="51">
                  <v>0.7920396612038634</v>
                </pt>
                <pt idx="52">
                  <v>0.6833361056151995</v>
                </pt>
                <pt idx="53">
                  <v>0.8096506208621567</v>
                </pt>
                <pt idx="54">
                  <v>0.8038042195326093</v>
                </pt>
                <pt idx="55">
                  <v>0.8628930977720407</v>
                </pt>
                <pt idx="56">
                  <v>0.8038389922187259</v>
                </pt>
                <pt idx="57">
                  <v>0.8408360556054226</v>
                </pt>
                <pt idx="58">
                  <v>1.028656893611996</v>
                </pt>
                <pt idx="59">
                  <v>0.9132560776287663</v>
                </pt>
                <pt idx="60">
                  <v>1.051614630458469</v>
                </pt>
                <pt idx="61">
                  <v>1.014420829179444</v>
                </pt>
                <pt idx="62">
                  <v>0.8373818542217274</v>
                </pt>
                <pt idx="63">
                  <v>0.8346846016164379</v>
                </pt>
                <pt idx="64">
                  <v>0.6133984536650869</v>
                </pt>
                <pt idx="65">
                  <v>0.7378100322386865</v>
                </pt>
                <pt idx="66">
                  <v>0.685499494870618</v>
                </pt>
                <pt idx="67">
                  <v>0.7151267621934952</v>
                </pt>
                <pt idx="68">
                  <v>0.636525223039573</v>
                </pt>
                <pt idx="69">
                  <v>0.7617518807592967</v>
                </pt>
                <pt idx="70">
                  <v>1.017494003861172</v>
                </pt>
                <pt idx="71">
                  <v>1.002567416041121</v>
                </pt>
                <pt idx="72">
                  <v>1.135032584901597</v>
                </pt>
                <pt idx="73">
                  <v>0.9341166514187298</v>
                </pt>
                <pt idx="74">
                  <v>0.6857908168802248</v>
                </pt>
                <pt idx="75">
                  <v>0.609953535618325</v>
                </pt>
                <pt idx="76">
                  <v>0.6237511742318941</v>
                </pt>
                <pt idx="77">
                  <v>0.569764321286333</v>
                </pt>
                <pt idx="78">
                  <v>0.7405896710838001</v>
                </pt>
                <pt idx="79">
                  <v>0.6499711234459455</v>
                </pt>
                <pt idx="80">
                  <v>0.6827347489865859</v>
                </pt>
                <pt idx="81">
                  <v>0.9470151719348058</v>
                </pt>
                <pt idx="82">
                  <v>1.028976430956097</v>
                </pt>
                <pt idx="83">
                  <v>0.9820538861792604</v>
                </pt>
              </numCache>
            </numRef>
          </val>
          <smooth val="1"/>
        </ser>
        <ser>
          <idx val="1"/>
          <order val="1"/>
          <tx>
            <strRef>
              <f>'Capture Price Inputs'!$K$1</f>
              <strCache>
                <ptCount val="1"/>
                <pt idx="0">
                  <v>DK2 CPR — Robustness</v>
                </pt>
              </strCache>
            </strRef>
          </tx>
          <spPr>
            <a:ln xmlns:a="http://schemas.openxmlformats.org/drawingml/2006/main">
              <a:solidFill>
                <a:srgbClr val="9DC3E6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val>
            <numRef>
              <f>'Capture Price Inputs'!$K$2:$K$85</f>
              <numCache>
                <formatCode>General</formatCode>
                <ptCount val="84"/>
                <pt idx="12">
                  <v>1.090446324793763</v>
                </pt>
                <pt idx="13">
                  <v>1.251821301318464</v>
                </pt>
                <pt idx="14">
                  <v>0.8552077585127711</v>
                </pt>
                <pt idx="15">
                  <v>0.763620235478716</v>
                </pt>
                <pt idx="16">
                  <v>0.9763693823354528</v>
                </pt>
                <pt idx="17">
                  <v>1.180647007173951</v>
                </pt>
                <pt idx="18">
                  <v>1.021791049952987</v>
                </pt>
                <pt idx="19">
                  <v>1.077948442472481</v>
                </pt>
                <pt idx="20">
                  <v>1.059189092335807</v>
                </pt>
                <pt idx="21">
                  <v>1.247549053102559</v>
                </pt>
                <pt idx="22">
                  <v>1.057080411727209</v>
                </pt>
                <pt idx="23">
                  <v>1.125691191699302</v>
                </pt>
                <pt idx="24">
                  <v>1.122164979814525</v>
                </pt>
                <pt idx="25">
                  <v>0.9585139857498034</v>
                </pt>
                <pt idx="26">
                  <v>1.014774172650395</v>
                </pt>
                <pt idx="27">
                  <v>0.9590164366476613</v>
                </pt>
                <pt idx="28">
                  <v>0.9103388736117121</v>
                </pt>
                <pt idx="29">
                  <v>0.9440449187481634</v>
                </pt>
                <pt idx="30">
                  <v>0.9569285690465077</v>
                </pt>
                <pt idx="31">
                  <v>1.001768528067071</v>
                </pt>
                <pt idx="32">
                  <v>0.9583833699094481</v>
                </pt>
                <pt idx="33">
                  <v>1.144501265847132</v>
                </pt>
                <pt idx="34">
                  <v>1.126460857141801</v>
                </pt>
                <pt idx="35">
                  <v>1.279578427053047</v>
                </pt>
                <pt idx="36">
                  <v>1.161754652341282</v>
                </pt>
                <pt idx="37">
                  <v>1.084871924613185</v>
                </pt>
                <pt idx="38">
                  <v>0.8162958275837114</v>
                </pt>
                <pt idx="39">
                  <v>0.9391804877392103</v>
                </pt>
                <pt idx="40">
                  <v>0.8991456314331195</v>
                </pt>
                <pt idx="41">
                  <v>0.9015136745747578</v>
                </pt>
                <pt idx="42">
                  <v>0.909562444967756</v>
                </pt>
                <pt idx="43">
                  <v>0.8830756108422062</v>
                </pt>
                <pt idx="44">
                  <v>0.9608536982958826</v>
                </pt>
                <pt idx="45">
                  <v>0.8774354195736861</v>
                </pt>
                <pt idx="46">
                  <v>0.9240447439178995</v>
                </pt>
                <pt idx="47">
                  <v>1.218528056069729</v>
                </pt>
                <pt idx="48">
                  <v>1.21186632363043</v>
                </pt>
                <pt idx="49">
                  <v>1.024478122815962</v>
                </pt>
                <pt idx="50">
                  <v>0.992236312197012</v>
                </pt>
                <pt idx="51">
                  <v>0.8502587347820391</v>
                </pt>
                <pt idx="52">
                  <v>0.7310174827054021</v>
                </pt>
                <pt idx="53">
                  <v>0.7860381991736552</v>
                </pt>
                <pt idx="54">
                  <v>0.7717034871247128</v>
                </pt>
                <pt idx="55">
                  <v>0.8454610410569836</v>
                </pt>
                <pt idx="56">
                  <v>0.7532917330845335</v>
                </pt>
                <pt idx="57">
                  <v>0.837234490334641</v>
                </pt>
                <pt idx="58">
                  <v>1.038705241708771</v>
                </pt>
                <pt idx="59">
                  <v>0.8332670757562848</v>
                </pt>
                <pt idx="60">
                  <v>0.977144875107929</v>
                </pt>
                <pt idx="61">
                  <v>0.9399172603334611</v>
                </pt>
                <pt idx="62">
                  <v>0.8314293202728863</v>
                </pt>
                <pt idx="63">
                  <v>0.7780510745637418</v>
                </pt>
                <pt idx="64">
                  <v>0.5900556342707577</v>
                </pt>
                <pt idx="65">
                  <v>0.6943958569114143</v>
                </pt>
                <pt idx="66">
                  <v>0.6176283845394642</v>
                </pt>
                <pt idx="67">
                  <v>0.6493471479229646</v>
                </pt>
                <pt idx="68">
                  <v>0.6157480113547513</v>
                </pt>
                <pt idx="69">
                  <v>0.7800073506793195</v>
                </pt>
                <pt idx="70">
                  <v>0.9404779955101509</v>
                </pt>
                <pt idx="71">
                  <v>1.087006718547946</v>
                </pt>
                <pt idx="72">
                  <v>1.149400364807902</v>
                </pt>
                <pt idx="73">
                  <v>0.9066238427133391</v>
                </pt>
                <pt idx="74">
                  <v>0.603741164715803</v>
                </pt>
                <pt idx="75">
                  <v>0.5517436798810373</v>
                </pt>
                <pt idx="76">
                  <v>0.544059463307295</v>
                </pt>
                <pt idx="77">
                  <v>0.4307606652121766</v>
                </pt>
                <pt idx="78">
                  <v>0.7474634186196619</v>
                </pt>
                <pt idx="79">
                  <v>0.5717894234335987</v>
                </pt>
                <pt idx="80">
                  <v>0.635731600833678</v>
                </pt>
                <pt idx="81">
                  <v>0.9548084008156305</v>
                </pt>
                <pt idx="82">
                  <v>0.9892725129496999</v>
                </pt>
                <pt idx="83">
                  <v>0.9701479625359415</v>
                </pt>
              </numCache>
            </numRef>
          </val>
          <smooth val="1"/>
        </ser>
        <dLbls>
          <showLegendKey val="0"/>
          <showVal val="0"/>
          <showCatName val="0"/>
          <showSerName val="0"/>
          <showPercent val="0"/>
          <showBubbleSize val="0"/>
        </dLbls>
        <smooth val="0"/>
        <axId val="10"/>
        <axId val="100"/>
      </lineChart>
      <catAx>
        <axId val="10"/>
        <scaling>
          <orientation val="minMax"/>
        </scaling>
        <delete val="1"/>
        <axPos val="b"/>
        <title>
          <tx>
            <rich>
              <a:bodyPr xmlns:a="http://schemas.openxmlformats.org/drawingml/2006/main"/>
              <a:lstStyle xmlns:a="http://schemas.openxmlformats.org/drawingml/2006/main"/>
              <a:p xmlns:a="http://schemas.openxmlformats.org/drawingml/2006/main">
                <a:pPr>
                  <a:defRPr/>
                </a:pPr>
                <a:r>
                  <a:rPr lang="en-GB"/>
                  <a:t>Month</a:t>
                </a:r>
              </a:p>
            </rich>
          </tx>
          <overlay val="1"/>
        </title>
        <majorTickMark val="none"/>
        <minorTickMark val="none"/>
        <tickLblPos val="nextTo"/>
        <crossAx val="100"/>
        <crosses val="autoZero"/>
        <auto val="1"/>
        <lblAlgn val="ctr"/>
        <lblOffset val="100"/>
        <noMultiLvlLbl val="1"/>
      </catAx>
      <valAx>
        <axId val="100"/>
        <scaling>
          <orientation val="minMax"/>
        </scaling>
        <delete val="1"/>
        <axPos val="l"/>
        <majorGridlines/>
        <title>
          <tx>
            <rich>
              <a:bodyPr xmlns:a="http://schemas.openxmlformats.org/drawingml/2006/main"/>
              <a:lstStyle xmlns:a="http://schemas.openxmlformats.org/drawingml/2006/main"/>
              <a:p xmlns:a="http://schemas.openxmlformats.org/drawingml/2006/main">
                <a:pPr>
                  <a:defRPr/>
                </a:pPr>
                <a:r>
                  <a:rPr lang="en-GB"/>
                  <a:t>CPR</a:t>
                </a:r>
              </a:p>
            </rich>
          </tx>
          <overlay val="1"/>
        </title>
        <numFmt formatCode="General" sourceLinked="1"/>
        <majorTickMark val="none"/>
        <minorTickMark val="none"/>
        <tickLblPos val="nextTo"/>
        <crossAx val="10"/>
        <crosses val="autoZero"/>
        <crossBetween val="between"/>
      </valAx>
    </plotArea>
    <legend>
      <legendPos val="r"/>
      <overlay val="1"/>
    </legend>
    <plotVisOnly val="1"/>
    <dispBlanksAs val="gap"/>
  </chart>
</chartSpace>
</file>

<file path=xl/charts/chart105.xml><?xml version="1.0" encoding="utf-8"?>
<chartSpace xmlns="http://schemas.openxmlformats.org/drawingml/2006/chart">
  <chart>
    <title>
      <tx>
        <rich>
          <a:bodyPr xmlns:a="http://schemas.openxmlformats.org/drawingml/2006/main"/>
          <a:lstStyle xmlns:a="http://schemas.openxmlformats.org/drawingml/2006/main"/>
          <a:p xmlns:a="http://schemas.openxmlformats.org/drawingml/2006/main">
            <a:pPr>
              <a:defRPr/>
            </a:pPr>
            <a:r>
              <a:rPr lang="en-GB"/>
              <a:t>Solar Penetration - DK1 Primary | DK2 Robustness</a:t>
            </a:r>
          </a:p>
        </rich>
      </tx>
      <overlay val="1"/>
    </title>
    <plotArea>
      <layout/>
      <lineChart>
        <grouping val="standard"/>
        <varyColors val="1"/>
        <ser>
          <idx val="0"/>
          <order val="0"/>
          <tx>
            <strRef>
              <f>'Capture Price Inputs'!$F$1</f>
              <strCache>
                <ptCount val="1"/>
                <pt idx="0">
                  <v>DK1 Solar Penetration (%) — Primary</v>
                </pt>
              </strCache>
            </strRef>
          </tx>
          <spPr>
            <a:ln xmlns:a="http://schemas.openxmlformats.org/drawingml/2006/main">
              <a:solidFill>
                <a:srgbClr val="FF8C00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val>
            <numRef>
              <f>'Capture Price Inputs'!$F$2:$F$85</f>
              <numCache>
                <formatCode>General</formatCode>
                <ptCount val="84"/>
                <pt idx="0">
                  <v>0</v>
                </pt>
                <pt idx="1">
                  <v>0</v>
                </pt>
                <pt idx="2">
                  <v>0</v>
                </pt>
                <pt idx="3">
                  <v>0</v>
                </pt>
                <pt idx="4">
                  <v>0</v>
                </pt>
                <pt idx="5">
                  <v>0</v>
                </pt>
                <pt idx="6">
                  <v>0</v>
                </pt>
                <pt idx="7">
                  <v>0</v>
                </pt>
                <pt idx="8">
                  <v>0</v>
                </pt>
                <pt idx="9">
                  <v>0</v>
                </pt>
                <pt idx="10">
                  <v>0</v>
                </pt>
                <pt idx="11">
                  <v>0</v>
                </pt>
                <pt idx="12">
                  <v>0.002264447892629483</v>
                </pt>
                <pt idx="13">
                  <v>0.005247452024482245</v>
                </pt>
                <pt idx="14">
                  <v>0.02020167759412729</v>
                </pt>
                <pt idx="15">
                  <v>0.0324279896123047</v>
                </pt>
                <pt idx="16">
                  <v>0.03608008723790357</v>
                </pt>
                <pt idx="17">
                  <v>0.03741361883164089</v>
                </pt>
                <pt idx="18">
                  <v>0.03399843385950392</v>
                </pt>
                <pt idx="19">
                  <v>0.03422476314253766</v>
                </pt>
                <pt idx="20">
                  <v>0.02433015193915724</v>
                </pt>
                <pt idx="21">
                  <v>0.01149038754944678</v>
                </pt>
                <pt idx="22">
                  <v>0.0001521101274151999</v>
                </pt>
                <pt idx="23">
                  <v>1.472410662127807e-05</v>
                </pt>
                <pt idx="24">
                  <v>0.003631355999035091</v>
                </pt>
                <pt idx="25">
                  <v>0.0108689417180573</v>
                </pt>
                <pt idx="26">
                  <v>0.02238230390737163</v>
                </pt>
                <pt idx="27">
                  <v>0.04212837115783985</v>
                </pt>
                <pt idx="28">
                  <v>0.03307505221196035</v>
                </pt>
                <pt idx="29">
                  <v>0.04984166182181952</v>
                </pt>
                <pt idx="30">
                  <v>0.0485715434854639</v>
                </pt>
                <pt idx="31">
                  <v>0.0388769479447087</v>
                </pt>
                <pt idx="32">
                  <v>0.02593285017943629</v>
                </pt>
                <pt idx="33">
                  <v>0.01746009643148906</v>
                </pt>
                <pt idx="34">
                  <v>0.007029306005813504</v>
                </pt>
                <pt idx="35">
                  <v>0.003243365391886713</v>
                </pt>
                <pt idx="36">
                  <v>0.006675315547248087</v>
                </pt>
                <pt idx="37">
                  <v>0.0173995712330029</v>
                </pt>
                <pt idx="38">
                  <v>0.06195507058644287</v>
                </pt>
                <pt idx="39">
                  <v>0.08404056603836467</v>
                </pt>
                <pt idx="40">
                  <v>0.09687689142031611</v>
                </pt>
                <pt idx="41">
                  <v>0.09496202074431148</v>
                </pt>
                <pt idx="42">
                  <v>0.09963556652585577</v>
                </pt>
                <pt idx="43">
                  <v>0.08962697832526678</v>
                </pt>
                <pt idx="44">
                  <v>0.06604649859170474</v>
                </pt>
                <pt idx="45">
                  <v>0.03746941447765471</v>
                </pt>
                <pt idx="46">
                  <v>0.01046932675470221</v>
                </pt>
                <pt idx="47">
                  <v>0.006229164645196865</v>
                </pt>
                <pt idx="48">
                  <v>0.01246069427686292</v>
                </pt>
                <pt idx="49">
                  <v>0.03437640419176364</v>
                </pt>
                <pt idx="50">
                  <v>0.05647796857705859</v>
                </pt>
                <pt idx="51">
                  <v>0.1509467292684683</v>
                </pt>
                <pt idx="52">
                  <v>0.18600333743842</v>
                </pt>
                <pt idx="53">
                  <v>0.218925737129461</v>
                </pt>
                <pt idx="54">
                  <v>0.1892952405634502</v>
                </pt>
                <pt idx="55">
                  <v>0.1493297980639493</v>
                </pt>
                <pt idx="56">
                  <v>0.1319165438654872</v>
                </pt>
                <pt idx="57">
                  <v>0.0428648864567301</v>
                </pt>
                <pt idx="58">
                  <v>0.01600349353715238</v>
                </pt>
                <pt idx="59">
                  <v>0.006390504672696534</v>
                </pt>
                <pt idx="60">
                  <v>0.01341718605060752</v>
                </pt>
                <pt idx="61">
                  <v>0.0264362238379265</v>
                </pt>
                <pt idx="62">
                  <v>0.06623397340035048</v>
                </pt>
                <pt idx="63">
                  <v>0.1084169878649764</v>
                </pt>
                <pt idx="64">
                  <v>0.1888703164988005</v>
                </pt>
                <pt idx="65">
                  <v>0.1715230569234828</v>
                </pt>
                <pt idx="66">
                  <v>0.1809062055635286</v>
                </pt>
                <pt idx="67">
                  <v>0.155121531117258</v>
                </pt>
                <pt idx="68">
                  <v>0.1275567235314205</v>
                </pt>
                <pt idx="69">
                  <v>0.06287376784741511</v>
                </pt>
                <pt idx="70">
                  <v>0.01780902737610289</v>
                </pt>
                <pt idx="71">
                  <v>0.006785797568345668</v>
                </pt>
                <pt idx="72">
                  <v>0.01366055484422285</v>
                </pt>
                <pt idx="73">
                  <v>0.04341993481717769</v>
                </pt>
                <pt idx="74">
                  <v>0.1120694547038418</v>
                </pt>
                <pt idx="75">
                  <v>0.1482754875605271</v>
                </pt>
                <pt idx="76">
                  <v>0.1924446817596716</v>
                </pt>
                <pt idx="77">
                  <v>0.1878482923852328</v>
                </pt>
                <pt idx="78">
                  <v>0.2182818884824121</v>
                </pt>
                <pt idx="79">
                  <v>0.1901168401280812</v>
                </pt>
                <pt idx="80">
                  <v>0.1381615272451792</v>
                </pt>
                <pt idx="81">
                  <v>0.06946207120205163</v>
                </pt>
                <pt idx="82">
                  <v>0.02660497040214753</v>
                </pt>
                <pt idx="83">
                  <v>0.0140253486520015</v>
                </pt>
              </numCache>
            </numRef>
          </val>
          <smooth val="1"/>
        </ser>
        <ser>
          <idx val="1"/>
          <order val="1"/>
          <tx>
            <strRef>
              <f>'Capture Price Inputs'!$G$1</f>
              <strCache>
                <ptCount val="1"/>
                <pt idx="0">
                  <v>DK2 Solar Penetration (%) — Robustness</v>
                </pt>
              </strCache>
            </strRef>
          </tx>
          <spPr>
            <a:ln xmlns:a="http://schemas.openxmlformats.org/drawingml/2006/main">
              <a:solidFill>
                <a:srgbClr val="FFD700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val>
            <numRef>
              <f>'Capture Price Inputs'!$G$2:$G$85</f>
              <numCache>
                <formatCode>General</formatCode>
                <ptCount val="84"/>
                <pt idx="0">
                  <v>0</v>
                </pt>
                <pt idx="1">
                  <v>0</v>
                </pt>
                <pt idx="2">
                  <v>0</v>
                </pt>
                <pt idx="3">
                  <v>0</v>
                </pt>
                <pt idx="4">
                  <v>0</v>
                </pt>
                <pt idx="5">
                  <v>0</v>
                </pt>
                <pt idx="6">
                  <v>0</v>
                </pt>
                <pt idx="7">
                  <v>0</v>
                </pt>
                <pt idx="8">
                  <v>0</v>
                </pt>
                <pt idx="9">
                  <v>0</v>
                </pt>
                <pt idx="10">
                  <v>0</v>
                </pt>
                <pt idx="11">
                  <v>0</v>
                </pt>
                <pt idx="12">
                  <v>0.001864323044087839</v>
                </pt>
                <pt idx="13">
                  <v>0.004961339344807235</v>
                </pt>
                <pt idx="14">
                  <v>0.01532033335337761</v>
                </pt>
                <pt idx="15">
                  <v>0.02618059513454593</v>
                </pt>
                <pt idx="16">
                  <v>0.03224093077416624</v>
                </pt>
                <pt idx="17">
                  <v>0.03065181208815584</v>
                </pt>
                <pt idx="18">
                  <v>0.02998206800974695</v>
                </pt>
                <pt idx="19">
                  <v>0.02803471341430708</v>
                </pt>
                <pt idx="20">
                  <v>0.02173647910159525</v>
                </pt>
                <pt idx="21">
                  <v>0.01107911770574695</v>
                </pt>
                <pt idx="22">
                  <v>0.0001104461157833284</v>
                </pt>
                <pt idx="23">
                  <v>5.635243358406259e-06</v>
                </pt>
                <pt idx="24">
                  <v>0.003104474131982996</v>
                </pt>
                <pt idx="25">
                  <v>0.009248336948772359</v>
                </pt>
                <pt idx="26">
                  <v>0.01847451704521283</v>
                </pt>
                <pt idx="27">
                  <v>0.03269440748331279</v>
                </pt>
                <pt idx="28">
                  <v>0.03294582929454019</v>
                </pt>
                <pt idx="29">
                  <v>0.04448013314005607</v>
                </pt>
                <pt idx="30">
                  <v>0.03704954253730217</v>
                </pt>
                <pt idx="31">
                  <v>0.03185776883426199</v>
                </pt>
                <pt idx="32">
                  <v>0.0223981137027396</v>
                </pt>
                <pt idx="33">
                  <v>0.01267326343754744</v>
                </pt>
                <pt idx="34">
                  <v>0.004013281085791027</v>
                </pt>
                <pt idx="35">
                  <v>0.001822629583826099</v>
                </pt>
                <pt idx="36">
                  <v>0.004939556742877535</v>
                </pt>
                <pt idx="37">
                  <v>0.01324848558669828</v>
                </pt>
                <pt idx="38">
                  <v>0.03408933034912105</v>
                </pt>
                <pt idx="39">
                  <v>0.05525443609957865</v>
                </pt>
                <pt idx="40">
                  <v>0.06581145996085939</v>
                </pt>
                <pt idx="41">
                  <v>0.06452822904586782</v>
                </pt>
                <pt idx="42">
                  <v>0.06702580380195292</v>
                </pt>
                <pt idx="43">
                  <v>0.06129992439719582</v>
                </pt>
                <pt idx="44">
                  <v>0.04578427610350702</v>
                </pt>
                <pt idx="45">
                  <v>0.0298090580270354</v>
                </pt>
                <pt idx="46">
                  <v>0.007865295261900549</v>
                </pt>
                <pt idx="47">
                  <v>0.004532355552973548</v>
                </pt>
                <pt idx="48">
                  <v>0.005862652723136608</v>
                </pt>
                <pt idx="49">
                  <v>0.01887764841837355</v>
                </pt>
                <pt idx="50">
                  <v>0.03709622939200571</v>
                </pt>
                <pt idx="51">
                  <v>0.08026996603382495</v>
                </pt>
                <pt idx="52">
                  <v>0.1080032082802261</v>
                </pt>
                <pt idx="53">
                  <v>0.1144244665352921</v>
                </pt>
                <pt idx="54">
                  <v>0.1020307450715976</v>
                </pt>
                <pt idx="55">
                  <v>0.07793101053296771</v>
                </pt>
                <pt idx="56">
                  <v>0.08090995463931874</v>
                </pt>
                <pt idx="57">
                  <v>0.02917234021559438</v>
                </pt>
                <pt idx="58">
                  <v>0.0104098691216888</v>
                </pt>
                <pt idx="59">
                  <v>0.003809030164374855</v>
                </pt>
                <pt idx="60">
                  <v>0.006178183072975508</v>
                </pt>
                <pt idx="61">
                  <v>0.01667231366864759</v>
                </pt>
                <pt idx="62">
                  <v>0.04111280636733766</v>
                </pt>
                <pt idx="63">
                  <v>0.06512337874480645</v>
                </pt>
                <pt idx="64">
                  <v>0.106315341440858</v>
                </pt>
                <pt idx="65">
                  <v>0.1072729076610999</v>
                </pt>
                <pt idx="66">
                  <v>0.1057942634887733</v>
                </pt>
                <pt idx="67">
                  <v>0.0936908322687052</v>
                </pt>
                <pt idx="68">
                  <v>0.07246320282040017</v>
                </pt>
                <pt idx="69">
                  <v>0.03614525389237988</v>
                </pt>
                <pt idx="70">
                  <v>0.008602841405423608</v>
                </pt>
                <pt idx="71">
                  <v>0.004171468465776758</v>
                </pt>
                <pt idx="72">
                  <v>0.007223240212576967</v>
                </pt>
                <pt idx="73">
                  <v>0.02010831138567791</v>
                </pt>
                <pt idx="74">
                  <v>0.04654786644745259</v>
                </pt>
                <pt idx="75">
                  <v>0.07168978364906199</v>
                </pt>
                <pt idx="76">
                  <v>0.09471412725623395</v>
                </pt>
                <pt idx="77">
                  <v>0.09982625001551076</v>
                </pt>
                <pt idx="78">
                  <v>0.09399641941869914</v>
                </pt>
                <pt idx="79">
                  <v>0.1057378118957395</v>
                </pt>
                <pt idx="80">
                  <v>0.09062887968652376</v>
                </pt>
                <pt idx="81">
                  <v>0.03957312567862663</v>
                </pt>
                <pt idx="82">
                  <v>0.01454364344794783</v>
                </pt>
                <pt idx="83">
                  <v>0.00906949116088333</v>
                </pt>
              </numCache>
            </numRef>
          </val>
          <smooth val="1"/>
        </ser>
        <dLbls>
          <showLegendKey val="0"/>
          <showVal val="0"/>
          <showCatName val="0"/>
          <showSerName val="0"/>
          <showPercent val="0"/>
          <showBubbleSize val="0"/>
        </dLbls>
        <smooth val="0"/>
        <axId val="10"/>
        <axId val="100"/>
      </lineChart>
      <catAx>
        <axId val="10"/>
        <scaling>
          <orientation val="minMax"/>
        </scaling>
        <delete val="1"/>
        <axPos val="b"/>
        <title>
          <tx>
            <rich>
              <a:bodyPr xmlns:a="http://schemas.openxmlformats.org/drawingml/2006/main"/>
              <a:lstStyle xmlns:a="http://schemas.openxmlformats.org/drawingml/2006/main"/>
              <a:p xmlns:a="http://schemas.openxmlformats.org/drawingml/2006/main">
                <a:pPr>
                  <a:defRPr/>
                </a:pPr>
                <a:r>
                  <a:rPr lang="en-GB"/>
                  <a:t>Month</a:t>
                </a:r>
              </a:p>
            </rich>
          </tx>
          <overlay val="1"/>
        </title>
        <majorTickMark val="none"/>
        <minorTickMark val="none"/>
        <tickLblPos val="nextTo"/>
        <crossAx val="100"/>
        <crosses val="autoZero"/>
        <auto val="1"/>
        <lblAlgn val="ctr"/>
        <lblOffset val="100"/>
        <noMultiLvlLbl val="1"/>
      </catAx>
      <valAx>
        <axId val="100"/>
        <scaling>
          <orientation val="minMax"/>
        </scaling>
        <delete val="1"/>
        <axPos val="l"/>
        <majorGridlines/>
        <title>
          <tx>
            <rich>
              <a:bodyPr xmlns:a="http://schemas.openxmlformats.org/drawingml/2006/main"/>
              <a:lstStyle xmlns:a="http://schemas.openxmlformats.org/drawingml/2006/main"/>
              <a:p xmlns:a="http://schemas.openxmlformats.org/drawingml/2006/main">
                <a:pPr>
                  <a:defRPr/>
                </a:pPr>
                <a:r>
                  <a:rPr lang="en-GB"/>
                  <a:t>Solar Penetration (%)</a:t>
                </a:r>
              </a:p>
            </rich>
          </tx>
          <overlay val="1"/>
        </title>
        <numFmt formatCode="General" sourceLinked="1"/>
        <majorTickMark val="none"/>
        <minorTickMark val="none"/>
        <tickLblPos val="nextTo"/>
        <crossAx val="10"/>
        <crosses val="autoZero"/>
        <crossBetween val="between"/>
      </valAx>
    </plotArea>
    <legend>
      <legendPos val="r"/>
      <overlay val="1"/>
    </legend>
    <plotVisOnly val="1"/>
    <dispBlanksAs val="gap"/>
  </chart>
</chartSpace>
</file>

<file path=xl/charts/chart106.xml><?xml version="1.0" encoding="utf-8"?>
<chartSpace xmlns="http://schemas.openxmlformats.org/drawingml/2006/chart">
  <chart>
    <title>
      <tx>
        <rich>
          <a:bodyPr xmlns:a="http://schemas.openxmlformats.org/drawingml/2006/main"/>
          <a:lstStyle xmlns:a="http://schemas.openxmlformats.org/drawingml/2006/main"/>
          <a:p xmlns:a="http://schemas.openxmlformats.org/drawingml/2006/main">
            <a:pPr>
              <a:defRPr/>
            </a:pPr>
            <a:r>
              <a:rPr lang="en-GB"/>
              <a:t>Capture Price - DK1 Primary | DK2 Robustness</a:t>
            </a:r>
          </a:p>
        </rich>
      </tx>
      <overlay val="1"/>
    </title>
    <plotArea>
      <layout/>
      <lineChart>
        <grouping val="standard"/>
        <varyColors val="1"/>
        <ser>
          <idx val="0"/>
          <order val="0"/>
          <tx>
            <strRef>
              <f>'Capture Price Inputs'!$H$1</f>
              <strCache>
                <ptCount val="1"/>
                <pt idx="0">
                  <v>DK1 Capture Price (EUR/MWh) — Primary</v>
                </pt>
              </strCache>
            </strRef>
          </tx>
          <spPr>
            <a:ln xmlns:a="http://schemas.openxmlformats.org/drawingml/2006/main">
              <a:solidFill>
                <a:srgbClr val="2E75B6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val>
            <numRef>
              <f>'Capture Price Inputs'!$H$2:$H$85</f>
              <numCache>
                <formatCode>General</formatCode>
                <ptCount val="84"/>
                <pt idx="12">
                  <v>25.22320957280251</v>
                </pt>
                <pt idx="13">
                  <v>22.83581899109792</v>
                </pt>
                <pt idx="14">
                  <v>15.94107348554973</v>
                </pt>
                <pt idx="15">
                  <v>10.36487590420421</v>
                </pt>
                <pt idx="16">
                  <v>15.478548945086</v>
                </pt>
                <pt idx="17">
                  <v>27.31330822786869</v>
                </pt>
                <pt idx="18">
                  <v>24.83174517810916</v>
                </pt>
                <pt idx="19">
                  <v>33.87691542204785</v>
                </pt>
                <pt idx="20">
                  <v>38.93597900337959</v>
                </pt>
                <pt idx="21">
                  <v>31.92774153305919</v>
                </pt>
                <pt idx="22">
                  <v>26.00599326599326</v>
                </pt>
                <pt idx="23">
                  <v>34.79516129032258</v>
                </pt>
                <pt idx="24">
                  <v>55.42296760727792</v>
                </pt>
                <pt idx="25">
                  <v>47.54261097914259</v>
                </pt>
                <pt idx="26">
                  <v>44.55070091580549</v>
                </pt>
                <pt idx="27">
                  <v>43.594739828473</v>
                </pt>
                <pt idx="28">
                  <v>47.65587057500122</v>
                </pt>
                <pt idx="29">
                  <v>70.54354791111106</v>
                </pt>
                <pt idx="30">
                  <v>78.56831974775861</v>
                </pt>
                <pt idx="31">
                  <v>81.98335113640179</v>
                </pt>
                <pt idx="32">
                  <v>116.2002249554484</v>
                </pt>
                <pt idx="33">
                  <v>126.5303952032395</v>
                </pt>
                <pt idx="34">
                  <v>160.7705833010295</v>
                </pt>
                <pt idx="35">
                  <v>228.8621705579358</v>
                </pt>
                <pt idx="36">
                  <v>123.2012506791719</v>
                </pt>
                <pt idx="37">
                  <v>117.67077903546</v>
                </pt>
                <pt idx="38">
                  <v>191.508071735067</v>
                </pt>
                <pt idx="39">
                  <v>145.7013871592604</v>
                </pt>
                <pt idx="40">
                  <v>149.4185612445558</v>
                </pt>
                <pt idx="41">
                  <v>194.7110340948198</v>
                </pt>
                <pt idx="42">
                  <v>239.3981525107354</v>
                </pt>
                <pt idx="43">
                  <v>419.792637226606</v>
                </pt>
                <pt idx="44">
                  <v>310.7073992726671</v>
                </pt>
                <pt idx="45">
                  <v>125.6295598680838</v>
                </pt>
                <pt idx="46">
                  <v>131.7111886265582</v>
                </pt>
                <pt idx="47">
                  <v>282.8237937420726</v>
                </pt>
                <pt idx="48">
                  <v>138.5299886842633</v>
                </pt>
                <pt idx="49">
                  <v>109.8769757213503</v>
                </pt>
                <pt idx="50">
                  <v>93.77419094069538</v>
                </pt>
                <pt idx="51">
                  <v>76.25042822265543</v>
                </pt>
                <pt idx="52">
                  <v>50.54348776008261</v>
                </pt>
                <pt idx="53">
                  <v>74.88898277621806</v>
                </pt>
                <pt idx="54">
                  <v>52.09559943846345</v>
                </pt>
                <pt idx="55">
                  <v>74.18042603997819</v>
                </pt>
                <pt idx="56">
                  <v>68.11686962339694</v>
                </pt>
                <pt idx="57">
                  <v>50.53909051970285</v>
                </pt>
                <pt idx="58">
                  <v>90.68080556242518</v>
                </pt>
                <pt idx="59">
                  <v>63.45532768878803</v>
                </pt>
                <pt idx="60">
                  <v>78.57131644167831</v>
                </pt>
                <pt idx="61">
                  <v>59.47948676805509</v>
                </pt>
                <pt idx="62">
                  <v>51.26978324155493</v>
                </pt>
                <pt idx="63">
                  <v>49.38394056201121</v>
                </pt>
                <pt idx="64">
                  <v>35.89414827140887</v>
                </pt>
                <pt idx="65">
                  <v>47.03763372739765</v>
                </pt>
                <pt idx="66">
                  <v>42.52177322309952</v>
                </pt>
                <pt idx="67">
                  <v>52.17121747504909</v>
                </pt>
                <pt idx="68">
                  <v>45.64750462621701</v>
                </pt>
                <pt idx="69">
                  <v>58.44158378709199</v>
                </pt>
                <pt idx="70">
                  <v>97.58235261633192</v>
                </pt>
                <pt idx="71">
                  <v>92.07321769383398</v>
                </pt>
                <pt idx="72">
                  <v>111.1945655985155</v>
                </pt>
                <pt idx="73">
                  <v>105.4131597378828</v>
                </pt>
                <pt idx="74">
                  <v>57.84566339627056</v>
                </pt>
                <pt idx="75">
                  <v>45.84439577068735</v>
                </pt>
                <pt idx="76">
                  <v>40.06566739400938</v>
                </pt>
                <pt idx="77">
                  <v>33.4933819651966</v>
                </pt>
                <pt idx="78">
                  <v>61.32224821093979</v>
                </pt>
                <pt idx="79">
                  <v>47.75582456745756</v>
                </pt>
                <pt idx="80">
                  <v>49.42909499605724</v>
                </pt>
                <pt idx="81">
                  <v>74.26663453789526</v>
                </pt>
                <pt idx="82">
                  <v>95.56453180252134</v>
                </pt>
                <pt idx="83">
                  <v>80.95803424278026</v>
                </pt>
              </numCache>
            </numRef>
          </val>
          <smooth val="1"/>
        </ser>
        <ser>
          <idx val="1"/>
          <order val="1"/>
          <tx>
            <strRef>
              <f>'Capture Price Inputs'!$I$1</f>
              <strCache>
                <ptCount val="1"/>
                <pt idx="0">
                  <v>DK2 Capture Price (EUR/MWh) — Robustness</v>
                </pt>
              </strCache>
            </strRef>
          </tx>
          <spPr>
            <a:ln xmlns:a="http://schemas.openxmlformats.org/drawingml/2006/main">
              <a:solidFill>
                <a:srgbClr val="9DC3E6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val>
            <numRef>
              <f>'Capture Price Inputs'!$I$2:$I$85</f>
              <numCache>
                <formatCode>General</formatCode>
                <ptCount val="84"/>
                <pt idx="12">
                  <v>29.86213642213642</v>
                </pt>
                <pt idx="13">
                  <v>23.55551782972189</v>
                </pt>
                <pt idx="14">
                  <v>17.14905069226102</v>
                </pt>
                <pt idx="15">
                  <v>13.25252312836708</v>
                </pt>
                <pt idx="16">
                  <v>18.59404938271605</v>
                </pt>
                <pt idx="17">
                  <v>35.21078005032583</v>
                </pt>
                <pt idx="18">
                  <v>26.450778046867</v>
                </pt>
                <pt idx="19">
                  <v>44.11376501540486</v>
                </pt>
                <pt idx="20">
                  <v>41.85304788087056</v>
                </pt>
                <pt idx="21">
                  <v>33.60087837290333</v>
                </pt>
                <pt idx="22">
                  <v>37.749765625</v>
                </pt>
                <pt idx="23">
                  <v>44.19142857142857</v>
                </pt>
                <pt idx="24">
                  <v>57.07213441008145</v>
                </pt>
                <pt idx="25">
                  <v>52.28508365452458</v>
                </pt>
                <pt idx="26">
                  <v>47.42264301189781</v>
                </pt>
                <pt idx="27">
                  <v>45.90136374824883</v>
                </pt>
                <pt idx="28">
                  <v>50.2587202314608</v>
                </pt>
                <pt idx="29">
                  <v>69.46934165377623</v>
                </pt>
                <pt idx="30">
                  <v>77.93311155139432</v>
                </pt>
                <pt idx="31">
                  <v>84.51274769025703</v>
                </pt>
                <pt idx="32">
                  <v>118.7457227855615</v>
                </pt>
                <pt idx="33">
                  <v>122.3841235967906</v>
                </pt>
                <pt idx="34">
                  <v>153.6267942781575</v>
                </pt>
                <pt idx="35">
                  <v>244.4872785976441</v>
                </pt>
                <pt idx="36">
                  <v>129.6774902315082</v>
                </pt>
                <pt idx="37">
                  <v>108.8033389925641</v>
                </pt>
                <pt idx="38">
                  <v>186.0504424586062</v>
                </pt>
                <pt idx="39">
                  <v>143.5375888642185</v>
                </pt>
                <pt idx="40">
                  <v>146.2536023446033</v>
                </pt>
                <pt idx="41">
                  <v>192.2325905808319</v>
                </pt>
                <pt idx="42">
                  <v>212.3625858003895</v>
                </pt>
                <pt idx="43">
                  <v>397.1798848597606</v>
                </pt>
                <pt idx="44">
                  <v>315.928842796779</v>
                </pt>
                <pt idx="45">
                  <v>120.1190076327392</v>
                </pt>
                <pt idx="46">
                  <v>134.0399027878758</v>
                </pt>
                <pt idx="47">
                  <v>303.2697848166857</v>
                </pt>
                <pt idx="48">
                  <v>120.8992864784306</v>
                </pt>
                <pt idx="49">
                  <v>103.112625406295</v>
                </pt>
                <pt idx="50">
                  <v>89.0984689216417</v>
                </pt>
                <pt idx="51">
                  <v>71.1250997055942</v>
                </pt>
                <pt idx="52">
                  <v>48.35808379645633</v>
                </pt>
                <pt idx="53">
                  <v>71.8620903722224</v>
                </pt>
                <pt idx="54">
                  <v>50.34596661709235</v>
                </pt>
                <pt idx="55">
                  <v>72.95799234798741</v>
                </pt>
                <pt idx="56">
                  <v>64.3944846724649</v>
                </pt>
                <pt idx="57">
                  <v>47.66025509428685</v>
                </pt>
                <pt idx="58">
                  <v>84.63997860526599</v>
                </pt>
                <pt idx="59">
                  <v>59.06174633307972</v>
                </pt>
                <pt idx="60">
                  <v>76.42720253521921</v>
                </pt>
                <pt idx="61">
                  <v>51.43437919654775</v>
                </pt>
                <pt idx="62">
                  <v>50.75116381305344</v>
                </pt>
                <pt idx="63">
                  <v>47.053967904828</v>
                </pt>
                <pt idx="64">
                  <v>34.29579411369289</v>
                </pt>
                <pt idx="65">
                  <v>46.37938403458337</v>
                </pt>
                <pt idx="66">
                  <v>38.81282196947117</v>
                </pt>
                <pt idx="67">
                  <v>47.15186311829253</v>
                </pt>
                <pt idx="68">
                  <v>43.35594635084219</v>
                </pt>
                <pt idx="69">
                  <v>59.53493763028656</v>
                </pt>
                <pt idx="70">
                  <v>89.61127747791728</v>
                </pt>
                <pt idx="71">
                  <v>100.7961313991171</v>
                </pt>
                <pt idx="72">
                  <v>115.0822593270056</v>
                </pt>
                <pt idx="73">
                  <v>106.9231820731682</v>
                </pt>
                <pt idx="74">
                  <v>50.01806296126875</v>
                </pt>
                <pt idx="75">
                  <v>41.82584156307518</v>
                </pt>
                <pt idx="76">
                  <v>34.32066034459122</v>
                </pt>
                <pt idx="77">
                  <v>24.31568572006325</v>
                </pt>
                <pt idx="78">
                  <v>59.76694388214769</v>
                </pt>
                <pt idx="79">
                  <v>43.06460478354486</v>
                </pt>
                <pt idx="80">
                  <v>52.94940515380836</v>
                </pt>
                <pt idx="81">
                  <v>78.64573032240668</v>
                </pt>
                <pt idx="82">
                  <v>92.69045487153267</v>
                </pt>
                <pt idx="83">
                  <v>79.63122802208366</v>
                </pt>
              </numCache>
            </numRef>
          </val>
          <smooth val="1"/>
        </ser>
        <dLbls>
          <showLegendKey val="0"/>
          <showVal val="0"/>
          <showCatName val="0"/>
          <showSerName val="0"/>
          <showPercent val="0"/>
          <showBubbleSize val="0"/>
        </dLbls>
        <smooth val="0"/>
        <axId val="10"/>
        <axId val="100"/>
      </lineChart>
      <catAx>
        <axId val="10"/>
        <scaling>
          <orientation val="minMax"/>
        </scaling>
        <delete val="1"/>
        <axPos val="b"/>
        <title>
          <tx>
            <rich>
              <a:bodyPr xmlns:a="http://schemas.openxmlformats.org/drawingml/2006/main"/>
              <a:lstStyle xmlns:a="http://schemas.openxmlformats.org/drawingml/2006/main"/>
              <a:p xmlns:a="http://schemas.openxmlformats.org/drawingml/2006/main">
                <a:pPr>
                  <a:defRPr/>
                </a:pPr>
                <a:r>
                  <a:rPr lang="en-GB"/>
                  <a:t>Month</a:t>
                </a:r>
              </a:p>
            </rich>
          </tx>
          <overlay val="1"/>
        </title>
        <majorTickMark val="none"/>
        <minorTickMark val="none"/>
        <tickLblPos val="nextTo"/>
        <crossAx val="100"/>
        <crosses val="autoZero"/>
        <auto val="1"/>
        <lblAlgn val="ctr"/>
        <lblOffset val="100"/>
        <noMultiLvlLbl val="1"/>
      </catAx>
      <valAx>
        <axId val="100"/>
        <scaling>
          <orientation val="minMax"/>
        </scaling>
        <delete val="1"/>
        <axPos val="l"/>
        <majorGridlines/>
        <title>
          <tx>
            <rich>
              <a:bodyPr xmlns:a="http://schemas.openxmlformats.org/drawingml/2006/main"/>
              <a:lstStyle xmlns:a="http://schemas.openxmlformats.org/drawingml/2006/main"/>
              <a:p xmlns:a="http://schemas.openxmlformats.org/drawingml/2006/main">
                <a:pPr>
                  <a:defRPr/>
                </a:pPr>
                <a:r>
                  <a:rPr lang="en-GB"/>
                  <a:t>EUR/MWh</a:t>
                </a:r>
              </a:p>
            </rich>
          </tx>
          <overlay val="1"/>
        </title>
        <numFmt formatCode="General" sourceLinked="1"/>
        <majorTickMark val="none"/>
        <minorTickMark val="none"/>
        <tickLblPos val="nextTo"/>
        <crossAx val="10"/>
        <crosses val="autoZero"/>
        <crossBetween val="between"/>
      </valAx>
    </plotArea>
    <legend>
      <legendPos val="r"/>
      <overlay val="1"/>
    </legend>
    <plotVisOnly val="1"/>
    <dispBlanksAs val="gap"/>
  </chart>
</chartSpace>
</file>

<file path=xl/charts/chart107.xml><?xml version="1.0" encoding="utf-8"?>
<chartSpace xmlns="http://schemas.openxmlformats.org/drawingml/2006/chart">
  <chart>
    <title>
      <tx>
        <rich>
          <a:bodyPr xmlns:a="http://schemas.openxmlformats.org/drawingml/2006/main"/>
          <a:lstStyle xmlns:a="http://schemas.openxmlformats.org/drawingml/2006/main"/>
          <a:p xmlns:a="http://schemas.openxmlformats.org/drawingml/2006/main">
            <a:pPr>
              <a:defRPr/>
            </a:pPr>
            <a:r>
              <a:rPr lang="en-GB"/>
              <a:t>Capture Price Ratio - DK1 Primary | DK2 Robustness</a:t>
            </a:r>
          </a:p>
        </rich>
      </tx>
      <overlay val="1"/>
    </title>
    <plotArea>
      <layout/>
      <lineChart>
        <grouping val="standard"/>
        <varyColors val="1"/>
        <ser>
          <idx val="0"/>
          <order val="0"/>
          <tx>
            <strRef>
              <f>'Capture Price Inputs'!$J$1</f>
              <strCache>
                <ptCount val="1"/>
                <pt idx="0">
                  <v>DK1 CPR — Primary</v>
                </pt>
              </strCache>
            </strRef>
          </tx>
          <spPr>
            <a:ln xmlns:a="http://schemas.openxmlformats.org/drawingml/2006/main">
              <a:solidFill>
                <a:srgbClr val="2E75B6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val>
            <numRef>
              <f>'Capture Price Inputs'!$J$2:$J$85</f>
              <numCache>
                <formatCode>General</formatCode>
                <ptCount val="84"/>
                <pt idx="12">
                  <v>1.009148659447442</v>
                </pt>
                <pt idx="13">
                  <v>1.298591168695051</v>
                </pt>
                <pt idx="14">
                  <v>0.8710146939215303</v>
                </pt>
                <pt idx="15">
                  <v>0.7131577255881921</v>
                </pt>
                <pt idx="16">
                  <v>0.9641557693120565</v>
                </pt>
                <pt idx="17">
                  <v>1.039466413731094</v>
                </pt>
                <pt idx="18">
                  <v>1.008618155660831</v>
                </pt>
                <pt idx="19">
                  <v>0.9808226440750074</v>
                </pt>
                <pt idx="20">
                  <v>1.010404486913005</v>
                </pt>
                <pt idx="21">
                  <v>1.236802226812374</v>
                </pt>
                <pt idx="22">
                  <v>1.094777917215692</v>
                </pt>
                <pt idx="23">
                  <v>1.008230164182662</v>
                </pt>
                <pt idx="24">
                  <v>1.103930861568265</v>
                </pt>
                <pt idx="25">
                  <v>1.005947927705425</v>
                </pt>
                <pt idx="26">
                  <v>0.9871758725122356</v>
                </pt>
                <pt idx="27">
                  <v>0.9088464745665017</v>
                </pt>
                <pt idx="28">
                  <v>0.8775180518715436</v>
                </pt>
                <pt idx="29">
                  <v>0.9569142795347317</v>
                </pt>
                <pt idx="30">
                  <v>0.9821132371596978</v>
                </pt>
                <pt idx="31">
                  <v>0.9902714780245057</v>
                </pt>
                <pt idx="32">
                  <v>0.9269044048361358</v>
                </pt>
                <pt idx="33">
                  <v>1.081088507413439</v>
                </pt>
                <pt idx="34">
                  <v>1.133803408504466</v>
                </pt>
                <pt idx="35">
                  <v>1.208676962454928</v>
                </pt>
                <pt idx="36">
                  <v>1.044125730427727</v>
                </pt>
                <pt idx="37">
                  <v>1.04022281700981</v>
                </pt>
                <pt idx="38">
                  <v>0.8120775904420741</v>
                </pt>
                <pt idx="39">
                  <v>0.8903913338467833</v>
                </pt>
                <pt idx="40">
                  <v>0.8694301605049858</v>
                </pt>
                <pt idx="41">
                  <v>0.9080390201234191</v>
                </pt>
                <pt idx="42">
                  <v>0.8704179159294955</v>
                </pt>
                <pt idx="43">
                  <v>0.9190855304670003</v>
                </pt>
                <pt idx="44">
                  <v>0.9063290180568312</v>
                </pt>
                <pt idx="45">
                  <v>0.9161232525396177</v>
                </pt>
                <pt idx="46">
                  <v>0.9427861207466001</v>
                </pt>
                <pt idx="47">
                  <v>1.132810339248927</v>
                </pt>
                <pt idx="48">
                  <v>1.230919869122654</v>
                </pt>
                <pt idx="49">
                  <v>0.93008781340266</v>
                </pt>
                <pt idx="50">
                  <v>0.9461253975959896</v>
                </pt>
                <pt idx="51">
                  <v>0.7920396612038634</v>
                </pt>
                <pt idx="52">
                  <v>0.6833361056151995</v>
                </pt>
                <pt idx="53">
                  <v>0.8096506208621567</v>
                </pt>
                <pt idx="54">
                  <v>0.8038042195326093</v>
                </pt>
                <pt idx="55">
                  <v>0.8628930977720407</v>
                </pt>
                <pt idx="56">
                  <v>0.8038389922187259</v>
                </pt>
                <pt idx="57">
                  <v>0.8408360556054226</v>
                </pt>
                <pt idx="58">
                  <v>1.028656893611996</v>
                </pt>
                <pt idx="59">
                  <v>0.9132560776287663</v>
                </pt>
                <pt idx="60">
                  <v>1.051614630458469</v>
                </pt>
                <pt idx="61">
                  <v>1.014420829179444</v>
                </pt>
                <pt idx="62">
                  <v>0.8373818542217274</v>
                </pt>
                <pt idx="63">
                  <v>0.8346846016164379</v>
                </pt>
                <pt idx="64">
                  <v>0.6133984536650869</v>
                </pt>
                <pt idx="65">
                  <v>0.7378100322386865</v>
                </pt>
                <pt idx="66">
                  <v>0.685499494870618</v>
                </pt>
                <pt idx="67">
                  <v>0.7151267621934952</v>
                </pt>
                <pt idx="68">
                  <v>0.636525223039573</v>
                </pt>
                <pt idx="69">
                  <v>0.7617518807592967</v>
                </pt>
                <pt idx="70">
                  <v>1.017494003861172</v>
                </pt>
                <pt idx="71">
                  <v>1.002567416041121</v>
                </pt>
                <pt idx="72">
                  <v>1.135032584901597</v>
                </pt>
                <pt idx="73">
                  <v>0.9341166514187298</v>
                </pt>
                <pt idx="74">
                  <v>0.6857908168802248</v>
                </pt>
                <pt idx="75">
                  <v>0.609953535618325</v>
                </pt>
                <pt idx="76">
                  <v>0.6237511742318941</v>
                </pt>
                <pt idx="77">
                  <v>0.569764321286333</v>
                </pt>
                <pt idx="78">
                  <v>0.7405896710838001</v>
                </pt>
                <pt idx="79">
                  <v>0.6499711234459455</v>
                </pt>
                <pt idx="80">
                  <v>0.6827347489865859</v>
                </pt>
                <pt idx="81">
                  <v>0.9470151719348058</v>
                </pt>
                <pt idx="82">
                  <v>1.028976430956097</v>
                </pt>
                <pt idx="83">
                  <v>0.9820538861792604</v>
                </pt>
              </numCache>
            </numRef>
          </val>
          <smooth val="1"/>
        </ser>
        <ser>
          <idx val="1"/>
          <order val="1"/>
          <tx>
            <strRef>
              <f>'Capture Price Inputs'!$K$1</f>
              <strCache>
                <ptCount val="1"/>
                <pt idx="0">
                  <v>DK2 CPR — Robustness</v>
                </pt>
              </strCache>
            </strRef>
          </tx>
          <spPr>
            <a:ln xmlns:a="http://schemas.openxmlformats.org/drawingml/2006/main">
              <a:solidFill>
                <a:srgbClr val="9DC3E6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val>
            <numRef>
              <f>'Capture Price Inputs'!$K$2:$K$85</f>
              <numCache>
                <formatCode>General</formatCode>
                <ptCount val="84"/>
                <pt idx="12">
                  <v>1.090446324793763</v>
                </pt>
                <pt idx="13">
                  <v>1.251821301318464</v>
                </pt>
                <pt idx="14">
                  <v>0.8552077585127711</v>
                </pt>
                <pt idx="15">
                  <v>0.763620235478716</v>
                </pt>
                <pt idx="16">
                  <v>0.9763693823354528</v>
                </pt>
                <pt idx="17">
                  <v>1.180647007173951</v>
                </pt>
                <pt idx="18">
                  <v>1.021791049952987</v>
                </pt>
                <pt idx="19">
                  <v>1.077948442472481</v>
                </pt>
                <pt idx="20">
                  <v>1.059189092335807</v>
                </pt>
                <pt idx="21">
                  <v>1.247549053102559</v>
                </pt>
                <pt idx="22">
                  <v>1.057080411727209</v>
                </pt>
                <pt idx="23">
                  <v>1.125691191699302</v>
                </pt>
                <pt idx="24">
                  <v>1.122164979814525</v>
                </pt>
                <pt idx="25">
                  <v>0.9585139857498034</v>
                </pt>
                <pt idx="26">
                  <v>1.014774172650395</v>
                </pt>
                <pt idx="27">
                  <v>0.9590164366476613</v>
                </pt>
                <pt idx="28">
                  <v>0.9103388736117121</v>
                </pt>
                <pt idx="29">
                  <v>0.9440449187481634</v>
                </pt>
                <pt idx="30">
                  <v>0.9569285690465077</v>
                </pt>
                <pt idx="31">
                  <v>1.001768528067071</v>
                </pt>
                <pt idx="32">
                  <v>0.9583833699094481</v>
                </pt>
                <pt idx="33">
                  <v>1.144501265847132</v>
                </pt>
                <pt idx="34">
                  <v>1.126460857141801</v>
                </pt>
                <pt idx="35">
                  <v>1.279578427053047</v>
                </pt>
                <pt idx="36">
                  <v>1.161754652341282</v>
                </pt>
                <pt idx="37">
                  <v>1.084871924613185</v>
                </pt>
                <pt idx="38">
                  <v>0.8162958275837114</v>
                </pt>
                <pt idx="39">
                  <v>0.9391804877392103</v>
                </pt>
                <pt idx="40">
                  <v>0.8991456314331195</v>
                </pt>
                <pt idx="41">
                  <v>0.9015136745747578</v>
                </pt>
                <pt idx="42">
                  <v>0.909562444967756</v>
                </pt>
                <pt idx="43">
                  <v>0.8830756108422062</v>
                </pt>
                <pt idx="44">
                  <v>0.9608536982958826</v>
                </pt>
                <pt idx="45">
                  <v>0.8774354195736861</v>
                </pt>
                <pt idx="46">
                  <v>0.9240447439178995</v>
                </pt>
                <pt idx="47">
                  <v>1.218528056069729</v>
                </pt>
                <pt idx="48">
                  <v>1.21186632363043</v>
                </pt>
                <pt idx="49">
                  <v>1.024478122815962</v>
                </pt>
                <pt idx="50">
                  <v>0.992236312197012</v>
                </pt>
                <pt idx="51">
                  <v>0.8502587347820391</v>
                </pt>
                <pt idx="52">
                  <v>0.7310174827054021</v>
                </pt>
                <pt idx="53">
                  <v>0.7860381991736552</v>
                </pt>
                <pt idx="54">
                  <v>0.7717034871247128</v>
                </pt>
                <pt idx="55">
                  <v>0.8454610410569836</v>
                </pt>
                <pt idx="56">
                  <v>0.7532917330845335</v>
                </pt>
                <pt idx="57">
                  <v>0.837234490334641</v>
                </pt>
                <pt idx="58">
                  <v>1.038705241708771</v>
                </pt>
                <pt idx="59">
                  <v>0.8332670757562848</v>
                </pt>
                <pt idx="60">
                  <v>0.977144875107929</v>
                </pt>
                <pt idx="61">
                  <v>0.9399172603334611</v>
                </pt>
                <pt idx="62">
                  <v>0.8314293202728863</v>
                </pt>
                <pt idx="63">
                  <v>0.7780510745637418</v>
                </pt>
                <pt idx="64">
                  <v>0.5900556342707577</v>
                </pt>
                <pt idx="65">
                  <v>0.6943958569114143</v>
                </pt>
                <pt idx="66">
                  <v>0.6176283845394642</v>
                </pt>
                <pt idx="67">
                  <v>0.6493471479229646</v>
                </pt>
                <pt idx="68">
                  <v>0.6157480113547513</v>
                </pt>
                <pt idx="69">
                  <v>0.7800073506793195</v>
                </pt>
                <pt idx="70">
                  <v>0.9404779955101509</v>
                </pt>
                <pt idx="71">
                  <v>1.087006718547946</v>
                </pt>
                <pt idx="72">
                  <v>1.149400364807902</v>
                </pt>
                <pt idx="73">
                  <v>0.9066238427133391</v>
                </pt>
                <pt idx="74">
                  <v>0.603741164715803</v>
                </pt>
                <pt idx="75">
                  <v>0.5517436798810373</v>
                </pt>
                <pt idx="76">
                  <v>0.544059463307295</v>
                </pt>
                <pt idx="77">
                  <v>0.4307606652121766</v>
                </pt>
                <pt idx="78">
                  <v>0.7474634186196619</v>
                </pt>
                <pt idx="79">
                  <v>0.5717894234335987</v>
                </pt>
                <pt idx="80">
                  <v>0.635731600833678</v>
                </pt>
                <pt idx="81">
                  <v>0.9548084008156305</v>
                </pt>
                <pt idx="82">
                  <v>0.9892725129496999</v>
                </pt>
                <pt idx="83">
                  <v>0.9701479625359415</v>
                </pt>
              </numCache>
            </numRef>
          </val>
          <smooth val="1"/>
        </ser>
        <dLbls>
          <showLegendKey val="0"/>
          <showVal val="0"/>
          <showCatName val="0"/>
          <showSerName val="0"/>
          <showPercent val="0"/>
          <showBubbleSize val="0"/>
        </dLbls>
        <smooth val="0"/>
        <axId val="10"/>
        <axId val="100"/>
      </lineChart>
      <catAx>
        <axId val="10"/>
        <scaling>
          <orientation val="minMax"/>
        </scaling>
        <delete val="1"/>
        <axPos val="b"/>
        <title>
          <tx>
            <rich>
              <a:bodyPr xmlns:a="http://schemas.openxmlformats.org/drawingml/2006/main"/>
              <a:lstStyle xmlns:a="http://schemas.openxmlformats.org/drawingml/2006/main"/>
              <a:p xmlns:a="http://schemas.openxmlformats.org/drawingml/2006/main">
                <a:pPr>
                  <a:defRPr/>
                </a:pPr>
                <a:r>
                  <a:rPr lang="en-GB"/>
                  <a:t>Month</a:t>
                </a:r>
              </a:p>
            </rich>
          </tx>
          <overlay val="1"/>
        </title>
        <majorTickMark val="none"/>
        <minorTickMark val="none"/>
        <tickLblPos val="nextTo"/>
        <crossAx val="100"/>
        <crosses val="autoZero"/>
        <auto val="1"/>
        <lblAlgn val="ctr"/>
        <lblOffset val="100"/>
        <noMultiLvlLbl val="1"/>
      </catAx>
      <valAx>
        <axId val="100"/>
        <scaling>
          <orientation val="minMax"/>
        </scaling>
        <delete val="1"/>
        <axPos val="l"/>
        <majorGridlines/>
        <title>
          <tx>
            <rich>
              <a:bodyPr xmlns:a="http://schemas.openxmlformats.org/drawingml/2006/main"/>
              <a:lstStyle xmlns:a="http://schemas.openxmlformats.org/drawingml/2006/main"/>
              <a:p xmlns:a="http://schemas.openxmlformats.org/drawingml/2006/main">
                <a:pPr>
                  <a:defRPr/>
                </a:pPr>
                <a:r>
                  <a:rPr lang="en-GB"/>
                  <a:t>CPR</a:t>
                </a:r>
              </a:p>
            </rich>
          </tx>
          <overlay val="1"/>
        </title>
        <numFmt formatCode="General" sourceLinked="1"/>
        <majorTickMark val="none"/>
        <minorTickMark val="none"/>
        <tickLblPos val="nextTo"/>
        <crossAx val="10"/>
        <crosses val="autoZero"/>
        <crossBetween val="between"/>
      </valAx>
    </plotArea>
    <legend>
      <legendPos val="r"/>
      <overlay val="1"/>
    </legend>
    <plotVisOnly val="1"/>
    <dispBlanksAs val="gap"/>
  </chart>
</chartSpace>
</file>

<file path=xl/charts/chart108.xml><?xml version="1.0" encoding="utf-8"?>
<chartSpace xmlns="http://schemas.openxmlformats.org/drawingml/2006/chart">
  <chart>
    <title>
      <tx>
        <rich>
          <a:bodyPr xmlns:a="http://schemas.openxmlformats.org/drawingml/2006/main"/>
          <a:lstStyle xmlns:a="http://schemas.openxmlformats.org/drawingml/2006/main"/>
          <a:p xmlns:a="http://schemas.openxmlformats.org/drawingml/2006/main">
            <a:pPr>
              <a:defRPr/>
            </a:pPr>
            <a:r>
              <a:rPr lang="en-GB"/>
              <a:t>Solar Penetration - DK1 Primary | DK2 Robustness</a:t>
            </a:r>
          </a:p>
        </rich>
      </tx>
      <overlay val="1"/>
    </title>
    <plotArea>
      <layout/>
      <lineChart>
        <grouping val="standard"/>
        <varyColors val="1"/>
        <ser>
          <idx val="0"/>
          <order val="0"/>
          <tx>
            <strRef>
              <f>'Capture Price Inputs'!$F$1</f>
              <strCache>
                <ptCount val="1"/>
                <pt idx="0">
                  <v>DK1 Solar Penetration (%) — Primary</v>
                </pt>
              </strCache>
            </strRef>
          </tx>
          <spPr>
            <a:ln xmlns:a="http://schemas.openxmlformats.org/drawingml/2006/main">
              <a:solidFill>
                <a:srgbClr val="FF8C00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val>
            <numRef>
              <f>'Capture Price Inputs'!$F$2:$F$85</f>
              <numCache>
                <formatCode>General</formatCode>
                <ptCount val="84"/>
                <pt idx="0">
                  <v>0</v>
                </pt>
                <pt idx="1">
                  <v>0</v>
                </pt>
                <pt idx="2">
                  <v>0</v>
                </pt>
                <pt idx="3">
                  <v>0</v>
                </pt>
                <pt idx="4">
                  <v>0</v>
                </pt>
                <pt idx="5">
                  <v>0</v>
                </pt>
                <pt idx="6">
                  <v>0</v>
                </pt>
                <pt idx="7">
                  <v>0</v>
                </pt>
                <pt idx="8">
                  <v>0</v>
                </pt>
                <pt idx="9">
                  <v>0</v>
                </pt>
                <pt idx="10">
                  <v>0</v>
                </pt>
                <pt idx="11">
                  <v>0</v>
                </pt>
                <pt idx="12">
                  <v>0.002264447892629483</v>
                </pt>
                <pt idx="13">
                  <v>0.005247452024482245</v>
                </pt>
                <pt idx="14">
                  <v>0.02020167759412729</v>
                </pt>
                <pt idx="15">
                  <v>0.0324279896123047</v>
                </pt>
                <pt idx="16">
                  <v>0.03608008723790357</v>
                </pt>
                <pt idx="17">
                  <v>0.03741361883164089</v>
                </pt>
                <pt idx="18">
                  <v>0.03399843385950392</v>
                </pt>
                <pt idx="19">
                  <v>0.03422476314253766</v>
                </pt>
                <pt idx="20">
                  <v>0.02433015193915724</v>
                </pt>
                <pt idx="21">
                  <v>0.01149038754944678</v>
                </pt>
                <pt idx="22">
                  <v>0.0001521101274151999</v>
                </pt>
                <pt idx="23">
                  <v>1.472410662127807e-05</v>
                </pt>
                <pt idx="24">
                  <v>0.003631355999035091</v>
                </pt>
                <pt idx="25">
                  <v>0.0108689417180573</v>
                </pt>
                <pt idx="26">
                  <v>0.02238230390737163</v>
                </pt>
                <pt idx="27">
                  <v>0.04212837115783985</v>
                </pt>
                <pt idx="28">
                  <v>0.03307505221196035</v>
                </pt>
                <pt idx="29">
                  <v>0.04984166182181952</v>
                </pt>
                <pt idx="30">
                  <v>0.0485715434854639</v>
                </pt>
                <pt idx="31">
                  <v>0.0388769479447087</v>
                </pt>
                <pt idx="32">
                  <v>0.02593285017943629</v>
                </pt>
                <pt idx="33">
                  <v>0.01746009643148906</v>
                </pt>
                <pt idx="34">
                  <v>0.007029306005813504</v>
                </pt>
                <pt idx="35">
                  <v>0.003243365391886713</v>
                </pt>
                <pt idx="36">
                  <v>0.006675315547248087</v>
                </pt>
                <pt idx="37">
                  <v>0.0173995712330029</v>
                </pt>
                <pt idx="38">
                  <v>0.06195507058644287</v>
                </pt>
                <pt idx="39">
                  <v>0.08404056603836467</v>
                </pt>
                <pt idx="40">
                  <v>0.09687689142031611</v>
                </pt>
                <pt idx="41">
                  <v>0.09496202074431148</v>
                </pt>
                <pt idx="42">
                  <v>0.09963556652585577</v>
                </pt>
                <pt idx="43">
                  <v>0.08962697832526678</v>
                </pt>
                <pt idx="44">
                  <v>0.06604649859170474</v>
                </pt>
                <pt idx="45">
                  <v>0.03746941447765471</v>
                </pt>
                <pt idx="46">
                  <v>0.01046932675470221</v>
                </pt>
                <pt idx="47">
                  <v>0.006229164645196865</v>
                </pt>
                <pt idx="48">
                  <v>0.01246069427686292</v>
                </pt>
                <pt idx="49">
                  <v>0.03437640419176364</v>
                </pt>
                <pt idx="50">
                  <v>0.05647796857705859</v>
                </pt>
                <pt idx="51">
                  <v>0.1509467292684683</v>
                </pt>
                <pt idx="52">
                  <v>0.18600333743842</v>
                </pt>
                <pt idx="53">
                  <v>0.218925737129461</v>
                </pt>
                <pt idx="54">
                  <v>0.1892952405634502</v>
                </pt>
                <pt idx="55">
                  <v>0.1493297980639493</v>
                </pt>
                <pt idx="56">
                  <v>0.1319165438654872</v>
                </pt>
                <pt idx="57">
                  <v>0.0428648864567301</v>
                </pt>
                <pt idx="58">
                  <v>0.01600349353715238</v>
                </pt>
                <pt idx="59">
                  <v>0.006390504672696534</v>
                </pt>
                <pt idx="60">
                  <v>0.01341718605060752</v>
                </pt>
                <pt idx="61">
                  <v>0.0264362238379265</v>
                </pt>
                <pt idx="62">
                  <v>0.06623397340035048</v>
                </pt>
                <pt idx="63">
                  <v>0.1084169878649764</v>
                </pt>
                <pt idx="64">
                  <v>0.1888703164988005</v>
                </pt>
                <pt idx="65">
                  <v>0.1715230569234828</v>
                </pt>
                <pt idx="66">
                  <v>0.1809062055635286</v>
                </pt>
                <pt idx="67">
                  <v>0.155121531117258</v>
                </pt>
                <pt idx="68">
                  <v>0.1275567235314205</v>
                </pt>
                <pt idx="69">
                  <v>0.06287376784741511</v>
                </pt>
                <pt idx="70">
                  <v>0.01780902737610289</v>
                </pt>
                <pt idx="71">
                  <v>0.006785797568345668</v>
                </pt>
                <pt idx="72">
                  <v>0.01366055484422285</v>
                </pt>
                <pt idx="73">
                  <v>0.04341993481717769</v>
                </pt>
                <pt idx="74">
                  <v>0.1120694547038418</v>
                </pt>
                <pt idx="75">
                  <v>0.1482754875605271</v>
                </pt>
                <pt idx="76">
                  <v>0.1924446817596716</v>
                </pt>
                <pt idx="77">
                  <v>0.1878482923852328</v>
                </pt>
                <pt idx="78">
                  <v>0.2182818884824121</v>
                </pt>
                <pt idx="79">
                  <v>0.1901168401280812</v>
                </pt>
                <pt idx="80">
                  <v>0.1381615272451792</v>
                </pt>
                <pt idx="81">
                  <v>0.06946207120205163</v>
                </pt>
                <pt idx="82">
                  <v>0.02660497040214753</v>
                </pt>
                <pt idx="83">
                  <v>0.0140253486520015</v>
                </pt>
              </numCache>
            </numRef>
          </val>
          <smooth val="1"/>
        </ser>
        <ser>
          <idx val="1"/>
          <order val="1"/>
          <tx>
            <strRef>
              <f>'Capture Price Inputs'!$G$1</f>
              <strCache>
                <ptCount val="1"/>
                <pt idx="0">
                  <v>DK2 Solar Penetration (%) — Robustness</v>
                </pt>
              </strCache>
            </strRef>
          </tx>
          <spPr>
            <a:ln xmlns:a="http://schemas.openxmlformats.org/drawingml/2006/main">
              <a:solidFill>
                <a:srgbClr val="FFD700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val>
            <numRef>
              <f>'Capture Price Inputs'!$G$2:$G$85</f>
              <numCache>
                <formatCode>General</formatCode>
                <ptCount val="84"/>
                <pt idx="0">
                  <v>0</v>
                </pt>
                <pt idx="1">
                  <v>0</v>
                </pt>
                <pt idx="2">
                  <v>0</v>
                </pt>
                <pt idx="3">
                  <v>0</v>
                </pt>
                <pt idx="4">
                  <v>0</v>
                </pt>
                <pt idx="5">
                  <v>0</v>
                </pt>
                <pt idx="6">
                  <v>0</v>
                </pt>
                <pt idx="7">
                  <v>0</v>
                </pt>
                <pt idx="8">
                  <v>0</v>
                </pt>
                <pt idx="9">
                  <v>0</v>
                </pt>
                <pt idx="10">
                  <v>0</v>
                </pt>
                <pt idx="11">
                  <v>0</v>
                </pt>
                <pt idx="12">
                  <v>0.001864323044087839</v>
                </pt>
                <pt idx="13">
                  <v>0.004961339344807235</v>
                </pt>
                <pt idx="14">
                  <v>0.01532033335337761</v>
                </pt>
                <pt idx="15">
                  <v>0.02618059513454593</v>
                </pt>
                <pt idx="16">
                  <v>0.03224093077416624</v>
                </pt>
                <pt idx="17">
                  <v>0.03065181208815584</v>
                </pt>
                <pt idx="18">
                  <v>0.02998206800974695</v>
                </pt>
                <pt idx="19">
                  <v>0.02803471341430708</v>
                </pt>
                <pt idx="20">
                  <v>0.02173647910159525</v>
                </pt>
                <pt idx="21">
                  <v>0.01107911770574695</v>
                </pt>
                <pt idx="22">
                  <v>0.0001104461157833284</v>
                </pt>
                <pt idx="23">
                  <v>5.635243358406259e-06</v>
                </pt>
                <pt idx="24">
                  <v>0.003104474131982996</v>
                </pt>
                <pt idx="25">
                  <v>0.009248336948772359</v>
                </pt>
                <pt idx="26">
                  <v>0.01847451704521283</v>
                </pt>
                <pt idx="27">
                  <v>0.03269440748331279</v>
                </pt>
                <pt idx="28">
                  <v>0.03294582929454019</v>
                </pt>
                <pt idx="29">
                  <v>0.04448013314005607</v>
                </pt>
                <pt idx="30">
                  <v>0.03704954253730217</v>
                </pt>
                <pt idx="31">
                  <v>0.03185776883426199</v>
                </pt>
                <pt idx="32">
                  <v>0.0223981137027396</v>
                </pt>
                <pt idx="33">
                  <v>0.01267326343754744</v>
                </pt>
                <pt idx="34">
                  <v>0.004013281085791027</v>
                </pt>
                <pt idx="35">
                  <v>0.001822629583826099</v>
                </pt>
                <pt idx="36">
                  <v>0.004939556742877535</v>
                </pt>
                <pt idx="37">
                  <v>0.01324848558669828</v>
                </pt>
                <pt idx="38">
                  <v>0.03408933034912105</v>
                </pt>
                <pt idx="39">
                  <v>0.05525443609957865</v>
                </pt>
                <pt idx="40">
                  <v>0.06581145996085939</v>
                </pt>
                <pt idx="41">
                  <v>0.06452822904586782</v>
                </pt>
                <pt idx="42">
                  <v>0.06702580380195292</v>
                </pt>
                <pt idx="43">
                  <v>0.06129992439719582</v>
                </pt>
                <pt idx="44">
                  <v>0.04578427610350702</v>
                </pt>
                <pt idx="45">
                  <v>0.0298090580270354</v>
                </pt>
                <pt idx="46">
                  <v>0.007865295261900549</v>
                </pt>
                <pt idx="47">
                  <v>0.004532355552973548</v>
                </pt>
                <pt idx="48">
                  <v>0.005862652723136608</v>
                </pt>
                <pt idx="49">
                  <v>0.01887764841837355</v>
                </pt>
                <pt idx="50">
                  <v>0.03709622939200571</v>
                </pt>
                <pt idx="51">
                  <v>0.08026996603382495</v>
                </pt>
                <pt idx="52">
                  <v>0.1080032082802261</v>
                </pt>
                <pt idx="53">
                  <v>0.1144244665352921</v>
                </pt>
                <pt idx="54">
                  <v>0.1020307450715976</v>
                </pt>
                <pt idx="55">
                  <v>0.07793101053296771</v>
                </pt>
                <pt idx="56">
                  <v>0.08090995463931874</v>
                </pt>
                <pt idx="57">
                  <v>0.02917234021559438</v>
                </pt>
                <pt idx="58">
                  <v>0.0104098691216888</v>
                </pt>
                <pt idx="59">
                  <v>0.003809030164374855</v>
                </pt>
                <pt idx="60">
                  <v>0.006178183072975508</v>
                </pt>
                <pt idx="61">
                  <v>0.01667231366864759</v>
                </pt>
                <pt idx="62">
                  <v>0.04111280636733766</v>
                </pt>
                <pt idx="63">
                  <v>0.06512337874480645</v>
                </pt>
                <pt idx="64">
                  <v>0.106315341440858</v>
                </pt>
                <pt idx="65">
                  <v>0.1072729076610999</v>
                </pt>
                <pt idx="66">
                  <v>0.1057942634887733</v>
                </pt>
                <pt idx="67">
                  <v>0.0936908322687052</v>
                </pt>
                <pt idx="68">
                  <v>0.07246320282040017</v>
                </pt>
                <pt idx="69">
                  <v>0.03614525389237988</v>
                </pt>
                <pt idx="70">
                  <v>0.008602841405423608</v>
                </pt>
                <pt idx="71">
                  <v>0.004171468465776758</v>
                </pt>
                <pt idx="72">
                  <v>0.007223240212576967</v>
                </pt>
                <pt idx="73">
                  <v>0.02010831138567791</v>
                </pt>
                <pt idx="74">
                  <v>0.04654786644745259</v>
                </pt>
                <pt idx="75">
                  <v>0.07168978364906199</v>
                </pt>
                <pt idx="76">
                  <v>0.09471412725623395</v>
                </pt>
                <pt idx="77">
                  <v>0.09982625001551076</v>
                </pt>
                <pt idx="78">
                  <v>0.09399641941869914</v>
                </pt>
                <pt idx="79">
                  <v>0.1057378118957395</v>
                </pt>
                <pt idx="80">
                  <v>0.09062887968652376</v>
                </pt>
                <pt idx="81">
                  <v>0.03957312567862663</v>
                </pt>
                <pt idx="82">
                  <v>0.01454364344794783</v>
                </pt>
                <pt idx="83">
                  <v>0.00906949116088333</v>
                </pt>
              </numCache>
            </numRef>
          </val>
          <smooth val="1"/>
        </ser>
        <dLbls>
          <showLegendKey val="0"/>
          <showVal val="0"/>
          <showCatName val="0"/>
          <showSerName val="0"/>
          <showPercent val="0"/>
          <showBubbleSize val="0"/>
        </dLbls>
        <smooth val="0"/>
        <axId val="10"/>
        <axId val="100"/>
      </lineChart>
      <catAx>
        <axId val="10"/>
        <scaling>
          <orientation val="minMax"/>
        </scaling>
        <delete val="1"/>
        <axPos val="b"/>
        <title>
          <tx>
            <rich>
              <a:bodyPr xmlns:a="http://schemas.openxmlformats.org/drawingml/2006/main"/>
              <a:lstStyle xmlns:a="http://schemas.openxmlformats.org/drawingml/2006/main"/>
              <a:p xmlns:a="http://schemas.openxmlformats.org/drawingml/2006/main">
                <a:pPr>
                  <a:defRPr/>
                </a:pPr>
                <a:r>
                  <a:rPr lang="en-GB"/>
                  <a:t>Month</a:t>
                </a:r>
              </a:p>
            </rich>
          </tx>
          <overlay val="1"/>
        </title>
        <majorTickMark val="none"/>
        <minorTickMark val="none"/>
        <tickLblPos val="nextTo"/>
        <crossAx val="100"/>
        <crosses val="autoZero"/>
        <auto val="1"/>
        <lblAlgn val="ctr"/>
        <lblOffset val="100"/>
        <noMultiLvlLbl val="1"/>
      </catAx>
      <valAx>
        <axId val="100"/>
        <scaling>
          <orientation val="minMax"/>
        </scaling>
        <delete val="1"/>
        <axPos val="l"/>
        <majorGridlines/>
        <title>
          <tx>
            <rich>
              <a:bodyPr xmlns:a="http://schemas.openxmlformats.org/drawingml/2006/main"/>
              <a:lstStyle xmlns:a="http://schemas.openxmlformats.org/drawingml/2006/main"/>
              <a:p xmlns:a="http://schemas.openxmlformats.org/drawingml/2006/main">
                <a:pPr>
                  <a:defRPr/>
                </a:pPr>
                <a:r>
                  <a:rPr lang="en-GB"/>
                  <a:t>Solar Penetration (%)</a:t>
                </a:r>
              </a:p>
            </rich>
          </tx>
          <overlay val="1"/>
        </title>
        <numFmt formatCode="General" sourceLinked="1"/>
        <majorTickMark val="none"/>
        <minorTickMark val="none"/>
        <tickLblPos val="nextTo"/>
        <crossAx val="10"/>
        <crosses val="autoZero"/>
        <crossBetween val="between"/>
      </valAx>
    </plotArea>
    <legend>
      <legendPos val="r"/>
      <overlay val="1"/>
    </legend>
    <plotVisOnly val="1"/>
    <dispBlanksAs val="gap"/>
  </chart>
</chartSpace>
</file>

<file path=xl/charts/chart109.xml><?xml version="1.0" encoding="utf-8"?>
<chartSpace xmlns="http://schemas.openxmlformats.org/drawingml/2006/chart">
  <chart>
    <title>
      <tx>
        <rich>
          <a:bodyPr xmlns:a="http://schemas.openxmlformats.org/drawingml/2006/main"/>
          <a:lstStyle xmlns:a="http://schemas.openxmlformats.org/drawingml/2006/main"/>
          <a:p xmlns:a="http://schemas.openxmlformats.org/drawingml/2006/main">
            <a:pPr>
              <a:defRPr/>
            </a:pPr>
            <a:r>
              <a:rPr lang="en-GB"/>
              <a:t>Capture Price - DK1 Primary | DK2 Robustness</a:t>
            </a:r>
          </a:p>
        </rich>
      </tx>
      <overlay val="1"/>
    </title>
    <plotArea>
      <layout/>
      <lineChart>
        <grouping val="standard"/>
        <varyColors val="1"/>
        <ser>
          <idx val="0"/>
          <order val="0"/>
          <tx>
            <strRef>
              <f>'Capture Price Inputs'!$H$1</f>
              <strCache>
                <ptCount val="1"/>
                <pt idx="0">
                  <v>DK1 Capture Price (EUR/MWh) — Primary</v>
                </pt>
              </strCache>
            </strRef>
          </tx>
          <spPr>
            <a:ln xmlns:a="http://schemas.openxmlformats.org/drawingml/2006/main">
              <a:solidFill>
                <a:srgbClr val="2E75B6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val>
            <numRef>
              <f>'Capture Price Inputs'!$H$2:$H$85</f>
              <numCache>
                <formatCode>General</formatCode>
                <ptCount val="84"/>
                <pt idx="12">
                  <v>25.22320957280251</v>
                </pt>
                <pt idx="13">
                  <v>22.83581899109792</v>
                </pt>
                <pt idx="14">
                  <v>15.94107348554973</v>
                </pt>
                <pt idx="15">
                  <v>10.36487590420421</v>
                </pt>
                <pt idx="16">
                  <v>15.478548945086</v>
                </pt>
                <pt idx="17">
                  <v>27.31330822786869</v>
                </pt>
                <pt idx="18">
                  <v>24.83174517810916</v>
                </pt>
                <pt idx="19">
                  <v>33.87691542204785</v>
                </pt>
                <pt idx="20">
                  <v>38.93597900337959</v>
                </pt>
                <pt idx="21">
                  <v>31.92774153305919</v>
                </pt>
                <pt idx="22">
                  <v>26.00599326599326</v>
                </pt>
                <pt idx="23">
                  <v>34.79516129032258</v>
                </pt>
                <pt idx="24">
                  <v>55.42296760727792</v>
                </pt>
                <pt idx="25">
                  <v>47.54261097914259</v>
                </pt>
                <pt idx="26">
                  <v>44.55070091580549</v>
                </pt>
                <pt idx="27">
                  <v>43.594739828473</v>
                </pt>
                <pt idx="28">
                  <v>47.65587057500122</v>
                </pt>
                <pt idx="29">
                  <v>70.54354791111106</v>
                </pt>
                <pt idx="30">
                  <v>78.56831974775861</v>
                </pt>
                <pt idx="31">
                  <v>81.98335113640179</v>
                </pt>
                <pt idx="32">
                  <v>116.2002249554484</v>
                </pt>
                <pt idx="33">
                  <v>126.5303952032395</v>
                </pt>
                <pt idx="34">
                  <v>160.7705833010295</v>
                </pt>
                <pt idx="35">
                  <v>228.8621705579358</v>
                </pt>
                <pt idx="36">
                  <v>123.2012506791719</v>
                </pt>
                <pt idx="37">
                  <v>117.67077903546</v>
                </pt>
                <pt idx="38">
                  <v>191.508071735067</v>
                </pt>
                <pt idx="39">
                  <v>145.7013871592604</v>
                </pt>
                <pt idx="40">
                  <v>149.4185612445558</v>
                </pt>
                <pt idx="41">
                  <v>194.7110340948198</v>
                </pt>
                <pt idx="42">
                  <v>239.3981525107354</v>
                </pt>
                <pt idx="43">
                  <v>419.792637226606</v>
                </pt>
                <pt idx="44">
                  <v>310.7073992726671</v>
                </pt>
                <pt idx="45">
                  <v>125.6295598680838</v>
                </pt>
                <pt idx="46">
                  <v>131.7111886265582</v>
                </pt>
                <pt idx="47">
                  <v>282.8237937420726</v>
                </pt>
                <pt idx="48">
                  <v>138.5299886842633</v>
                </pt>
                <pt idx="49">
                  <v>109.8769757213503</v>
                </pt>
                <pt idx="50">
                  <v>93.77419094069538</v>
                </pt>
                <pt idx="51">
                  <v>76.25042822265543</v>
                </pt>
                <pt idx="52">
                  <v>50.54348776008261</v>
                </pt>
                <pt idx="53">
                  <v>74.88898277621806</v>
                </pt>
                <pt idx="54">
                  <v>52.09559943846345</v>
                </pt>
                <pt idx="55">
                  <v>74.18042603997819</v>
                </pt>
                <pt idx="56">
                  <v>68.11686962339694</v>
                </pt>
                <pt idx="57">
                  <v>50.53909051970285</v>
                </pt>
                <pt idx="58">
                  <v>90.68080556242518</v>
                </pt>
                <pt idx="59">
                  <v>63.45532768878803</v>
                </pt>
                <pt idx="60">
                  <v>78.57131644167831</v>
                </pt>
                <pt idx="61">
                  <v>59.47948676805509</v>
                </pt>
                <pt idx="62">
                  <v>51.26978324155493</v>
                </pt>
                <pt idx="63">
                  <v>49.38394056201121</v>
                </pt>
                <pt idx="64">
                  <v>35.89414827140887</v>
                </pt>
                <pt idx="65">
                  <v>47.03763372739765</v>
                </pt>
                <pt idx="66">
                  <v>42.52177322309952</v>
                </pt>
                <pt idx="67">
                  <v>52.17121747504909</v>
                </pt>
                <pt idx="68">
                  <v>45.64750462621701</v>
                </pt>
                <pt idx="69">
                  <v>58.44158378709199</v>
                </pt>
                <pt idx="70">
                  <v>97.58235261633192</v>
                </pt>
                <pt idx="71">
                  <v>92.07321769383398</v>
                </pt>
                <pt idx="72">
                  <v>111.1945655985155</v>
                </pt>
                <pt idx="73">
                  <v>105.4131597378828</v>
                </pt>
                <pt idx="74">
                  <v>57.84566339627056</v>
                </pt>
                <pt idx="75">
                  <v>45.84439577068735</v>
                </pt>
                <pt idx="76">
                  <v>40.06566739400938</v>
                </pt>
                <pt idx="77">
                  <v>33.4933819651966</v>
                </pt>
                <pt idx="78">
                  <v>61.32224821093979</v>
                </pt>
                <pt idx="79">
                  <v>47.75582456745756</v>
                </pt>
                <pt idx="80">
                  <v>49.42909499605724</v>
                </pt>
                <pt idx="81">
                  <v>74.26663453789526</v>
                </pt>
                <pt idx="82">
                  <v>95.56453180252134</v>
                </pt>
                <pt idx="83">
                  <v>80.95803424278026</v>
                </pt>
              </numCache>
            </numRef>
          </val>
          <smooth val="1"/>
        </ser>
        <ser>
          <idx val="1"/>
          <order val="1"/>
          <tx>
            <strRef>
              <f>'Capture Price Inputs'!$I$1</f>
              <strCache>
                <ptCount val="1"/>
                <pt idx="0">
                  <v>DK2 Capture Price (EUR/MWh) — Robustness</v>
                </pt>
              </strCache>
            </strRef>
          </tx>
          <spPr>
            <a:ln xmlns:a="http://schemas.openxmlformats.org/drawingml/2006/main">
              <a:solidFill>
                <a:srgbClr val="9DC3E6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val>
            <numRef>
              <f>'Capture Price Inputs'!$I$2:$I$85</f>
              <numCache>
                <formatCode>General</formatCode>
                <ptCount val="84"/>
                <pt idx="12">
                  <v>29.86213642213642</v>
                </pt>
                <pt idx="13">
                  <v>23.55551782972189</v>
                </pt>
                <pt idx="14">
                  <v>17.14905069226102</v>
                </pt>
                <pt idx="15">
                  <v>13.25252312836708</v>
                </pt>
                <pt idx="16">
                  <v>18.59404938271605</v>
                </pt>
                <pt idx="17">
                  <v>35.21078005032583</v>
                </pt>
                <pt idx="18">
                  <v>26.450778046867</v>
                </pt>
                <pt idx="19">
                  <v>44.11376501540486</v>
                </pt>
                <pt idx="20">
                  <v>41.85304788087056</v>
                </pt>
                <pt idx="21">
                  <v>33.60087837290333</v>
                </pt>
                <pt idx="22">
                  <v>37.749765625</v>
                </pt>
                <pt idx="23">
                  <v>44.19142857142857</v>
                </pt>
                <pt idx="24">
                  <v>57.07213441008145</v>
                </pt>
                <pt idx="25">
                  <v>52.28508365452458</v>
                </pt>
                <pt idx="26">
                  <v>47.42264301189781</v>
                </pt>
                <pt idx="27">
                  <v>45.90136374824883</v>
                </pt>
                <pt idx="28">
                  <v>50.2587202314608</v>
                </pt>
                <pt idx="29">
                  <v>69.46934165377623</v>
                </pt>
                <pt idx="30">
                  <v>77.93311155139432</v>
                </pt>
                <pt idx="31">
                  <v>84.51274769025703</v>
                </pt>
                <pt idx="32">
                  <v>118.7457227855615</v>
                </pt>
                <pt idx="33">
                  <v>122.3841235967906</v>
                </pt>
                <pt idx="34">
                  <v>153.6267942781575</v>
                </pt>
                <pt idx="35">
                  <v>244.4872785976441</v>
                </pt>
                <pt idx="36">
                  <v>129.6774902315082</v>
                </pt>
                <pt idx="37">
                  <v>108.8033389925641</v>
                </pt>
                <pt idx="38">
                  <v>186.0504424586062</v>
                </pt>
                <pt idx="39">
                  <v>143.5375888642185</v>
                </pt>
                <pt idx="40">
                  <v>146.2536023446033</v>
                </pt>
                <pt idx="41">
                  <v>192.2325905808319</v>
                </pt>
                <pt idx="42">
                  <v>212.3625858003895</v>
                </pt>
                <pt idx="43">
                  <v>397.1798848597606</v>
                </pt>
                <pt idx="44">
                  <v>315.928842796779</v>
                </pt>
                <pt idx="45">
                  <v>120.1190076327392</v>
                </pt>
                <pt idx="46">
                  <v>134.0399027878758</v>
                </pt>
                <pt idx="47">
                  <v>303.2697848166857</v>
                </pt>
                <pt idx="48">
                  <v>120.8992864784306</v>
                </pt>
                <pt idx="49">
                  <v>103.112625406295</v>
                </pt>
                <pt idx="50">
                  <v>89.0984689216417</v>
                </pt>
                <pt idx="51">
                  <v>71.1250997055942</v>
                </pt>
                <pt idx="52">
                  <v>48.35808379645633</v>
                </pt>
                <pt idx="53">
                  <v>71.8620903722224</v>
                </pt>
                <pt idx="54">
                  <v>50.34596661709235</v>
                </pt>
                <pt idx="55">
                  <v>72.95799234798741</v>
                </pt>
                <pt idx="56">
                  <v>64.3944846724649</v>
                </pt>
                <pt idx="57">
                  <v>47.66025509428685</v>
                </pt>
                <pt idx="58">
                  <v>84.63997860526599</v>
                </pt>
                <pt idx="59">
                  <v>59.06174633307972</v>
                </pt>
                <pt idx="60">
                  <v>76.42720253521921</v>
                </pt>
                <pt idx="61">
                  <v>51.43437919654775</v>
                </pt>
                <pt idx="62">
                  <v>50.75116381305344</v>
                </pt>
                <pt idx="63">
                  <v>47.053967904828</v>
                </pt>
                <pt idx="64">
                  <v>34.29579411369289</v>
                </pt>
                <pt idx="65">
                  <v>46.37938403458337</v>
                </pt>
                <pt idx="66">
                  <v>38.81282196947117</v>
                </pt>
                <pt idx="67">
                  <v>47.15186311829253</v>
                </pt>
                <pt idx="68">
                  <v>43.35594635084219</v>
                </pt>
                <pt idx="69">
                  <v>59.53493763028656</v>
                </pt>
                <pt idx="70">
                  <v>89.61127747791728</v>
                </pt>
                <pt idx="71">
                  <v>100.7961313991171</v>
                </pt>
                <pt idx="72">
                  <v>115.0822593270056</v>
                </pt>
                <pt idx="73">
                  <v>106.9231820731682</v>
                </pt>
                <pt idx="74">
                  <v>50.01806296126875</v>
                </pt>
                <pt idx="75">
                  <v>41.82584156307518</v>
                </pt>
                <pt idx="76">
                  <v>34.32066034459122</v>
                </pt>
                <pt idx="77">
                  <v>24.31568572006325</v>
                </pt>
                <pt idx="78">
                  <v>59.76694388214769</v>
                </pt>
                <pt idx="79">
                  <v>43.06460478354486</v>
                </pt>
                <pt idx="80">
                  <v>52.94940515380836</v>
                </pt>
                <pt idx="81">
                  <v>78.64573032240668</v>
                </pt>
                <pt idx="82">
                  <v>92.69045487153267</v>
                </pt>
                <pt idx="83">
                  <v>79.63122802208366</v>
                </pt>
              </numCache>
            </numRef>
          </val>
          <smooth val="1"/>
        </ser>
        <dLbls>
          <showLegendKey val="0"/>
          <showVal val="0"/>
          <showCatName val="0"/>
          <showSerName val="0"/>
          <showPercent val="0"/>
          <showBubbleSize val="0"/>
        </dLbls>
        <smooth val="0"/>
        <axId val="10"/>
        <axId val="100"/>
      </lineChart>
      <catAx>
        <axId val="10"/>
        <scaling>
          <orientation val="minMax"/>
        </scaling>
        <delete val="1"/>
        <axPos val="b"/>
        <title>
          <tx>
            <rich>
              <a:bodyPr xmlns:a="http://schemas.openxmlformats.org/drawingml/2006/main"/>
              <a:lstStyle xmlns:a="http://schemas.openxmlformats.org/drawingml/2006/main"/>
              <a:p xmlns:a="http://schemas.openxmlformats.org/drawingml/2006/main">
                <a:pPr>
                  <a:defRPr/>
                </a:pPr>
                <a:r>
                  <a:rPr lang="en-GB"/>
                  <a:t>Month</a:t>
                </a:r>
              </a:p>
            </rich>
          </tx>
          <overlay val="1"/>
        </title>
        <majorTickMark val="none"/>
        <minorTickMark val="none"/>
        <tickLblPos val="nextTo"/>
        <crossAx val="100"/>
        <crosses val="autoZero"/>
        <auto val="1"/>
        <lblAlgn val="ctr"/>
        <lblOffset val="100"/>
        <noMultiLvlLbl val="1"/>
      </catAx>
      <valAx>
        <axId val="100"/>
        <scaling>
          <orientation val="minMax"/>
        </scaling>
        <delete val="1"/>
        <axPos val="l"/>
        <majorGridlines/>
        <title>
          <tx>
            <rich>
              <a:bodyPr xmlns:a="http://schemas.openxmlformats.org/drawingml/2006/main"/>
              <a:lstStyle xmlns:a="http://schemas.openxmlformats.org/drawingml/2006/main"/>
              <a:p xmlns:a="http://schemas.openxmlformats.org/drawingml/2006/main">
                <a:pPr>
                  <a:defRPr/>
                </a:pPr>
                <a:r>
                  <a:rPr lang="en-GB"/>
                  <a:t>EUR/MWh</a:t>
                </a:r>
              </a:p>
            </rich>
          </tx>
          <overlay val="1"/>
        </title>
        <numFmt formatCode="General" sourceLinked="1"/>
        <majorTickMark val="none"/>
        <minorTickMark val="none"/>
        <tickLblPos val="nextTo"/>
        <crossAx val="10"/>
        <crosses val="autoZero"/>
        <crossBetween val="between"/>
      </valAx>
    </plotArea>
    <legend>
      <legendPos val="r"/>
      <overlay val="1"/>
    </legend>
    <plotVisOnly val="1"/>
    <dispBlanksAs val="gap"/>
  </chart>
</chartSpace>
</file>

<file path=xl/charts/chart110.xml><?xml version="1.0" encoding="utf-8"?>
<chartSpace xmlns="http://schemas.openxmlformats.org/drawingml/2006/chart">
  <chart>
    <title>
      <tx>
        <rich>
          <a:bodyPr xmlns:a="http://schemas.openxmlformats.org/drawingml/2006/main"/>
          <a:lstStyle xmlns:a="http://schemas.openxmlformats.org/drawingml/2006/main"/>
          <a:p xmlns:a="http://schemas.openxmlformats.org/drawingml/2006/main">
            <a:pPr>
              <a:defRPr/>
            </a:pPr>
            <a:r>
              <a:rPr lang="en-GB"/>
              <a:t>Capture Price Ratio - DK1 Primary | DK2 Robustness</a:t>
            </a:r>
          </a:p>
        </rich>
      </tx>
      <overlay val="1"/>
    </title>
    <plotArea>
      <layout/>
      <lineChart>
        <grouping val="standard"/>
        <varyColors val="1"/>
        <ser>
          <idx val="0"/>
          <order val="0"/>
          <tx>
            <strRef>
              <f>'Capture Price Inputs'!$J$1</f>
              <strCache>
                <ptCount val="1"/>
                <pt idx="0">
                  <v>DK1 CPR — Primary</v>
                </pt>
              </strCache>
            </strRef>
          </tx>
          <spPr>
            <a:ln xmlns:a="http://schemas.openxmlformats.org/drawingml/2006/main">
              <a:solidFill>
                <a:srgbClr val="2E75B6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val>
            <numRef>
              <f>'Capture Price Inputs'!$J$2:$J$85</f>
              <numCache>
                <formatCode>General</formatCode>
                <ptCount val="84"/>
                <pt idx="12">
                  <v>1.009148659447442</v>
                </pt>
                <pt idx="13">
                  <v>1.298591168695051</v>
                </pt>
                <pt idx="14">
                  <v>0.8710146939215303</v>
                </pt>
                <pt idx="15">
                  <v>0.7131577255881921</v>
                </pt>
                <pt idx="16">
                  <v>0.9641557693120565</v>
                </pt>
                <pt idx="17">
                  <v>1.039466413731094</v>
                </pt>
                <pt idx="18">
                  <v>1.008618155660831</v>
                </pt>
                <pt idx="19">
                  <v>0.9808226440750074</v>
                </pt>
                <pt idx="20">
                  <v>1.010404486913005</v>
                </pt>
                <pt idx="21">
                  <v>1.236802226812374</v>
                </pt>
                <pt idx="22">
                  <v>1.094777917215692</v>
                </pt>
                <pt idx="23">
                  <v>1.008230164182662</v>
                </pt>
                <pt idx="24">
                  <v>1.103930861568265</v>
                </pt>
                <pt idx="25">
                  <v>1.005947927705425</v>
                </pt>
                <pt idx="26">
                  <v>0.9871758725122356</v>
                </pt>
                <pt idx="27">
                  <v>0.9088464745665017</v>
                </pt>
                <pt idx="28">
                  <v>0.8775180518715436</v>
                </pt>
                <pt idx="29">
                  <v>0.9569142795347317</v>
                </pt>
                <pt idx="30">
                  <v>0.9821132371596978</v>
                </pt>
                <pt idx="31">
                  <v>0.9902714780245057</v>
                </pt>
                <pt idx="32">
                  <v>0.9269044048361358</v>
                </pt>
                <pt idx="33">
                  <v>1.081088507413439</v>
                </pt>
                <pt idx="34">
                  <v>1.133803408504466</v>
                </pt>
                <pt idx="35">
                  <v>1.208676962454928</v>
                </pt>
                <pt idx="36">
                  <v>1.044125730427727</v>
                </pt>
                <pt idx="37">
                  <v>1.04022281700981</v>
                </pt>
                <pt idx="38">
                  <v>0.8120775904420741</v>
                </pt>
                <pt idx="39">
                  <v>0.8903913338467833</v>
                </pt>
                <pt idx="40">
                  <v>0.8694301605049858</v>
                </pt>
                <pt idx="41">
                  <v>0.9080390201234191</v>
                </pt>
                <pt idx="42">
                  <v>0.8704179159294955</v>
                </pt>
                <pt idx="43">
                  <v>0.9190855304670003</v>
                </pt>
                <pt idx="44">
                  <v>0.9063290180568312</v>
                </pt>
                <pt idx="45">
                  <v>0.9161232525396177</v>
                </pt>
                <pt idx="46">
                  <v>0.9427861207466001</v>
                </pt>
                <pt idx="47">
                  <v>1.132810339248927</v>
                </pt>
                <pt idx="48">
                  <v>1.230919869122654</v>
                </pt>
                <pt idx="49">
                  <v>0.93008781340266</v>
                </pt>
                <pt idx="50">
                  <v>0.9461253975959896</v>
                </pt>
                <pt idx="51">
                  <v>0.7920396612038634</v>
                </pt>
                <pt idx="52">
                  <v>0.6833361056151995</v>
                </pt>
                <pt idx="53">
                  <v>0.8096506208621567</v>
                </pt>
                <pt idx="54">
                  <v>0.8038042195326093</v>
                </pt>
                <pt idx="55">
                  <v>0.8628930977720407</v>
                </pt>
                <pt idx="56">
                  <v>0.8038389922187259</v>
                </pt>
                <pt idx="57">
                  <v>0.8408360556054226</v>
                </pt>
                <pt idx="58">
                  <v>1.028656893611996</v>
                </pt>
                <pt idx="59">
                  <v>0.9132560776287663</v>
                </pt>
                <pt idx="60">
                  <v>1.051614630458469</v>
                </pt>
                <pt idx="61">
                  <v>1.014420829179444</v>
                </pt>
                <pt idx="62">
                  <v>0.8373818542217274</v>
                </pt>
                <pt idx="63">
                  <v>0.8346846016164379</v>
                </pt>
                <pt idx="64">
                  <v>0.6133984536650869</v>
                </pt>
                <pt idx="65">
                  <v>0.7378100322386865</v>
                </pt>
                <pt idx="66">
                  <v>0.685499494870618</v>
                </pt>
                <pt idx="67">
                  <v>0.7151267621934952</v>
                </pt>
                <pt idx="68">
                  <v>0.636525223039573</v>
                </pt>
                <pt idx="69">
                  <v>0.7617518807592967</v>
                </pt>
                <pt idx="70">
                  <v>1.017494003861172</v>
                </pt>
                <pt idx="71">
                  <v>1.002567416041121</v>
                </pt>
                <pt idx="72">
                  <v>1.135032584901597</v>
                </pt>
                <pt idx="73">
                  <v>0.9341166514187298</v>
                </pt>
                <pt idx="74">
                  <v>0.6857908168802248</v>
                </pt>
                <pt idx="75">
                  <v>0.609953535618325</v>
                </pt>
                <pt idx="76">
                  <v>0.6237511742318941</v>
                </pt>
                <pt idx="77">
                  <v>0.569764321286333</v>
                </pt>
                <pt idx="78">
                  <v>0.7405896710838001</v>
                </pt>
                <pt idx="79">
                  <v>0.6499711234459455</v>
                </pt>
                <pt idx="80">
                  <v>0.6827347489865859</v>
                </pt>
                <pt idx="81">
                  <v>0.9470151719348058</v>
                </pt>
                <pt idx="82">
                  <v>1.028976430956097</v>
                </pt>
                <pt idx="83">
                  <v>0.9820538861792604</v>
                </pt>
              </numCache>
            </numRef>
          </val>
          <smooth val="1"/>
        </ser>
        <ser>
          <idx val="1"/>
          <order val="1"/>
          <tx>
            <strRef>
              <f>'Capture Price Inputs'!$K$1</f>
              <strCache>
                <ptCount val="1"/>
                <pt idx="0">
                  <v>DK2 CPR — Robustness</v>
                </pt>
              </strCache>
            </strRef>
          </tx>
          <spPr>
            <a:ln xmlns:a="http://schemas.openxmlformats.org/drawingml/2006/main">
              <a:solidFill>
                <a:srgbClr val="9DC3E6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val>
            <numRef>
              <f>'Capture Price Inputs'!$K$2:$K$85</f>
              <numCache>
                <formatCode>General</formatCode>
                <ptCount val="84"/>
                <pt idx="12">
                  <v>1.090446324793763</v>
                </pt>
                <pt idx="13">
                  <v>1.251821301318464</v>
                </pt>
                <pt idx="14">
                  <v>0.8552077585127711</v>
                </pt>
                <pt idx="15">
                  <v>0.763620235478716</v>
                </pt>
                <pt idx="16">
                  <v>0.9763693823354528</v>
                </pt>
                <pt idx="17">
                  <v>1.180647007173951</v>
                </pt>
                <pt idx="18">
                  <v>1.021791049952987</v>
                </pt>
                <pt idx="19">
                  <v>1.077948442472481</v>
                </pt>
                <pt idx="20">
                  <v>1.059189092335807</v>
                </pt>
                <pt idx="21">
                  <v>1.247549053102559</v>
                </pt>
                <pt idx="22">
                  <v>1.057080411727209</v>
                </pt>
                <pt idx="23">
                  <v>1.125691191699302</v>
                </pt>
                <pt idx="24">
                  <v>1.122164979814525</v>
                </pt>
                <pt idx="25">
                  <v>0.9585139857498034</v>
                </pt>
                <pt idx="26">
                  <v>1.014774172650395</v>
                </pt>
                <pt idx="27">
                  <v>0.9590164366476613</v>
                </pt>
                <pt idx="28">
                  <v>0.9103388736117121</v>
                </pt>
                <pt idx="29">
                  <v>0.9440449187481634</v>
                </pt>
                <pt idx="30">
                  <v>0.9569285690465077</v>
                </pt>
                <pt idx="31">
                  <v>1.001768528067071</v>
                </pt>
                <pt idx="32">
                  <v>0.9583833699094481</v>
                </pt>
                <pt idx="33">
                  <v>1.144501265847132</v>
                </pt>
                <pt idx="34">
                  <v>1.126460857141801</v>
                </pt>
                <pt idx="35">
                  <v>1.279578427053047</v>
                </pt>
                <pt idx="36">
                  <v>1.161754652341282</v>
                </pt>
                <pt idx="37">
                  <v>1.084871924613185</v>
                </pt>
                <pt idx="38">
                  <v>0.8162958275837114</v>
                </pt>
                <pt idx="39">
                  <v>0.9391804877392103</v>
                </pt>
                <pt idx="40">
                  <v>0.8991456314331195</v>
                </pt>
                <pt idx="41">
                  <v>0.9015136745747578</v>
                </pt>
                <pt idx="42">
                  <v>0.909562444967756</v>
                </pt>
                <pt idx="43">
                  <v>0.8830756108422062</v>
                </pt>
                <pt idx="44">
                  <v>0.9608536982958826</v>
                </pt>
                <pt idx="45">
                  <v>0.8774354195736861</v>
                </pt>
                <pt idx="46">
                  <v>0.9240447439178995</v>
                </pt>
                <pt idx="47">
                  <v>1.218528056069729</v>
                </pt>
                <pt idx="48">
                  <v>1.21186632363043</v>
                </pt>
                <pt idx="49">
                  <v>1.024478122815962</v>
                </pt>
                <pt idx="50">
                  <v>0.992236312197012</v>
                </pt>
                <pt idx="51">
                  <v>0.8502587347820391</v>
                </pt>
                <pt idx="52">
                  <v>0.7310174827054021</v>
                </pt>
                <pt idx="53">
                  <v>0.7860381991736552</v>
                </pt>
                <pt idx="54">
                  <v>0.7717034871247128</v>
                </pt>
                <pt idx="55">
                  <v>0.8454610410569836</v>
                </pt>
                <pt idx="56">
                  <v>0.7532917330845335</v>
                </pt>
                <pt idx="57">
                  <v>0.837234490334641</v>
                </pt>
                <pt idx="58">
                  <v>1.038705241708771</v>
                </pt>
                <pt idx="59">
                  <v>0.8332670757562848</v>
                </pt>
                <pt idx="60">
                  <v>0.977144875107929</v>
                </pt>
                <pt idx="61">
                  <v>0.9399172603334611</v>
                </pt>
                <pt idx="62">
                  <v>0.8314293202728863</v>
                </pt>
                <pt idx="63">
                  <v>0.7780510745637418</v>
                </pt>
                <pt idx="64">
                  <v>0.5900556342707577</v>
                </pt>
                <pt idx="65">
                  <v>0.6943958569114143</v>
                </pt>
                <pt idx="66">
                  <v>0.6176283845394642</v>
                </pt>
                <pt idx="67">
                  <v>0.6493471479229646</v>
                </pt>
                <pt idx="68">
                  <v>0.6157480113547513</v>
                </pt>
                <pt idx="69">
                  <v>0.7800073506793195</v>
                </pt>
                <pt idx="70">
                  <v>0.9404779955101509</v>
                </pt>
                <pt idx="71">
                  <v>1.087006718547946</v>
                </pt>
                <pt idx="72">
                  <v>1.149400364807902</v>
                </pt>
                <pt idx="73">
                  <v>0.9066238427133391</v>
                </pt>
                <pt idx="74">
                  <v>0.603741164715803</v>
                </pt>
                <pt idx="75">
                  <v>0.5517436798810373</v>
                </pt>
                <pt idx="76">
                  <v>0.544059463307295</v>
                </pt>
                <pt idx="77">
                  <v>0.4307606652121766</v>
                </pt>
                <pt idx="78">
                  <v>0.7474634186196619</v>
                </pt>
                <pt idx="79">
                  <v>0.5717894234335987</v>
                </pt>
                <pt idx="80">
                  <v>0.635731600833678</v>
                </pt>
                <pt idx="81">
                  <v>0.9548084008156305</v>
                </pt>
                <pt idx="82">
                  <v>0.9892725129496999</v>
                </pt>
                <pt idx="83">
                  <v>0.9701479625359415</v>
                </pt>
              </numCache>
            </numRef>
          </val>
          <smooth val="1"/>
        </ser>
        <dLbls>
          <showLegendKey val="0"/>
          <showVal val="0"/>
          <showCatName val="0"/>
          <showSerName val="0"/>
          <showPercent val="0"/>
          <showBubbleSize val="0"/>
        </dLbls>
        <smooth val="0"/>
        <axId val="10"/>
        <axId val="100"/>
      </lineChart>
      <catAx>
        <axId val="10"/>
        <scaling>
          <orientation val="minMax"/>
        </scaling>
        <delete val="1"/>
        <axPos val="b"/>
        <title>
          <tx>
            <rich>
              <a:bodyPr xmlns:a="http://schemas.openxmlformats.org/drawingml/2006/main"/>
              <a:lstStyle xmlns:a="http://schemas.openxmlformats.org/drawingml/2006/main"/>
              <a:p xmlns:a="http://schemas.openxmlformats.org/drawingml/2006/main">
                <a:pPr>
                  <a:defRPr/>
                </a:pPr>
                <a:r>
                  <a:rPr lang="en-GB"/>
                  <a:t>Month</a:t>
                </a:r>
              </a:p>
            </rich>
          </tx>
          <overlay val="1"/>
        </title>
        <majorTickMark val="none"/>
        <minorTickMark val="none"/>
        <tickLblPos val="nextTo"/>
        <crossAx val="100"/>
        <crosses val="autoZero"/>
        <auto val="1"/>
        <lblAlgn val="ctr"/>
        <lblOffset val="100"/>
        <noMultiLvlLbl val="1"/>
      </catAx>
      <valAx>
        <axId val="100"/>
        <scaling>
          <orientation val="minMax"/>
        </scaling>
        <delete val="1"/>
        <axPos val="l"/>
        <majorGridlines/>
        <title>
          <tx>
            <rich>
              <a:bodyPr xmlns:a="http://schemas.openxmlformats.org/drawingml/2006/main"/>
              <a:lstStyle xmlns:a="http://schemas.openxmlformats.org/drawingml/2006/main"/>
              <a:p xmlns:a="http://schemas.openxmlformats.org/drawingml/2006/main">
                <a:pPr>
                  <a:defRPr/>
                </a:pPr>
                <a:r>
                  <a:rPr lang="en-GB"/>
                  <a:t>CPR</a:t>
                </a:r>
              </a:p>
            </rich>
          </tx>
          <overlay val="1"/>
        </title>
        <numFmt formatCode="General" sourceLinked="1"/>
        <majorTickMark val="none"/>
        <minorTickMark val="none"/>
        <tickLblPos val="nextTo"/>
        <crossAx val="10"/>
        <crosses val="autoZero"/>
        <crossBetween val="between"/>
      </valAx>
    </plotArea>
    <legend>
      <legendPos val="r"/>
      <overlay val="1"/>
    </legend>
    <plotVisOnly val="1"/>
    <dispBlanksAs val="gap"/>
  </chart>
</chartSpace>
</file>

<file path=xl/charts/chart111.xml><?xml version="1.0" encoding="utf-8"?>
<chartSpace xmlns="http://schemas.openxmlformats.org/drawingml/2006/chart">
  <chart>
    <title>
      <tx>
        <rich>
          <a:bodyPr xmlns:a="http://schemas.openxmlformats.org/drawingml/2006/main"/>
          <a:lstStyle xmlns:a="http://schemas.openxmlformats.org/drawingml/2006/main"/>
          <a:p xmlns:a="http://schemas.openxmlformats.org/drawingml/2006/main">
            <a:pPr>
              <a:defRPr/>
            </a:pPr>
            <a:r>
              <a:rPr lang="en-GB"/>
              <a:t>Solar Penetration - DK1 Primary | DK2 Robustness</a:t>
            </a:r>
          </a:p>
        </rich>
      </tx>
      <overlay val="1"/>
    </title>
    <plotArea>
      <layout/>
      <lineChart>
        <grouping val="standard"/>
        <varyColors val="1"/>
        <ser>
          <idx val="0"/>
          <order val="0"/>
          <tx>
            <strRef>
              <f>'Capture Price Inputs'!$F$1</f>
              <strCache>
                <ptCount val="1"/>
                <pt idx="0">
                  <v>DK1 Solar Penetration (%) — Primary</v>
                </pt>
              </strCache>
            </strRef>
          </tx>
          <spPr>
            <a:ln xmlns:a="http://schemas.openxmlformats.org/drawingml/2006/main">
              <a:solidFill>
                <a:srgbClr val="FF8C00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val>
            <numRef>
              <f>'Capture Price Inputs'!$F$2:$F$85</f>
              <numCache>
                <formatCode>General</formatCode>
                <ptCount val="84"/>
                <pt idx="0">
                  <v>0</v>
                </pt>
                <pt idx="1">
                  <v>0</v>
                </pt>
                <pt idx="2">
                  <v>0</v>
                </pt>
                <pt idx="3">
                  <v>0</v>
                </pt>
                <pt idx="4">
                  <v>0</v>
                </pt>
                <pt idx="5">
                  <v>0</v>
                </pt>
                <pt idx="6">
                  <v>0</v>
                </pt>
                <pt idx="7">
                  <v>0</v>
                </pt>
                <pt idx="8">
                  <v>0</v>
                </pt>
                <pt idx="9">
                  <v>0</v>
                </pt>
                <pt idx="10">
                  <v>0</v>
                </pt>
                <pt idx="11">
                  <v>0</v>
                </pt>
                <pt idx="12">
                  <v>0.002264447892629483</v>
                </pt>
                <pt idx="13">
                  <v>0.005247452024482245</v>
                </pt>
                <pt idx="14">
                  <v>0.02020167759412729</v>
                </pt>
                <pt idx="15">
                  <v>0.0324279896123047</v>
                </pt>
                <pt idx="16">
                  <v>0.03608008723790357</v>
                </pt>
                <pt idx="17">
                  <v>0.03741361883164089</v>
                </pt>
                <pt idx="18">
                  <v>0.03399843385950392</v>
                </pt>
                <pt idx="19">
                  <v>0.03422476314253766</v>
                </pt>
                <pt idx="20">
                  <v>0.02433015193915724</v>
                </pt>
                <pt idx="21">
                  <v>0.01149038754944678</v>
                </pt>
                <pt idx="22">
                  <v>0.0001521101274151999</v>
                </pt>
                <pt idx="23">
                  <v>1.472410662127807e-05</v>
                </pt>
                <pt idx="24">
                  <v>0.003631355999035091</v>
                </pt>
                <pt idx="25">
                  <v>0.0108689417180573</v>
                </pt>
                <pt idx="26">
                  <v>0.02238230390737163</v>
                </pt>
                <pt idx="27">
                  <v>0.04212837115783985</v>
                </pt>
                <pt idx="28">
                  <v>0.03307505221196035</v>
                </pt>
                <pt idx="29">
                  <v>0.04984166182181952</v>
                </pt>
                <pt idx="30">
                  <v>0.0485715434854639</v>
                </pt>
                <pt idx="31">
                  <v>0.0388769479447087</v>
                </pt>
                <pt idx="32">
                  <v>0.02593285017943629</v>
                </pt>
                <pt idx="33">
                  <v>0.01746009643148906</v>
                </pt>
                <pt idx="34">
                  <v>0.007029306005813504</v>
                </pt>
                <pt idx="35">
                  <v>0.003243365391886713</v>
                </pt>
                <pt idx="36">
                  <v>0.006675315547248087</v>
                </pt>
                <pt idx="37">
                  <v>0.0173995712330029</v>
                </pt>
                <pt idx="38">
                  <v>0.06195507058644287</v>
                </pt>
                <pt idx="39">
                  <v>0.08404056603836467</v>
                </pt>
                <pt idx="40">
                  <v>0.09687689142031611</v>
                </pt>
                <pt idx="41">
                  <v>0.09496202074431148</v>
                </pt>
                <pt idx="42">
                  <v>0.09963556652585577</v>
                </pt>
                <pt idx="43">
                  <v>0.08962697832526678</v>
                </pt>
                <pt idx="44">
                  <v>0.06604649859170474</v>
                </pt>
                <pt idx="45">
                  <v>0.03746941447765471</v>
                </pt>
                <pt idx="46">
                  <v>0.01046932675470221</v>
                </pt>
                <pt idx="47">
                  <v>0.006229164645196865</v>
                </pt>
                <pt idx="48">
                  <v>0.01246069427686292</v>
                </pt>
                <pt idx="49">
                  <v>0.03437640419176364</v>
                </pt>
                <pt idx="50">
                  <v>0.05647796857705859</v>
                </pt>
                <pt idx="51">
                  <v>0.1509467292684683</v>
                </pt>
                <pt idx="52">
                  <v>0.18600333743842</v>
                </pt>
                <pt idx="53">
                  <v>0.218925737129461</v>
                </pt>
                <pt idx="54">
                  <v>0.1892952405634502</v>
                </pt>
                <pt idx="55">
                  <v>0.1493297980639493</v>
                </pt>
                <pt idx="56">
                  <v>0.1319165438654872</v>
                </pt>
                <pt idx="57">
                  <v>0.0428648864567301</v>
                </pt>
                <pt idx="58">
                  <v>0.01600349353715238</v>
                </pt>
                <pt idx="59">
                  <v>0.006390504672696534</v>
                </pt>
                <pt idx="60">
                  <v>0.01341718605060752</v>
                </pt>
                <pt idx="61">
                  <v>0.0264362238379265</v>
                </pt>
                <pt idx="62">
                  <v>0.06623397340035048</v>
                </pt>
                <pt idx="63">
                  <v>0.1084169878649764</v>
                </pt>
                <pt idx="64">
                  <v>0.1888703164988005</v>
                </pt>
                <pt idx="65">
                  <v>0.1715230569234828</v>
                </pt>
                <pt idx="66">
                  <v>0.1809062055635286</v>
                </pt>
                <pt idx="67">
                  <v>0.155121531117258</v>
                </pt>
                <pt idx="68">
                  <v>0.1275567235314205</v>
                </pt>
                <pt idx="69">
                  <v>0.06287376784741511</v>
                </pt>
                <pt idx="70">
                  <v>0.01780902737610289</v>
                </pt>
                <pt idx="71">
                  <v>0.006785797568345668</v>
                </pt>
                <pt idx="72">
                  <v>0.01366055484422285</v>
                </pt>
                <pt idx="73">
                  <v>0.04341993481717769</v>
                </pt>
                <pt idx="74">
                  <v>0.1120694547038418</v>
                </pt>
                <pt idx="75">
                  <v>0.1482754875605271</v>
                </pt>
                <pt idx="76">
                  <v>0.1924446817596716</v>
                </pt>
                <pt idx="77">
                  <v>0.1878482923852328</v>
                </pt>
                <pt idx="78">
                  <v>0.2182818884824121</v>
                </pt>
                <pt idx="79">
                  <v>0.1901168401280812</v>
                </pt>
                <pt idx="80">
                  <v>0.1381615272451792</v>
                </pt>
                <pt idx="81">
                  <v>0.06946207120205163</v>
                </pt>
                <pt idx="82">
                  <v>0.02660497040214753</v>
                </pt>
                <pt idx="83">
                  <v>0.0140253486520015</v>
                </pt>
              </numCache>
            </numRef>
          </val>
          <smooth val="1"/>
        </ser>
        <ser>
          <idx val="1"/>
          <order val="1"/>
          <tx>
            <strRef>
              <f>'Capture Price Inputs'!$G$1</f>
              <strCache>
                <ptCount val="1"/>
                <pt idx="0">
                  <v>DK2 Solar Penetration (%) — Robustness</v>
                </pt>
              </strCache>
            </strRef>
          </tx>
          <spPr>
            <a:ln xmlns:a="http://schemas.openxmlformats.org/drawingml/2006/main">
              <a:solidFill>
                <a:srgbClr val="FFD700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val>
            <numRef>
              <f>'Capture Price Inputs'!$G$2:$G$85</f>
              <numCache>
                <formatCode>General</formatCode>
                <ptCount val="84"/>
                <pt idx="0">
                  <v>0</v>
                </pt>
                <pt idx="1">
                  <v>0</v>
                </pt>
                <pt idx="2">
                  <v>0</v>
                </pt>
                <pt idx="3">
                  <v>0</v>
                </pt>
                <pt idx="4">
                  <v>0</v>
                </pt>
                <pt idx="5">
                  <v>0</v>
                </pt>
                <pt idx="6">
                  <v>0</v>
                </pt>
                <pt idx="7">
                  <v>0</v>
                </pt>
                <pt idx="8">
                  <v>0</v>
                </pt>
                <pt idx="9">
                  <v>0</v>
                </pt>
                <pt idx="10">
                  <v>0</v>
                </pt>
                <pt idx="11">
                  <v>0</v>
                </pt>
                <pt idx="12">
                  <v>0.001864323044087839</v>
                </pt>
                <pt idx="13">
                  <v>0.004961339344807235</v>
                </pt>
                <pt idx="14">
                  <v>0.01532033335337761</v>
                </pt>
                <pt idx="15">
                  <v>0.02618059513454593</v>
                </pt>
                <pt idx="16">
                  <v>0.03224093077416624</v>
                </pt>
                <pt idx="17">
                  <v>0.03065181208815584</v>
                </pt>
                <pt idx="18">
                  <v>0.02998206800974695</v>
                </pt>
                <pt idx="19">
                  <v>0.02803471341430708</v>
                </pt>
                <pt idx="20">
                  <v>0.02173647910159525</v>
                </pt>
                <pt idx="21">
                  <v>0.01107911770574695</v>
                </pt>
                <pt idx="22">
                  <v>0.0001104461157833284</v>
                </pt>
                <pt idx="23">
                  <v>5.635243358406259e-06</v>
                </pt>
                <pt idx="24">
                  <v>0.003104474131982996</v>
                </pt>
                <pt idx="25">
                  <v>0.009248336948772359</v>
                </pt>
                <pt idx="26">
                  <v>0.01847451704521283</v>
                </pt>
                <pt idx="27">
                  <v>0.03269440748331279</v>
                </pt>
                <pt idx="28">
                  <v>0.03294582929454019</v>
                </pt>
                <pt idx="29">
                  <v>0.04448013314005607</v>
                </pt>
                <pt idx="30">
                  <v>0.03704954253730217</v>
                </pt>
                <pt idx="31">
                  <v>0.03185776883426199</v>
                </pt>
                <pt idx="32">
                  <v>0.0223981137027396</v>
                </pt>
                <pt idx="33">
                  <v>0.01267326343754744</v>
                </pt>
                <pt idx="34">
                  <v>0.004013281085791027</v>
                </pt>
                <pt idx="35">
                  <v>0.001822629583826099</v>
                </pt>
                <pt idx="36">
                  <v>0.004939556742877535</v>
                </pt>
                <pt idx="37">
                  <v>0.01324848558669828</v>
                </pt>
                <pt idx="38">
                  <v>0.03408933034912105</v>
                </pt>
                <pt idx="39">
                  <v>0.05525443609957865</v>
                </pt>
                <pt idx="40">
                  <v>0.06581145996085939</v>
                </pt>
                <pt idx="41">
                  <v>0.06452822904586782</v>
                </pt>
                <pt idx="42">
                  <v>0.06702580380195292</v>
                </pt>
                <pt idx="43">
                  <v>0.06129992439719582</v>
                </pt>
                <pt idx="44">
                  <v>0.04578427610350702</v>
                </pt>
                <pt idx="45">
                  <v>0.0298090580270354</v>
                </pt>
                <pt idx="46">
                  <v>0.007865295261900549</v>
                </pt>
                <pt idx="47">
                  <v>0.004532355552973548</v>
                </pt>
                <pt idx="48">
                  <v>0.005862652723136608</v>
                </pt>
                <pt idx="49">
                  <v>0.01887764841837355</v>
                </pt>
                <pt idx="50">
                  <v>0.03709622939200571</v>
                </pt>
                <pt idx="51">
                  <v>0.08026996603382495</v>
                </pt>
                <pt idx="52">
                  <v>0.1080032082802261</v>
                </pt>
                <pt idx="53">
                  <v>0.1144244665352921</v>
                </pt>
                <pt idx="54">
                  <v>0.1020307450715976</v>
                </pt>
                <pt idx="55">
                  <v>0.07793101053296771</v>
                </pt>
                <pt idx="56">
                  <v>0.08090995463931874</v>
                </pt>
                <pt idx="57">
                  <v>0.02917234021559438</v>
                </pt>
                <pt idx="58">
                  <v>0.0104098691216888</v>
                </pt>
                <pt idx="59">
                  <v>0.003809030164374855</v>
                </pt>
                <pt idx="60">
                  <v>0.006178183072975508</v>
                </pt>
                <pt idx="61">
                  <v>0.01667231366864759</v>
                </pt>
                <pt idx="62">
                  <v>0.04111280636733766</v>
                </pt>
                <pt idx="63">
                  <v>0.06512337874480645</v>
                </pt>
                <pt idx="64">
                  <v>0.106315341440858</v>
                </pt>
                <pt idx="65">
                  <v>0.1072729076610999</v>
                </pt>
                <pt idx="66">
                  <v>0.1057942634887733</v>
                </pt>
                <pt idx="67">
                  <v>0.0936908322687052</v>
                </pt>
                <pt idx="68">
                  <v>0.07246320282040017</v>
                </pt>
                <pt idx="69">
                  <v>0.03614525389237988</v>
                </pt>
                <pt idx="70">
                  <v>0.008602841405423608</v>
                </pt>
                <pt idx="71">
                  <v>0.004171468465776758</v>
                </pt>
                <pt idx="72">
                  <v>0.007223240212576967</v>
                </pt>
                <pt idx="73">
                  <v>0.02010831138567791</v>
                </pt>
                <pt idx="74">
                  <v>0.04654786644745259</v>
                </pt>
                <pt idx="75">
                  <v>0.07168978364906199</v>
                </pt>
                <pt idx="76">
                  <v>0.09471412725623395</v>
                </pt>
                <pt idx="77">
                  <v>0.09982625001551076</v>
                </pt>
                <pt idx="78">
                  <v>0.09399641941869914</v>
                </pt>
                <pt idx="79">
                  <v>0.1057378118957395</v>
                </pt>
                <pt idx="80">
                  <v>0.09062887968652376</v>
                </pt>
                <pt idx="81">
                  <v>0.03957312567862663</v>
                </pt>
                <pt idx="82">
                  <v>0.01454364344794783</v>
                </pt>
                <pt idx="83">
                  <v>0.00906949116088333</v>
                </pt>
              </numCache>
            </numRef>
          </val>
          <smooth val="1"/>
        </ser>
        <dLbls>
          <showLegendKey val="0"/>
          <showVal val="0"/>
          <showCatName val="0"/>
          <showSerName val="0"/>
          <showPercent val="0"/>
          <showBubbleSize val="0"/>
        </dLbls>
        <smooth val="0"/>
        <axId val="10"/>
        <axId val="100"/>
      </lineChart>
      <catAx>
        <axId val="10"/>
        <scaling>
          <orientation val="minMax"/>
        </scaling>
        <delete val="1"/>
        <axPos val="b"/>
        <title>
          <tx>
            <rich>
              <a:bodyPr xmlns:a="http://schemas.openxmlformats.org/drawingml/2006/main"/>
              <a:lstStyle xmlns:a="http://schemas.openxmlformats.org/drawingml/2006/main"/>
              <a:p xmlns:a="http://schemas.openxmlformats.org/drawingml/2006/main">
                <a:pPr>
                  <a:defRPr/>
                </a:pPr>
                <a:r>
                  <a:rPr lang="en-GB"/>
                  <a:t>Month</a:t>
                </a:r>
              </a:p>
            </rich>
          </tx>
          <overlay val="1"/>
        </title>
        <majorTickMark val="none"/>
        <minorTickMark val="none"/>
        <tickLblPos val="nextTo"/>
        <crossAx val="100"/>
        <crosses val="autoZero"/>
        <auto val="1"/>
        <lblAlgn val="ctr"/>
        <lblOffset val="100"/>
        <noMultiLvlLbl val="1"/>
      </catAx>
      <valAx>
        <axId val="100"/>
        <scaling>
          <orientation val="minMax"/>
        </scaling>
        <delete val="1"/>
        <axPos val="l"/>
        <majorGridlines/>
        <title>
          <tx>
            <rich>
              <a:bodyPr xmlns:a="http://schemas.openxmlformats.org/drawingml/2006/main"/>
              <a:lstStyle xmlns:a="http://schemas.openxmlformats.org/drawingml/2006/main"/>
              <a:p xmlns:a="http://schemas.openxmlformats.org/drawingml/2006/main">
                <a:pPr>
                  <a:defRPr/>
                </a:pPr>
                <a:r>
                  <a:rPr lang="en-GB"/>
                  <a:t>Solar Penetration (%)</a:t>
                </a:r>
              </a:p>
            </rich>
          </tx>
          <overlay val="1"/>
        </title>
        <numFmt formatCode="General" sourceLinked="1"/>
        <majorTickMark val="none"/>
        <minorTickMark val="none"/>
        <tickLblPos val="nextTo"/>
        <crossAx val="10"/>
        <crosses val="autoZero"/>
        <crossBetween val="between"/>
      </valAx>
    </plotArea>
    <legend>
      <legendPos val="r"/>
      <overlay val="1"/>
    </legend>
    <plotVisOnly val="1"/>
    <dispBlanksAs val="gap"/>
  </chart>
</chartSpace>
</file>

<file path=xl/charts/chart112.xml><?xml version="1.0" encoding="utf-8"?>
<chartSpace xmlns="http://schemas.openxmlformats.org/drawingml/2006/chart">
  <chart>
    <title>
      <tx>
        <rich>
          <a:bodyPr xmlns:a="http://schemas.openxmlformats.org/drawingml/2006/main"/>
          <a:lstStyle xmlns:a="http://schemas.openxmlformats.org/drawingml/2006/main"/>
          <a:p xmlns:a="http://schemas.openxmlformats.org/drawingml/2006/main">
            <a:pPr>
              <a:defRPr/>
            </a:pPr>
            <a:r>
              <a:rPr lang="en-GB"/>
              <a:t>Capture Price - DK1 Primary | DK2 Robustness</a:t>
            </a:r>
          </a:p>
        </rich>
      </tx>
      <overlay val="1"/>
    </title>
    <plotArea>
      <layout/>
      <lineChart>
        <grouping val="standard"/>
        <varyColors val="1"/>
        <ser>
          <idx val="0"/>
          <order val="0"/>
          <tx>
            <strRef>
              <f>'Capture Price Inputs'!$H$1</f>
              <strCache>
                <ptCount val="1"/>
                <pt idx="0">
                  <v>DK1 Capture Price (EUR/MWh) — Primary</v>
                </pt>
              </strCache>
            </strRef>
          </tx>
          <spPr>
            <a:ln xmlns:a="http://schemas.openxmlformats.org/drawingml/2006/main">
              <a:solidFill>
                <a:srgbClr val="2E75B6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val>
            <numRef>
              <f>'Capture Price Inputs'!$H$2:$H$85</f>
              <numCache>
                <formatCode>General</formatCode>
                <ptCount val="84"/>
                <pt idx="12">
                  <v>25.22320957280251</v>
                </pt>
                <pt idx="13">
                  <v>22.83581899109792</v>
                </pt>
                <pt idx="14">
                  <v>15.94107348554973</v>
                </pt>
                <pt idx="15">
                  <v>10.36487590420421</v>
                </pt>
                <pt idx="16">
                  <v>15.478548945086</v>
                </pt>
                <pt idx="17">
                  <v>27.31330822786869</v>
                </pt>
                <pt idx="18">
                  <v>24.83174517810916</v>
                </pt>
                <pt idx="19">
                  <v>33.87691542204785</v>
                </pt>
                <pt idx="20">
                  <v>38.93597900337959</v>
                </pt>
                <pt idx="21">
                  <v>31.92774153305919</v>
                </pt>
                <pt idx="22">
                  <v>26.00599326599326</v>
                </pt>
                <pt idx="23">
                  <v>34.79516129032258</v>
                </pt>
                <pt idx="24">
                  <v>55.42296760727792</v>
                </pt>
                <pt idx="25">
                  <v>47.54261097914259</v>
                </pt>
                <pt idx="26">
                  <v>44.55070091580549</v>
                </pt>
                <pt idx="27">
                  <v>43.594739828473</v>
                </pt>
                <pt idx="28">
                  <v>47.65587057500122</v>
                </pt>
                <pt idx="29">
                  <v>70.54354791111106</v>
                </pt>
                <pt idx="30">
                  <v>78.56831974775861</v>
                </pt>
                <pt idx="31">
                  <v>81.98335113640179</v>
                </pt>
                <pt idx="32">
                  <v>116.2002249554484</v>
                </pt>
                <pt idx="33">
                  <v>126.5303952032395</v>
                </pt>
                <pt idx="34">
                  <v>160.7705833010295</v>
                </pt>
                <pt idx="35">
                  <v>228.8621705579358</v>
                </pt>
                <pt idx="36">
                  <v>123.2012506791719</v>
                </pt>
                <pt idx="37">
                  <v>117.67077903546</v>
                </pt>
                <pt idx="38">
                  <v>191.508071735067</v>
                </pt>
                <pt idx="39">
                  <v>145.7013871592604</v>
                </pt>
                <pt idx="40">
                  <v>149.4185612445558</v>
                </pt>
                <pt idx="41">
                  <v>194.7110340948198</v>
                </pt>
                <pt idx="42">
                  <v>239.3981525107354</v>
                </pt>
                <pt idx="43">
                  <v>419.792637226606</v>
                </pt>
                <pt idx="44">
                  <v>310.7073992726671</v>
                </pt>
                <pt idx="45">
                  <v>125.6295598680838</v>
                </pt>
                <pt idx="46">
                  <v>131.7111886265582</v>
                </pt>
                <pt idx="47">
                  <v>282.8237937420726</v>
                </pt>
                <pt idx="48">
                  <v>138.5299886842633</v>
                </pt>
                <pt idx="49">
                  <v>109.8769757213503</v>
                </pt>
                <pt idx="50">
                  <v>93.77419094069538</v>
                </pt>
                <pt idx="51">
                  <v>76.25042822265543</v>
                </pt>
                <pt idx="52">
                  <v>50.54348776008261</v>
                </pt>
                <pt idx="53">
                  <v>74.88898277621806</v>
                </pt>
                <pt idx="54">
                  <v>52.09559943846345</v>
                </pt>
                <pt idx="55">
                  <v>74.18042603997819</v>
                </pt>
                <pt idx="56">
                  <v>68.11686962339694</v>
                </pt>
                <pt idx="57">
                  <v>50.53909051970285</v>
                </pt>
                <pt idx="58">
                  <v>90.68080556242518</v>
                </pt>
                <pt idx="59">
                  <v>63.45532768878803</v>
                </pt>
                <pt idx="60">
                  <v>78.57131644167831</v>
                </pt>
                <pt idx="61">
                  <v>59.47948676805509</v>
                </pt>
                <pt idx="62">
                  <v>51.26978324155493</v>
                </pt>
                <pt idx="63">
                  <v>49.38394056201121</v>
                </pt>
                <pt idx="64">
                  <v>35.89414827140887</v>
                </pt>
                <pt idx="65">
                  <v>47.03763372739765</v>
                </pt>
                <pt idx="66">
                  <v>42.52177322309952</v>
                </pt>
                <pt idx="67">
                  <v>52.17121747504909</v>
                </pt>
                <pt idx="68">
                  <v>45.64750462621701</v>
                </pt>
                <pt idx="69">
                  <v>58.44158378709199</v>
                </pt>
                <pt idx="70">
                  <v>97.58235261633192</v>
                </pt>
                <pt idx="71">
                  <v>92.07321769383398</v>
                </pt>
                <pt idx="72">
                  <v>111.1945655985155</v>
                </pt>
                <pt idx="73">
                  <v>105.4131597378828</v>
                </pt>
                <pt idx="74">
                  <v>57.84566339627056</v>
                </pt>
                <pt idx="75">
                  <v>45.84439577068735</v>
                </pt>
                <pt idx="76">
                  <v>40.06566739400938</v>
                </pt>
                <pt idx="77">
                  <v>33.4933819651966</v>
                </pt>
                <pt idx="78">
                  <v>61.32224821093979</v>
                </pt>
                <pt idx="79">
                  <v>47.75582456745756</v>
                </pt>
                <pt idx="80">
                  <v>49.42909499605724</v>
                </pt>
                <pt idx="81">
                  <v>74.26663453789526</v>
                </pt>
                <pt idx="82">
                  <v>95.56453180252134</v>
                </pt>
                <pt idx="83">
                  <v>80.95803424278026</v>
                </pt>
              </numCache>
            </numRef>
          </val>
          <smooth val="1"/>
        </ser>
        <ser>
          <idx val="1"/>
          <order val="1"/>
          <tx>
            <strRef>
              <f>'Capture Price Inputs'!$I$1</f>
              <strCache>
                <ptCount val="1"/>
                <pt idx="0">
                  <v>DK2 Capture Price (EUR/MWh) — Robustness</v>
                </pt>
              </strCache>
            </strRef>
          </tx>
          <spPr>
            <a:ln xmlns:a="http://schemas.openxmlformats.org/drawingml/2006/main">
              <a:solidFill>
                <a:srgbClr val="9DC3E6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val>
            <numRef>
              <f>'Capture Price Inputs'!$I$2:$I$85</f>
              <numCache>
                <formatCode>General</formatCode>
                <ptCount val="84"/>
                <pt idx="12">
                  <v>29.86213642213642</v>
                </pt>
                <pt idx="13">
                  <v>23.55551782972189</v>
                </pt>
                <pt idx="14">
                  <v>17.14905069226102</v>
                </pt>
                <pt idx="15">
                  <v>13.25252312836708</v>
                </pt>
                <pt idx="16">
                  <v>18.59404938271605</v>
                </pt>
                <pt idx="17">
                  <v>35.21078005032583</v>
                </pt>
                <pt idx="18">
                  <v>26.450778046867</v>
                </pt>
                <pt idx="19">
                  <v>44.11376501540486</v>
                </pt>
                <pt idx="20">
                  <v>41.85304788087056</v>
                </pt>
                <pt idx="21">
                  <v>33.60087837290333</v>
                </pt>
                <pt idx="22">
                  <v>37.749765625</v>
                </pt>
                <pt idx="23">
                  <v>44.19142857142857</v>
                </pt>
                <pt idx="24">
                  <v>57.07213441008145</v>
                </pt>
                <pt idx="25">
                  <v>52.28508365452458</v>
                </pt>
                <pt idx="26">
                  <v>47.42264301189781</v>
                </pt>
                <pt idx="27">
                  <v>45.90136374824883</v>
                </pt>
                <pt idx="28">
                  <v>50.2587202314608</v>
                </pt>
                <pt idx="29">
                  <v>69.46934165377623</v>
                </pt>
                <pt idx="30">
                  <v>77.93311155139432</v>
                </pt>
                <pt idx="31">
                  <v>84.51274769025703</v>
                </pt>
                <pt idx="32">
                  <v>118.7457227855615</v>
                </pt>
                <pt idx="33">
                  <v>122.3841235967906</v>
                </pt>
                <pt idx="34">
                  <v>153.6267942781575</v>
                </pt>
                <pt idx="35">
                  <v>244.4872785976441</v>
                </pt>
                <pt idx="36">
                  <v>129.6774902315082</v>
                </pt>
                <pt idx="37">
                  <v>108.8033389925641</v>
                </pt>
                <pt idx="38">
                  <v>186.0504424586062</v>
                </pt>
                <pt idx="39">
                  <v>143.5375888642185</v>
                </pt>
                <pt idx="40">
                  <v>146.2536023446033</v>
                </pt>
                <pt idx="41">
                  <v>192.2325905808319</v>
                </pt>
                <pt idx="42">
                  <v>212.3625858003895</v>
                </pt>
                <pt idx="43">
                  <v>397.1798848597606</v>
                </pt>
                <pt idx="44">
                  <v>315.928842796779</v>
                </pt>
                <pt idx="45">
                  <v>120.1190076327392</v>
                </pt>
                <pt idx="46">
                  <v>134.0399027878758</v>
                </pt>
                <pt idx="47">
                  <v>303.2697848166857</v>
                </pt>
                <pt idx="48">
                  <v>120.8992864784306</v>
                </pt>
                <pt idx="49">
                  <v>103.112625406295</v>
                </pt>
                <pt idx="50">
                  <v>89.0984689216417</v>
                </pt>
                <pt idx="51">
                  <v>71.1250997055942</v>
                </pt>
                <pt idx="52">
                  <v>48.35808379645633</v>
                </pt>
                <pt idx="53">
                  <v>71.8620903722224</v>
                </pt>
                <pt idx="54">
                  <v>50.34596661709235</v>
                </pt>
                <pt idx="55">
                  <v>72.95799234798741</v>
                </pt>
                <pt idx="56">
                  <v>64.3944846724649</v>
                </pt>
                <pt idx="57">
                  <v>47.66025509428685</v>
                </pt>
                <pt idx="58">
                  <v>84.63997860526599</v>
                </pt>
                <pt idx="59">
                  <v>59.06174633307972</v>
                </pt>
                <pt idx="60">
                  <v>76.42720253521921</v>
                </pt>
                <pt idx="61">
                  <v>51.43437919654775</v>
                </pt>
                <pt idx="62">
                  <v>50.75116381305344</v>
                </pt>
                <pt idx="63">
                  <v>47.053967904828</v>
                </pt>
                <pt idx="64">
                  <v>34.29579411369289</v>
                </pt>
                <pt idx="65">
                  <v>46.37938403458337</v>
                </pt>
                <pt idx="66">
                  <v>38.81282196947117</v>
                </pt>
                <pt idx="67">
                  <v>47.15186311829253</v>
                </pt>
                <pt idx="68">
                  <v>43.35594635084219</v>
                </pt>
                <pt idx="69">
                  <v>59.53493763028656</v>
                </pt>
                <pt idx="70">
                  <v>89.61127747791728</v>
                </pt>
                <pt idx="71">
                  <v>100.7961313991171</v>
                </pt>
                <pt idx="72">
                  <v>115.0822593270056</v>
                </pt>
                <pt idx="73">
                  <v>106.9231820731682</v>
                </pt>
                <pt idx="74">
                  <v>50.01806296126875</v>
                </pt>
                <pt idx="75">
                  <v>41.82584156307518</v>
                </pt>
                <pt idx="76">
                  <v>34.32066034459122</v>
                </pt>
                <pt idx="77">
                  <v>24.31568572006325</v>
                </pt>
                <pt idx="78">
                  <v>59.76694388214769</v>
                </pt>
                <pt idx="79">
                  <v>43.06460478354486</v>
                </pt>
                <pt idx="80">
                  <v>52.94940515380836</v>
                </pt>
                <pt idx="81">
                  <v>78.64573032240668</v>
                </pt>
                <pt idx="82">
                  <v>92.69045487153267</v>
                </pt>
                <pt idx="83">
                  <v>79.63122802208366</v>
                </pt>
              </numCache>
            </numRef>
          </val>
          <smooth val="1"/>
        </ser>
        <dLbls>
          <showLegendKey val="0"/>
          <showVal val="0"/>
          <showCatName val="0"/>
          <showSerName val="0"/>
          <showPercent val="0"/>
          <showBubbleSize val="0"/>
        </dLbls>
        <smooth val="0"/>
        <axId val="10"/>
        <axId val="100"/>
      </lineChart>
      <catAx>
        <axId val="10"/>
        <scaling>
          <orientation val="minMax"/>
        </scaling>
        <delete val="1"/>
        <axPos val="b"/>
        <title>
          <tx>
            <rich>
              <a:bodyPr xmlns:a="http://schemas.openxmlformats.org/drawingml/2006/main"/>
              <a:lstStyle xmlns:a="http://schemas.openxmlformats.org/drawingml/2006/main"/>
              <a:p xmlns:a="http://schemas.openxmlformats.org/drawingml/2006/main">
                <a:pPr>
                  <a:defRPr/>
                </a:pPr>
                <a:r>
                  <a:rPr lang="en-GB"/>
                  <a:t>Month</a:t>
                </a:r>
              </a:p>
            </rich>
          </tx>
          <overlay val="1"/>
        </title>
        <majorTickMark val="none"/>
        <minorTickMark val="none"/>
        <tickLblPos val="nextTo"/>
        <crossAx val="100"/>
        <crosses val="autoZero"/>
        <auto val="1"/>
        <lblAlgn val="ctr"/>
        <lblOffset val="100"/>
        <noMultiLvlLbl val="1"/>
      </catAx>
      <valAx>
        <axId val="100"/>
        <scaling>
          <orientation val="minMax"/>
        </scaling>
        <delete val="1"/>
        <axPos val="l"/>
        <majorGridlines/>
        <title>
          <tx>
            <rich>
              <a:bodyPr xmlns:a="http://schemas.openxmlformats.org/drawingml/2006/main"/>
              <a:lstStyle xmlns:a="http://schemas.openxmlformats.org/drawingml/2006/main"/>
              <a:p xmlns:a="http://schemas.openxmlformats.org/drawingml/2006/main">
                <a:pPr>
                  <a:defRPr/>
                </a:pPr>
                <a:r>
                  <a:rPr lang="en-GB"/>
                  <a:t>EUR/MWh</a:t>
                </a:r>
              </a:p>
            </rich>
          </tx>
          <overlay val="1"/>
        </title>
        <numFmt formatCode="General" sourceLinked="1"/>
        <majorTickMark val="none"/>
        <minorTickMark val="none"/>
        <tickLblPos val="nextTo"/>
        <crossAx val="10"/>
        <crosses val="autoZero"/>
        <crossBetween val="between"/>
      </valAx>
    </plotArea>
    <legend>
      <legendPos val="r"/>
      <overlay val="1"/>
    </legend>
    <plotVisOnly val="1"/>
    <dispBlanksAs val="gap"/>
  </chart>
</chartSpace>
</file>

<file path=xl/charts/chart113.xml><?xml version="1.0" encoding="utf-8"?>
<chartSpace xmlns="http://schemas.openxmlformats.org/drawingml/2006/chart">
  <chart>
    <title>
      <tx>
        <rich>
          <a:bodyPr xmlns:a="http://schemas.openxmlformats.org/drawingml/2006/main"/>
          <a:lstStyle xmlns:a="http://schemas.openxmlformats.org/drawingml/2006/main"/>
          <a:p xmlns:a="http://schemas.openxmlformats.org/drawingml/2006/main">
            <a:pPr>
              <a:defRPr/>
            </a:pPr>
            <a:r>
              <a:rPr lang="en-GB"/>
              <a:t>Capture Price Ratio - DK1 Primary | DK2 Robustness</a:t>
            </a:r>
          </a:p>
        </rich>
      </tx>
      <overlay val="1"/>
    </title>
    <plotArea>
      <layout/>
      <lineChart>
        <grouping val="standard"/>
        <varyColors val="1"/>
        <ser>
          <idx val="0"/>
          <order val="0"/>
          <tx>
            <strRef>
              <f>'Capture Price Inputs'!$J$1</f>
              <strCache>
                <ptCount val="1"/>
                <pt idx="0">
                  <v>DK1 CPR — Primary</v>
                </pt>
              </strCache>
            </strRef>
          </tx>
          <spPr>
            <a:ln xmlns:a="http://schemas.openxmlformats.org/drawingml/2006/main">
              <a:solidFill>
                <a:srgbClr val="2E75B6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val>
            <numRef>
              <f>'Capture Price Inputs'!$J$2:$J$85</f>
              <numCache>
                <formatCode>General</formatCode>
                <ptCount val="84"/>
                <pt idx="12">
                  <v>1.009148659447442</v>
                </pt>
                <pt idx="13">
                  <v>1.298591168695051</v>
                </pt>
                <pt idx="14">
                  <v>0.8710146939215303</v>
                </pt>
                <pt idx="15">
                  <v>0.7131577255881921</v>
                </pt>
                <pt idx="16">
                  <v>0.9641557693120565</v>
                </pt>
                <pt idx="17">
                  <v>1.039466413731094</v>
                </pt>
                <pt idx="18">
                  <v>1.008618155660831</v>
                </pt>
                <pt idx="19">
                  <v>0.9808226440750074</v>
                </pt>
                <pt idx="20">
                  <v>1.010404486913005</v>
                </pt>
                <pt idx="21">
                  <v>1.236802226812374</v>
                </pt>
                <pt idx="22">
                  <v>1.094777917215692</v>
                </pt>
                <pt idx="23">
                  <v>1.008230164182662</v>
                </pt>
                <pt idx="24">
                  <v>1.103930861568265</v>
                </pt>
                <pt idx="25">
                  <v>1.005947927705425</v>
                </pt>
                <pt idx="26">
                  <v>0.9871758725122356</v>
                </pt>
                <pt idx="27">
                  <v>0.9088464745665017</v>
                </pt>
                <pt idx="28">
                  <v>0.8775180518715436</v>
                </pt>
                <pt idx="29">
                  <v>0.9569142795347317</v>
                </pt>
                <pt idx="30">
                  <v>0.9821132371596978</v>
                </pt>
                <pt idx="31">
                  <v>0.9902714780245057</v>
                </pt>
                <pt idx="32">
                  <v>0.9269044048361358</v>
                </pt>
                <pt idx="33">
                  <v>1.081088507413439</v>
                </pt>
                <pt idx="34">
                  <v>1.133803408504466</v>
                </pt>
                <pt idx="35">
                  <v>1.208676962454928</v>
                </pt>
                <pt idx="36">
                  <v>1.044125730427727</v>
                </pt>
                <pt idx="37">
                  <v>1.04022281700981</v>
                </pt>
                <pt idx="38">
                  <v>0.8120775904420741</v>
                </pt>
                <pt idx="39">
                  <v>0.8903913338467833</v>
                </pt>
                <pt idx="40">
                  <v>0.8694301605049858</v>
                </pt>
                <pt idx="41">
                  <v>0.9080390201234191</v>
                </pt>
                <pt idx="42">
                  <v>0.8704179159294955</v>
                </pt>
                <pt idx="43">
                  <v>0.9190855304670003</v>
                </pt>
                <pt idx="44">
                  <v>0.9063290180568312</v>
                </pt>
                <pt idx="45">
                  <v>0.9161232525396177</v>
                </pt>
                <pt idx="46">
                  <v>0.9427861207466001</v>
                </pt>
                <pt idx="47">
                  <v>1.132810339248927</v>
                </pt>
                <pt idx="48">
                  <v>1.230919869122654</v>
                </pt>
                <pt idx="49">
                  <v>0.93008781340266</v>
                </pt>
                <pt idx="50">
                  <v>0.9461253975959896</v>
                </pt>
                <pt idx="51">
                  <v>0.7920396612038634</v>
                </pt>
                <pt idx="52">
                  <v>0.6833361056151995</v>
                </pt>
                <pt idx="53">
                  <v>0.8096506208621567</v>
                </pt>
                <pt idx="54">
                  <v>0.8038042195326093</v>
                </pt>
                <pt idx="55">
                  <v>0.8628930977720407</v>
                </pt>
                <pt idx="56">
                  <v>0.8038389922187259</v>
                </pt>
                <pt idx="57">
                  <v>0.8408360556054226</v>
                </pt>
                <pt idx="58">
                  <v>1.028656893611996</v>
                </pt>
                <pt idx="59">
                  <v>0.9132560776287663</v>
                </pt>
                <pt idx="60">
                  <v>1.051614630458469</v>
                </pt>
                <pt idx="61">
                  <v>1.014420829179444</v>
                </pt>
                <pt idx="62">
                  <v>0.8373818542217274</v>
                </pt>
                <pt idx="63">
                  <v>0.8346846016164379</v>
                </pt>
                <pt idx="64">
                  <v>0.6133984536650869</v>
                </pt>
                <pt idx="65">
                  <v>0.7378100322386865</v>
                </pt>
                <pt idx="66">
                  <v>0.685499494870618</v>
                </pt>
                <pt idx="67">
                  <v>0.7151267621934952</v>
                </pt>
                <pt idx="68">
                  <v>0.636525223039573</v>
                </pt>
                <pt idx="69">
                  <v>0.7617518807592967</v>
                </pt>
                <pt idx="70">
                  <v>1.017494003861172</v>
                </pt>
                <pt idx="71">
                  <v>1.002567416041121</v>
                </pt>
                <pt idx="72">
                  <v>1.135032584901597</v>
                </pt>
                <pt idx="73">
                  <v>0.9341166514187298</v>
                </pt>
                <pt idx="74">
                  <v>0.6857908168802248</v>
                </pt>
                <pt idx="75">
                  <v>0.609953535618325</v>
                </pt>
                <pt idx="76">
                  <v>0.6237511742318941</v>
                </pt>
                <pt idx="77">
                  <v>0.569764321286333</v>
                </pt>
                <pt idx="78">
                  <v>0.7405896710838001</v>
                </pt>
                <pt idx="79">
                  <v>0.6499711234459455</v>
                </pt>
                <pt idx="80">
                  <v>0.6827347489865859</v>
                </pt>
                <pt idx="81">
                  <v>0.9470151719348058</v>
                </pt>
                <pt idx="82">
                  <v>1.028976430956097</v>
                </pt>
                <pt idx="83">
                  <v>0.9820538861792604</v>
                </pt>
              </numCache>
            </numRef>
          </val>
          <smooth val="1"/>
        </ser>
        <ser>
          <idx val="1"/>
          <order val="1"/>
          <tx>
            <strRef>
              <f>'Capture Price Inputs'!$K$1</f>
              <strCache>
                <ptCount val="1"/>
                <pt idx="0">
                  <v>DK2 CPR — Robustness</v>
                </pt>
              </strCache>
            </strRef>
          </tx>
          <spPr>
            <a:ln xmlns:a="http://schemas.openxmlformats.org/drawingml/2006/main">
              <a:solidFill>
                <a:srgbClr val="9DC3E6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val>
            <numRef>
              <f>'Capture Price Inputs'!$K$2:$K$85</f>
              <numCache>
                <formatCode>General</formatCode>
                <ptCount val="84"/>
                <pt idx="12">
                  <v>1.090446324793763</v>
                </pt>
                <pt idx="13">
                  <v>1.251821301318464</v>
                </pt>
                <pt idx="14">
                  <v>0.8552077585127711</v>
                </pt>
                <pt idx="15">
                  <v>0.763620235478716</v>
                </pt>
                <pt idx="16">
                  <v>0.9763693823354528</v>
                </pt>
                <pt idx="17">
                  <v>1.180647007173951</v>
                </pt>
                <pt idx="18">
                  <v>1.021791049952987</v>
                </pt>
                <pt idx="19">
                  <v>1.077948442472481</v>
                </pt>
                <pt idx="20">
                  <v>1.059189092335807</v>
                </pt>
                <pt idx="21">
                  <v>1.247549053102559</v>
                </pt>
                <pt idx="22">
                  <v>1.057080411727209</v>
                </pt>
                <pt idx="23">
                  <v>1.125691191699302</v>
                </pt>
                <pt idx="24">
                  <v>1.122164979814525</v>
                </pt>
                <pt idx="25">
                  <v>0.9585139857498034</v>
                </pt>
                <pt idx="26">
                  <v>1.014774172650395</v>
                </pt>
                <pt idx="27">
                  <v>0.9590164366476613</v>
                </pt>
                <pt idx="28">
                  <v>0.9103388736117121</v>
                </pt>
                <pt idx="29">
                  <v>0.9440449187481634</v>
                </pt>
                <pt idx="30">
                  <v>0.9569285690465077</v>
                </pt>
                <pt idx="31">
                  <v>1.001768528067071</v>
                </pt>
                <pt idx="32">
                  <v>0.9583833699094481</v>
                </pt>
                <pt idx="33">
                  <v>1.144501265847132</v>
                </pt>
                <pt idx="34">
                  <v>1.126460857141801</v>
                </pt>
                <pt idx="35">
                  <v>1.279578427053047</v>
                </pt>
                <pt idx="36">
                  <v>1.161754652341282</v>
                </pt>
                <pt idx="37">
                  <v>1.084871924613185</v>
                </pt>
                <pt idx="38">
                  <v>0.8162958275837114</v>
                </pt>
                <pt idx="39">
                  <v>0.9391804877392103</v>
                </pt>
                <pt idx="40">
                  <v>0.8991456314331195</v>
                </pt>
                <pt idx="41">
                  <v>0.9015136745747578</v>
                </pt>
                <pt idx="42">
                  <v>0.909562444967756</v>
                </pt>
                <pt idx="43">
                  <v>0.8830756108422062</v>
                </pt>
                <pt idx="44">
                  <v>0.9608536982958826</v>
                </pt>
                <pt idx="45">
                  <v>0.8774354195736861</v>
                </pt>
                <pt idx="46">
                  <v>0.9240447439178995</v>
                </pt>
                <pt idx="47">
                  <v>1.218528056069729</v>
                </pt>
                <pt idx="48">
                  <v>1.21186632363043</v>
                </pt>
                <pt idx="49">
                  <v>1.024478122815962</v>
                </pt>
                <pt idx="50">
                  <v>0.992236312197012</v>
                </pt>
                <pt idx="51">
                  <v>0.8502587347820391</v>
                </pt>
                <pt idx="52">
                  <v>0.7310174827054021</v>
                </pt>
                <pt idx="53">
                  <v>0.7860381991736552</v>
                </pt>
                <pt idx="54">
                  <v>0.7717034871247128</v>
                </pt>
                <pt idx="55">
                  <v>0.8454610410569836</v>
                </pt>
                <pt idx="56">
                  <v>0.7532917330845335</v>
                </pt>
                <pt idx="57">
                  <v>0.837234490334641</v>
                </pt>
                <pt idx="58">
                  <v>1.038705241708771</v>
                </pt>
                <pt idx="59">
                  <v>0.8332670757562848</v>
                </pt>
                <pt idx="60">
                  <v>0.977144875107929</v>
                </pt>
                <pt idx="61">
                  <v>0.9399172603334611</v>
                </pt>
                <pt idx="62">
                  <v>0.8314293202728863</v>
                </pt>
                <pt idx="63">
                  <v>0.7780510745637418</v>
                </pt>
                <pt idx="64">
                  <v>0.5900556342707577</v>
                </pt>
                <pt idx="65">
                  <v>0.6943958569114143</v>
                </pt>
                <pt idx="66">
                  <v>0.6176283845394642</v>
                </pt>
                <pt idx="67">
                  <v>0.6493471479229646</v>
                </pt>
                <pt idx="68">
                  <v>0.6157480113547513</v>
                </pt>
                <pt idx="69">
                  <v>0.7800073506793195</v>
                </pt>
                <pt idx="70">
                  <v>0.9404779955101509</v>
                </pt>
                <pt idx="71">
                  <v>1.087006718547946</v>
                </pt>
                <pt idx="72">
                  <v>1.149400364807902</v>
                </pt>
                <pt idx="73">
                  <v>0.9066238427133391</v>
                </pt>
                <pt idx="74">
                  <v>0.603741164715803</v>
                </pt>
                <pt idx="75">
                  <v>0.5517436798810373</v>
                </pt>
                <pt idx="76">
                  <v>0.544059463307295</v>
                </pt>
                <pt idx="77">
                  <v>0.4307606652121766</v>
                </pt>
                <pt idx="78">
                  <v>0.7474634186196619</v>
                </pt>
                <pt idx="79">
                  <v>0.5717894234335987</v>
                </pt>
                <pt idx="80">
                  <v>0.635731600833678</v>
                </pt>
                <pt idx="81">
                  <v>0.9548084008156305</v>
                </pt>
                <pt idx="82">
                  <v>0.9892725129496999</v>
                </pt>
                <pt idx="83">
                  <v>0.9701479625359415</v>
                </pt>
              </numCache>
            </numRef>
          </val>
          <smooth val="1"/>
        </ser>
        <dLbls>
          <showLegendKey val="0"/>
          <showVal val="0"/>
          <showCatName val="0"/>
          <showSerName val="0"/>
          <showPercent val="0"/>
          <showBubbleSize val="0"/>
        </dLbls>
        <smooth val="0"/>
        <axId val="10"/>
        <axId val="100"/>
      </lineChart>
      <catAx>
        <axId val="10"/>
        <scaling>
          <orientation val="minMax"/>
        </scaling>
        <delete val="1"/>
        <axPos val="b"/>
        <title>
          <tx>
            <rich>
              <a:bodyPr xmlns:a="http://schemas.openxmlformats.org/drawingml/2006/main"/>
              <a:lstStyle xmlns:a="http://schemas.openxmlformats.org/drawingml/2006/main"/>
              <a:p xmlns:a="http://schemas.openxmlformats.org/drawingml/2006/main">
                <a:pPr>
                  <a:defRPr/>
                </a:pPr>
                <a:r>
                  <a:rPr lang="en-GB"/>
                  <a:t>Month</a:t>
                </a:r>
              </a:p>
            </rich>
          </tx>
          <overlay val="1"/>
        </title>
        <majorTickMark val="none"/>
        <minorTickMark val="none"/>
        <tickLblPos val="nextTo"/>
        <crossAx val="100"/>
        <crosses val="autoZero"/>
        <auto val="1"/>
        <lblAlgn val="ctr"/>
        <lblOffset val="100"/>
        <noMultiLvlLbl val="1"/>
      </catAx>
      <valAx>
        <axId val="100"/>
        <scaling>
          <orientation val="minMax"/>
        </scaling>
        <delete val="1"/>
        <axPos val="l"/>
        <majorGridlines/>
        <title>
          <tx>
            <rich>
              <a:bodyPr xmlns:a="http://schemas.openxmlformats.org/drawingml/2006/main"/>
              <a:lstStyle xmlns:a="http://schemas.openxmlformats.org/drawingml/2006/main"/>
              <a:p xmlns:a="http://schemas.openxmlformats.org/drawingml/2006/main">
                <a:pPr>
                  <a:defRPr/>
                </a:pPr>
                <a:r>
                  <a:rPr lang="en-GB"/>
                  <a:t>CPR</a:t>
                </a:r>
              </a:p>
            </rich>
          </tx>
          <overlay val="1"/>
        </title>
        <numFmt formatCode="General" sourceLinked="1"/>
        <majorTickMark val="none"/>
        <minorTickMark val="none"/>
        <tickLblPos val="nextTo"/>
        <crossAx val="10"/>
        <crosses val="autoZero"/>
        <crossBetween val="between"/>
      </valAx>
    </plotArea>
    <legend>
      <legendPos val="r"/>
      <overlay val="1"/>
    </legend>
    <plotVisOnly val="1"/>
    <dispBlanksAs val="gap"/>
  </chart>
</chartSpace>
</file>

<file path=xl/charts/chart114.xml><?xml version="1.0" encoding="utf-8"?>
<chartSpace xmlns="http://schemas.openxmlformats.org/drawingml/2006/chart">
  <chart>
    <title>
      <tx>
        <rich>
          <a:bodyPr xmlns:a="http://schemas.openxmlformats.org/drawingml/2006/main"/>
          <a:lstStyle xmlns:a="http://schemas.openxmlformats.org/drawingml/2006/main"/>
          <a:p xmlns:a="http://schemas.openxmlformats.org/drawingml/2006/main">
            <a:pPr>
              <a:defRPr/>
            </a:pPr>
            <a:r>
              <a:rPr lang="en-GB"/>
              <a:t>Solar Penetration - DK1 Primary | DK2 Robustness</a:t>
            </a:r>
          </a:p>
        </rich>
      </tx>
      <overlay val="1"/>
    </title>
    <plotArea>
      <layout/>
      <lineChart>
        <grouping val="standard"/>
        <varyColors val="1"/>
        <ser>
          <idx val="0"/>
          <order val="0"/>
          <tx>
            <strRef>
              <f>'Capture Price Inputs'!$F$1</f>
              <strCache>
                <ptCount val="1"/>
                <pt idx="0">
                  <v>DK1 Solar Penetration (%) — Primary</v>
                </pt>
              </strCache>
            </strRef>
          </tx>
          <spPr>
            <a:ln xmlns:a="http://schemas.openxmlformats.org/drawingml/2006/main">
              <a:solidFill>
                <a:srgbClr val="FF8C00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val>
            <numRef>
              <f>'Capture Price Inputs'!$F$2:$F$85</f>
              <numCache>
                <formatCode>General</formatCode>
                <ptCount val="84"/>
                <pt idx="0">
                  <v>0</v>
                </pt>
                <pt idx="1">
                  <v>0</v>
                </pt>
                <pt idx="2">
                  <v>0</v>
                </pt>
                <pt idx="3">
                  <v>0</v>
                </pt>
                <pt idx="4">
                  <v>0</v>
                </pt>
                <pt idx="5">
                  <v>0</v>
                </pt>
                <pt idx="6">
                  <v>0</v>
                </pt>
                <pt idx="7">
                  <v>0</v>
                </pt>
                <pt idx="8">
                  <v>0</v>
                </pt>
                <pt idx="9">
                  <v>0</v>
                </pt>
                <pt idx="10">
                  <v>0</v>
                </pt>
                <pt idx="11">
                  <v>0</v>
                </pt>
                <pt idx="12">
                  <v>0.002264447892629483</v>
                </pt>
                <pt idx="13">
                  <v>0.005247452024482245</v>
                </pt>
                <pt idx="14">
                  <v>0.02020167759412729</v>
                </pt>
                <pt idx="15">
                  <v>0.0324279896123047</v>
                </pt>
                <pt idx="16">
                  <v>0.03608008723790357</v>
                </pt>
                <pt idx="17">
                  <v>0.03741361883164089</v>
                </pt>
                <pt idx="18">
                  <v>0.03399843385950392</v>
                </pt>
                <pt idx="19">
                  <v>0.03422476314253766</v>
                </pt>
                <pt idx="20">
                  <v>0.02433015193915724</v>
                </pt>
                <pt idx="21">
                  <v>0.01149038754944678</v>
                </pt>
                <pt idx="22">
                  <v>0.0001521101274151999</v>
                </pt>
                <pt idx="23">
                  <v>1.472410662127807e-05</v>
                </pt>
                <pt idx="24">
                  <v>0.003631355999035091</v>
                </pt>
                <pt idx="25">
                  <v>0.0108689417180573</v>
                </pt>
                <pt idx="26">
                  <v>0.02238230390737163</v>
                </pt>
                <pt idx="27">
                  <v>0.04212837115783985</v>
                </pt>
                <pt idx="28">
                  <v>0.03307505221196035</v>
                </pt>
                <pt idx="29">
                  <v>0.04984166182181952</v>
                </pt>
                <pt idx="30">
                  <v>0.0485715434854639</v>
                </pt>
                <pt idx="31">
                  <v>0.0388769479447087</v>
                </pt>
                <pt idx="32">
                  <v>0.02593285017943629</v>
                </pt>
                <pt idx="33">
                  <v>0.01746009643148906</v>
                </pt>
                <pt idx="34">
                  <v>0.007029306005813504</v>
                </pt>
                <pt idx="35">
                  <v>0.003243365391886713</v>
                </pt>
                <pt idx="36">
                  <v>0.006675315547248087</v>
                </pt>
                <pt idx="37">
                  <v>0.0173995712330029</v>
                </pt>
                <pt idx="38">
                  <v>0.06195507058644287</v>
                </pt>
                <pt idx="39">
                  <v>0.08404056603836467</v>
                </pt>
                <pt idx="40">
                  <v>0.09687689142031611</v>
                </pt>
                <pt idx="41">
                  <v>0.09496202074431148</v>
                </pt>
                <pt idx="42">
                  <v>0.09963556652585577</v>
                </pt>
                <pt idx="43">
                  <v>0.08962697832526678</v>
                </pt>
                <pt idx="44">
                  <v>0.06604649859170474</v>
                </pt>
                <pt idx="45">
                  <v>0.03746941447765471</v>
                </pt>
                <pt idx="46">
                  <v>0.01046932675470221</v>
                </pt>
                <pt idx="47">
                  <v>0.006229164645196865</v>
                </pt>
                <pt idx="48">
                  <v>0.01246069427686292</v>
                </pt>
                <pt idx="49">
                  <v>0.03437640419176364</v>
                </pt>
                <pt idx="50">
                  <v>0.05647796857705859</v>
                </pt>
                <pt idx="51">
                  <v>0.1509467292684683</v>
                </pt>
                <pt idx="52">
                  <v>0.18600333743842</v>
                </pt>
                <pt idx="53">
                  <v>0.218925737129461</v>
                </pt>
                <pt idx="54">
                  <v>0.1892952405634502</v>
                </pt>
                <pt idx="55">
                  <v>0.1493297980639493</v>
                </pt>
                <pt idx="56">
                  <v>0.1319165438654872</v>
                </pt>
                <pt idx="57">
                  <v>0.0428648864567301</v>
                </pt>
                <pt idx="58">
                  <v>0.01600349353715238</v>
                </pt>
                <pt idx="59">
                  <v>0.006390504672696534</v>
                </pt>
                <pt idx="60">
                  <v>0.01341718605060752</v>
                </pt>
                <pt idx="61">
                  <v>0.0264362238379265</v>
                </pt>
                <pt idx="62">
                  <v>0.06623397340035048</v>
                </pt>
                <pt idx="63">
                  <v>0.1084169878649764</v>
                </pt>
                <pt idx="64">
                  <v>0.1888703164988005</v>
                </pt>
                <pt idx="65">
                  <v>0.1715230569234828</v>
                </pt>
                <pt idx="66">
                  <v>0.1809062055635286</v>
                </pt>
                <pt idx="67">
                  <v>0.155121531117258</v>
                </pt>
                <pt idx="68">
                  <v>0.1275567235314205</v>
                </pt>
                <pt idx="69">
                  <v>0.06287376784741511</v>
                </pt>
                <pt idx="70">
                  <v>0.01780902737610289</v>
                </pt>
                <pt idx="71">
                  <v>0.006785797568345668</v>
                </pt>
                <pt idx="72">
                  <v>0.01366055484422285</v>
                </pt>
                <pt idx="73">
                  <v>0.04341993481717769</v>
                </pt>
                <pt idx="74">
                  <v>0.1120694547038418</v>
                </pt>
                <pt idx="75">
                  <v>0.1482754875605271</v>
                </pt>
                <pt idx="76">
                  <v>0.1924446817596716</v>
                </pt>
                <pt idx="77">
                  <v>0.1878482923852328</v>
                </pt>
                <pt idx="78">
                  <v>0.2182818884824121</v>
                </pt>
                <pt idx="79">
                  <v>0.1901168401280812</v>
                </pt>
                <pt idx="80">
                  <v>0.1381615272451792</v>
                </pt>
                <pt idx="81">
                  <v>0.06946207120205163</v>
                </pt>
                <pt idx="82">
                  <v>0.02660497040214753</v>
                </pt>
                <pt idx="83">
                  <v>0.0140253486520015</v>
                </pt>
              </numCache>
            </numRef>
          </val>
          <smooth val="1"/>
        </ser>
        <ser>
          <idx val="1"/>
          <order val="1"/>
          <tx>
            <strRef>
              <f>'Capture Price Inputs'!$G$1</f>
              <strCache>
                <ptCount val="1"/>
                <pt idx="0">
                  <v>DK2 Solar Penetration (%) — Robustness</v>
                </pt>
              </strCache>
            </strRef>
          </tx>
          <spPr>
            <a:ln xmlns:a="http://schemas.openxmlformats.org/drawingml/2006/main">
              <a:solidFill>
                <a:srgbClr val="FFD700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val>
            <numRef>
              <f>'Capture Price Inputs'!$G$2:$G$85</f>
              <numCache>
                <formatCode>General</formatCode>
                <ptCount val="84"/>
                <pt idx="0">
                  <v>0</v>
                </pt>
                <pt idx="1">
                  <v>0</v>
                </pt>
                <pt idx="2">
                  <v>0</v>
                </pt>
                <pt idx="3">
                  <v>0</v>
                </pt>
                <pt idx="4">
                  <v>0</v>
                </pt>
                <pt idx="5">
                  <v>0</v>
                </pt>
                <pt idx="6">
                  <v>0</v>
                </pt>
                <pt idx="7">
                  <v>0</v>
                </pt>
                <pt idx="8">
                  <v>0</v>
                </pt>
                <pt idx="9">
                  <v>0</v>
                </pt>
                <pt idx="10">
                  <v>0</v>
                </pt>
                <pt idx="11">
                  <v>0</v>
                </pt>
                <pt idx="12">
                  <v>0.001864323044087839</v>
                </pt>
                <pt idx="13">
                  <v>0.004961339344807235</v>
                </pt>
                <pt idx="14">
                  <v>0.01532033335337761</v>
                </pt>
                <pt idx="15">
                  <v>0.02618059513454593</v>
                </pt>
                <pt idx="16">
                  <v>0.03224093077416624</v>
                </pt>
                <pt idx="17">
                  <v>0.03065181208815584</v>
                </pt>
                <pt idx="18">
                  <v>0.02998206800974695</v>
                </pt>
                <pt idx="19">
                  <v>0.02803471341430708</v>
                </pt>
                <pt idx="20">
                  <v>0.02173647910159525</v>
                </pt>
                <pt idx="21">
                  <v>0.01107911770574695</v>
                </pt>
                <pt idx="22">
                  <v>0.0001104461157833284</v>
                </pt>
                <pt idx="23">
                  <v>5.635243358406259e-06</v>
                </pt>
                <pt idx="24">
                  <v>0.003104474131982996</v>
                </pt>
                <pt idx="25">
                  <v>0.009248336948772359</v>
                </pt>
                <pt idx="26">
                  <v>0.01847451704521283</v>
                </pt>
                <pt idx="27">
                  <v>0.03269440748331279</v>
                </pt>
                <pt idx="28">
                  <v>0.03294582929454019</v>
                </pt>
                <pt idx="29">
                  <v>0.04448013314005607</v>
                </pt>
                <pt idx="30">
                  <v>0.03704954253730217</v>
                </pt>
                <pt idx="31">
                  <v>0.03185776883426199</v>
                </pt>
                <pt idx="32">
                  <v>0.0223981137027396</v>
                </pt>
                <pt idx="33">
                  <v>0.01267326343754744</v>
                </pt>
                <pt idx="34">
                  <v>0.004013281085791027</v>
                </pt>
                <pt idx="35">
                  <v>0.001822629583826099</v>
                </pt>
                <pt idx="36">
                  <v>0.004939556742877535</v>
                </pt>
                <pt idx="37">
                  <v>0.01324848558669828</v>
                </pt>
                <pt idx="38">
                  <v>0.03408933034912105</v>
                </pt>
                <pt idx="39">
                  <v>0.05525443609957865</v>
                </pt>
                <pt idx="40">
                  <v>0.06581145996085939</v>
                </pt>
                <pt idx="41">
                  <v>0.06452822904586782</v>
                </pt>
                <pt idx="42">
                  <v>0.06702580380195292</v>
                </pt>
                <pt idx="43">
                  <v>0.06129992439719582</v>
                </pt>
                <pt idx="44">
                  <v>0.04578427610350702</v>
                </pt>
                <pt idx="45">
                  <v>0.0298090580270354</v>
                </pt>
                <pt idx="46">
                  <v>0.007865295261900549</v>
                </pt>
                <pt idx="47">
                  <v>0.004532355552973548</v>
                </pt>
                <pt idx="48">
                  <v>0.005862652723136608</v>
                </pt>
                <pt idx="49">
                  <v>0.01887764841837355</v>
                </pt>
                <pt idx="50">
                  <v>0.03709622939200571</v>
                </pt>
                <pt idx="51">
                  <v>0.08026996603382495</v>
                </pt>
                <pt idx="52">
                  <v>0.1080032082802261</v>
                </pt>
                <pt idx="53">
                  <v>0.1144244665352921</v>
                </pt>
                <pt idx="54">
                  <v>0.1020307450715976</v>
                </pt>
                <pt idx="55">
                  <v>0.07793101053296771</v>
                </pt>
                <pt idx="56">
                  <v>0.08090995463931874</v>
                </pt>
                <pt idx="57">
                  <v>0.02917234021559438</v>
                </pt>
                <pt idx="58">
                  <v>0.0104098691216888</v>
                </pt>
                <pt idx="59">
                  <v>0.003809030164374855</v>
                </pt>
                <pt idx="60">
                  <v>0.006178183072975508</v>
                </pt>
                <pt idx="61">
                  <v>0.01667231366864759</v>
                </pt>
                <pt idx="62">
                  <v>0.04111280636733766</v>
                </pt>
                <pt idx="63">
                  <v>0.06512337874480645</v>
                </pt>
                <pt idx="64">
                  <v>0.106315341440858</v>
                </pt>
                <pt idx="65">
                  <v>0.1072729076610999</v>
                </pt>
                <pt idx="66">
                  <v>0.1057942634887733</v>
                </pt>
                <pt idx="67">
                  <v>0.0936908322687052</v>
                </pt>
                <pt idx="68">
                  <v>0.07246320282040017</v>
                </pt>
                <pt idx="69">
                  <v>0.03614525389237988</v>
                </pt>
                <pt idx="70">
                  <v>0.008602841405423608</v>
                </pt>
                <pt idx="71">
                  <v>0.004171468465776758</v>
                </pt>
                <pt idx="72">
                  <v>0.007223240212576967</v>
                </pt>
                <pt idx="73">
                  <v>0.02010831138567791</v>
                </pt>
                <pt idx="74">
                  <v>0.04654786644745259</v>
                </pt>
                <pt idx="75">
                  <v>0.07168978364906199</v>
                </pt>
                <pt idx="76">
                  <v>0.09471412725623395</v>
                </pt>
                <pt idx="77">
                  <v>0.09982625001551076</v>
                </pt>
                <pt idx="78">
                  <v>0.09399641941869914</v>
                </pt>
                <pt idx="79">
                  <v>0.1057378118957395</v>
                </pt>
                <pt idx="80">
                  <v>0.09062887968652376</v>
                </pt>
                <pt idx="81">
                  <v>0.03957312567862663</v>
                </pt>
                <pt idx="82">
                  <v>0.01454364344794783</v>
                </pt>
                <pt idx="83">
                  <v>0.00906949116088333</v>
                </pt>
              </numCache>
            </numRef>
          </val>
          <smooth val="1"/>
        </ser>
        <dLbls>
          <showLegendKey val="0"/>
          <showVal val="0"/>
          <showCatName val="0"/>
          <showSerName val="0"/>
          <showPercent val="0"/>
          <showBubbleSize val="0"/>
        </dLbls>
        <smooth val="0"/>
        <axId val="10"/>
        <axId val="100"/>
      </lineChart>
      <catAx>
        <axId val="10"/>
        <scaling>
          <orientation val="minMax"/>
        </scaling>
        <delete val="1"/>
        <axPos val="b"/>
        <title>
          <tx>
            <rich>
              <a:bodyPr xmlns:a="http://schemas.openxmlformats.org/drawingml/2006/main"/>
              <a:lstStyle xmlns:a="http://schemas.openxmlformats.org/drawingml/2006/main"/>
              <a:p xmlns:a="http://schemas.openxmlformats.org/drawingml/2006/main">
                <a:pPr>
                  <a:defRPr/>
                </a:pPr>
                <a:r>
                  <a:rPr lang="en-GB"/>
                  <a:t>Month</a:t>
                </a:r>
              </a:p>
            </rich>
          </tx>
          <overlay val="1"/>
        </title>
        <majorTickMark val="none"/>
        <minorTickMark val="none"/>
        <tickLblPos val="nextTo"/>
        <crossAx val="100"/>
        <crosses val="autoZero"/>
        <auto val="1"/>
        <lblAlgn val="ctr"/>
        <lblOffset val="100"/>
        <noMultiLvlLbl val="1"/>
      </catAx>
      <valAx>
        <axId val="100"/>
        <scaling>
          <orientation val="minMax"/>
        </scaling>
        <delete val="1"/>
        <axPos val="l"/>
        <majorGridlines/>
        <title>
          <tx>
            <rich>
              <a:bodyPr xmlns:a="http://schemas.openxmlformats.org/drawingml/2006/main"/>
              <a:lstStyle xmlns:a="http://schemas.openxmlformats.org/drawingml/2006/main"/>
              <a:p xmlns:a="http://schemas.openxmlformats.org/drawingml/2006/main">
                <a:pPr>
                  <a:defRPr/>
                </a:pPr>
                <a:r>
                  <a:rPr lang="en-GB"/>
                  <a:t>Solar Penetration (%)</a:t>
                </a:r>
              </a:p>
            </rich>
          </tx>
          <overlay val="1"/>
        </title>
        <numFmt formatCode="General" sourceLinked="1"/>
        <majorTickMark val="none"/>
        <minorTickMark val="none"/>
        <tickLblPos val="nextTo"/>
        <crossAx val="10"/>
        <crosses val="autoZero"/>
        <crossBetween val="between"/>
      </valAx>
    </plotArea>
    <legend>
      <legendPos val="r"/>
      <overlay val="1"/>
    </legend>
    <plotVisOnly val="1"/>
    <dispBlanksAs val="gap"/>
  </chart>
</chartSpace>
</file>

<file path=xl/charts/chart115.xml><?xml version="1.0" encoding="utf-8"?>
<chartSpace xmlns="http://schemas.openxmlformats.org/drawingml/2006/chart">
  <chart>
    <title>
      <tx>
        <rich>
          <a:bodyPr xmlns:a="http://schemas.openxmlformats.org/drawingml/2006/main"/>
          <a:lstStyle xmlns:a="http://schemas.openxmlformats.org/drawingml/2006/main"/>
          <a:p xmlns:a="http://schemas.openxmlformats.org/drawingml/2006/main">
            <a:pPr>
              <a:defRPr/>
            </a:pPr>
            <a:r>
              <a:rPr lang="en-GB"/>
              <a:t>Capture Price - DK1 Primary | DK2 Robustness</a:t>
            </a:r>
          </a:p>
        </rich>
      </tx>
      <overlay val="1"/>
    </title>
    <plotArea>
      <layout/>
      <lineChart>
        <grouping val="standard"/>
        <varyColors val="1"/>
        <ser>
          <idx val="0"/>
          <order val="0"/>
          <tx>
            <strRef>
              <f>'Capture Price Inputs'!$H$1</f>
              <strCache>
                <ptCount val="1"/>
                <pt idx="0">
                  <v>DK1 Capture Price (EUR/MWh) — Primary</v>
                </pt>
              </strCache>
            </strRef>
          </tx>
          <spPr>
            <a:ln xmlns:a="http://schemas.openxmlformats.org/drawingml/2006/main">
              <a:solidFill>
                <a:srgbClr val="2E75B6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val>
            <numRef>
              <f>'Capture Price Inputs'!$H$2:$H$85</f>
              <numCache>
                <formatCode>General</formatCode>
                <ptCount val="84"/>
                <pt idx="12">
                  <v>25.22320957280251</v>
                </pt>
                <pt idx="13">
                  <v>22.83581899109792</v>
                </pt>
                <pt idx="14">
                  <v>15.94107348554973</v>
                </pt>
                <pt idx="15">
                  <v>10.36487590420421</v>
                </pt>
                <pt idx="16">
                  <v>15.478548945086</v>
                </pt>
                <pt idx="17">
                  <v>27.31330822786869</v>
                </pt>
                <pt idx="18">
                  <v>24.83174517810916</v>
                </pt>
                <pt idx="19">
                  <v>33.87691542204785</v>
                </pt>
                <pt idx="20">
                  <v>38.93597900337959</v>
                </pt>
                <pt idx="21">
                  <v>31.92774153305919</v>
                </pt>
                <pt idx="22">
                  <v>26.00599326599326</v>
                </pt>
                <pt idx="23">
                  <v>34.79516129032258</v>
                </pt>
                <pt idx="24">
                  <v>55.42296760727792</v>
                </pt>
                <pt idx="25">
                  <v>47.54261097914259</v>
                </pt>
                <pt idx="26">
                  <v>44.55070091580549</v>
                </pt>
                <pt idx="27">
                  <v>43.594739828473</v>
                </pt>
                <pt idx="28">
                  <v>47.65587057500122</v>
                </pt>
                <pt idx="29">
                  <v>70.54354791111106</v>
                </pt>
                <pt idx="30">
                  <v>78.56831974775861</v>
                </pt>
                <pt idx="31">
                  <v>81.98335113640179</v>
                </pt>
                <pt idx="32">
                  <v>116.2002249554484</v>
                </pt>
                <pt idx="33">
                  <v>126.5303952032395</v>
                </pt>
                <pt idx="34">
                  <v>160.7705833010295</v>
                </pt>
                <pt idx="35">
                  <v>228.8621705579358</v>
                </pt>
                <pt idx="36">
                  <v>123.2012506791719</v>
                </pt>
                <pt idx="37">
                  <v>117.67077903546</v>
                </pt>
                <pt idx="38">
                  <v>191.508071735067</v>
                </pt>
                <pt idx="39">
                  <v>145.7013871592604</v>
                </pt>
                <pt idx="40">
                  <v>149.4185612445558</v>
                </pt>
                <pt idx="41">
                  <v>194.7110340948198</v>
                </pt>
                <pt idx="42">
                  <v>239.3981525107354</v>
                </pt>
                <pt idx="43">
                  <v>419.792637226606</v>
                </pt>
                <pt idx="44">
                  <v>310.7073992726671</v>
                </pt>
                <pt idx="45">
                  <v>125.6295598680838</v>
                </pt>
                <pt idx="46">
                  <v>131.7111886265582</v>
                </pt>
                <pt idx="47">
                  <v>282.8237937420726</v>
                </pt>
                <pt idx="48">
                  <v>138.5299886842633</v>
                </pt>
                <pt idx="49">
                  <v>109.8769757213503</v>
                </pt>
                <pt idx="50">
                  <v>93.77419094069538</v>
                </pt>
                <pt idx="51">
                  <v>76.25042822265543</v>
                </pt>
                <pt idx="52">
                  <v>50.54348776008261</v>
                </pt>
                <pt idx="53">
                  <v>74.88898277621806</v>
                </pt>
                <pt idx="54">
                  <v>52.09559943846345</v>
                </pt>
                <pt idx="55">
                  <v>74.18042603997819</v>
                </pt>
                <pt idx="56">
                  <v>68.11686962339694</v>
                </pt>
                <pt idx="57">
                  <v>50.53909051970285</v>
                </pt>
                <pt idx="58">
                  <v>90.68080556242518</v>
                </pt>
                <pt idx="59">
                  <v>63.45532768878803</v>
                </pt>
                <pt idx="60">
                  <v>78.57131644167831</v>
                </pt>
                <pt idx="61">
                  <v>59.47948676805509</v>
                </pt>
                <pt idx="62">
                  <v>51.26978324155493</v>
                </pt>
                <pt idx="63">
                  <v>49.38394056201121</v>
                </pt>
                <pt idx="64">
                  <v>35.89414827140887</v>
                </pt>
                <pt idx="65">
                  <v>47.03763372739765</v>
                </pt>
                <pt idx="66">
                  <v>42.52177322309952</v>
                </pt>
                <pt idx="67">
                  <v>52.17121747504909</v>
                </pt>
                <pt idx="68">
                  <v>45.64750462621701</v>
                </pt>
                <pt idx="69">
                  <v>58.44158378709199</v>
                </pt>
                <pt idx="70">
                  <v>97.58235261633192</v>
                </pt>
                <pt idx="71">
                  <v>92.07321769383398</v>
                </pt>
                <pt idx="72">
                  <v>111.1945655985155</v>
                </pt>
                <pt idx="73">
                  <v>105.4131597378828</v>
                </pt>
                <pt idx="74">
                  <v>57.84566339627056</v>
                </pt>
                <pt idx="75">
                  <v>45.84439577068735</v>
                </pt>
                <pt idx="76">
                  <v>40.06566739400938</v>
                </pt>
                <pt idx="77">
                  <v>33.4933819651966</v>
                </pt>
                <pt idx="78">
                  <v>61.32224821093979</v>
                </pt>
                <pt idx="79">
                  <v>47.75582456745756</v>
                </pt>
                <pt idx="80">
                  <v>49.42909499605724</v>
                </pt>
                <pt idx="81">
                  <v>74.26663453789526</v>
                </pt>
                <pt idx="82">
                  <v>95.56453180252134</v>
                </pt>
                <pt idx="83">
                  <v>80.95803424278026</v>
                </pt>
              </numCache>
            </numRef>
          </val>
          <smooth val="1"/>
        </ser>
        <ser>
          <idx val="1"/>
          <order val="1"/>
          <tx>
            <strRef>
              <f>'Capture Price Inputs'!$I$1</f>
              <strCache>
                <ptCount val="1"/>
                <pt idx="0">
                  <v>DK2 Capture Price (EUR/MWh) — Robustness</v>
                </pt>
              </strCache>
            </strRef>
          </tx>
          <spPr>
            <a:ln xmlns:a="http://schemas.openxmlformats.org/drawingml/2006/main">
              <a:solidFill>
                <a:srgbClr val="9DC3E6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val>
            <numRef>
              <f>'Capture Price Inputs'!$I$2:$I$85</f>
              <numCache>
                <formatCode>General</formatCode>
                <ptCount val="84"/>
                <pt idx="12">
                  <v>29.86213642213642</v>
                </pt>
                <pt idx="13">
                  <v>23.55551782972189</v>
                </pt>
                <pt idx="14">
                  <v>17.14905069226102</v>
                </pt>
                <pt idx="15">
                  <v>13.25252312836708</v>
                </pt>
                <pt idx="16">
                  <v>18.59404938271605</v>
                </pt>
                <pt idx="17">
                  <v>35.21078005032583</v>
                </pt>
                <pt idx="18">
                  <v>26.450778046867</v>
                </pt>
                <pt idx="19">
                  <v>44.11376501540486</v>
                </pt>
                <pt idx="20">
                  <v>41.85304788087056</v>
                </pt>
                <pt idx="21">
                  <v>33.60087837290333</v>
                </pt>
                <pt idx="22">
                  <v>37.749765625</v>
                </pt>
                <pt idx="23">
                  <v>44.19142857142857</v>
                </pt>
                <pt idx="24">
                  <v>57.07213441008145</v>
                </pt>
                <pt idx="25">
                  <v>52.28508365452458</v>
                </pt>
                <pt idx="26">
                  <v>47.42264301189781</v>
                </pt>
                <pt idx="27">
                  <v>45.90136374824883</v>
                </pt>
                <pt idx="28">
                  <v>50.2587202314608</v>
                </pt>
                <pt idx="29">
                  <v>69.46934165377623</v>
                </pt>
                <pt idx="30">
                  <v>77.93311155139432</v>
                </pt>
                <pt idx="31">
                  <v>84.51274769025703</v>
                </pt>
                <pt idx="32">
                  <v>118.7457227855615</v>
                </pt>
                <pt idx="33">
                  <v>122.3841235967906</v>
                </pt>
                <pt idx="34">
                  <v>153.6267942781575</v>
                </pt>
                <pt idx="35">
                  <v>244.4872785976441</v>
                </pt>
                <pt idx="36">
                  <v>129.6774902315082</v>
                </pt>
                <pt idx="37">
                  <v>108.8033389925641</v>
                </pt>
                <pt idx="38">
                  <v>186.0504424586062</v>
                </pt>
                <pt idx="39">
                  <v>143.5375888642185</v>
                </pt>
                <pt idx="40">
                  <v>146.2536023446033</v>
                </pt>
                <pt idx="41">
                  <v>192.2325905808319</v>
                </pt>
                <pt idx="42">
                  <v>212.3625858003895</v>
                </pt>
                <pt idx="43">
                  <v>397.1798848597606</v>
                </pt>
                <pt idx="44">
                  <v>315.928842796779</v>
                </pt>
                <pt idx="45">
                  <v>120.1190076327392</v>
                </pt>
                <pt idx="46">
                  <v>134.0399027878758</v>
                </pt>
                <pt idx="47">
                  <v>303.2697848166857</v>
                </pt>
                <pt idx="48">
                  <v>120.8992864784306</v>
                </pt>
                <pt idx="49">
                  <v>103.112625406295</v>
                </pt>
                <pt idx="50">
                  <v>89.0984689216417</v>
                </pt>
                <pt idx="51">
                  <v>71.1250997055942</v>
                </pt>
                <pt idx="52">
                  <v>48.35808379645633</v>
                </pt>
                <pt idx="53">
                  <v>71.8620903722224</v>
                </pt>
                <pt idx="54">
                  <v>50.34596661709235</v>
                </pt>
                <pt idx="55">
                  <v>72.95799234798741</v>
                </pt>
                <pt idx="56">
                  <v>64.3944846724649</v>
                </pt>
                <pt idx="57">
                  <v>47.66025509428685</v>
                </pt>
                <pt idx="58">
                  <v>84.63997860526599</v>
                </pt>
                <pt idx="59">
                  <v>59.06174633307972</v>
                </pt>
                <pt idx="60">
                  <v>76.42720253521921</v>
                </pt>
                <pt idx="61">
                  <v>51.43437919654775</v>
                </pt>
                <pt idx="62">
                  <v>50.75116381305344</v>
                </pt>
                <pt idx="63">
                  <v>47.053967904828</v>
                </pt>
                <pt idx="64">
                  <v>34.29579411369289</v>
                </pt>
                <pt idx="65">
                  <v>46.37938403458337</v>
                </pt>
                <pt idx="66">
                  <v>38.81282196947117</v>
                </pt>
                <pt idx="67">
                  <v>47.15186311829253</v>
                </pt>
                <pt idx="68">
                  <v>43.35594635084219</v>
                </pt>
                <pt idx="69">
                  <v>59.53493763028656</v>
                </pt>
                <pt idx="70">
                  <v>89.61127747791728</v>
                </pt>
                <pt idx="71">
                  <v>100.7961313991171</v>
                </pt>
                <pt idx="72">
                  <v>115.0822593270056</v>
                </pt>
                <pt idx="73">
                  <v>106.9231820731682</v>
                </pt>
                <pt idx="74">
                  <v>50.01806296126875</v>
                </pt>
                <pt idx="75">
                  <v>41.82584156307518</v>
                </pt>
                <pt idx="76">
                  <v>34.32066034459122</v>
                </pt>
                <pt idx="77">
                  <v>24.31568572006325</v>
                </pt>
                <pt idx="78">
                  <v>59.76694388214769</v>
                </pt>
                <pt idx="79">
                  <v>43.06460478354486</v>
                </pt>
                <pt idx="80">
                  <v>52.94940515380836</v>
                </pt>
                <pt idx="81">
                  <v>78.64573032240668</v>
                </pt>
                <pt idx="82">
                  <v>92.69045487153267</v>
                </pt>
                <pt idx="83">
                  <v>79.63122802208366</v>
                </pt>
              </numCache>
            </numRef>
          </val>
          <smooth val="1"/>
        </ser>
        <dLbls>
          <showLegendKey val="0"/>
          <showVal val="0"/>
          <showCatName val="0"/>
          <showSerName val="0"/>
          <showPercent val="0"/>
          <showBubbleSize val="0"/>
        </dLbls>
        <smooth val="0"/>
        <axId val="10"/>
        <axId val="100"/>
      </lineChart>
      <catAx>
        <axId val="10"/>
        <scaling>
          <orientation val="minMax"/>
        </scaling>
        <delete val="1"/>
        <axPos val="b"/>
        <title>
          <tx>
            <rich>
              <a:bodyPr xmlns:a="http://schemas.openxmlformats.org/drawingml/2006/main"/>
              <a:lstStyle xmlns:a="http://schemas.openxmlformats.org/drawingml/2006/main"/>
              <a:p xmlns:a="http://schemas.openxmlformats.org/drawingml/2006/main">
                <a:pPr>
                  <a:defRPr/>
                </a:pPr>
                <a:r>
                  <a:rPr lang="en-GB"/>
                  <a:t>Month</a:t>
                </a:r>
              </a:p>
            </rich>
          </tx>
          <overlay val="1"/>
        </title>
        <majorTickMark val="none"/>
        <minorTickMark val="none"/>
        <tickLblPos val="nextTo"/>
        <crossAx val="100"/>
        <crosses val="autoZero"/>
        <auto val="1"/>
        <lblAlgn val="ctr"/>
        <lblOffset val="100"/>
        <noMultiLvlLbl val="1"/>
      </catAx>
      <valAx>
        <axId val="100"/>
        <scaling>
          <orientation val="minMax"/>
        </scaling>
        <delete val="1"/>
        <axPos val="l"/>
        <majorGridlines/>
        <title>
          <tx>
            <rich>
              <a:bodyPr xmlns:a="http://schemas.openxmlformats.org/drawingml/2006/main"/>
              <a:lstStyle xmlns:a="http://schemas.openxmlformats.org/drawingml/2006/main"/>
              <a:p xmlns:a="http://schemas.openxmlformats.org/drawingml/2006/main">
                <a:pPr>
                  <a:defRPr/>
                </a:pPr>
                <a:r>
                  <a:rPr lang="en-GB"/>
                  <a:t>EUR/MWh</a:t>
                </a:r>
              </a:p>
            </rich>
          </tx>
          <overlay val="1"/>
        </title>
        <numFmt formatCode="General" sourceLinked="1"/>
        <majorTickMark val="none"/>
        <minorTickMark val="none"/>
        <tickLblPos val="nextTo"/>
        <crossAx val="10"/>
        <crosses val="autoZero"/>
        <crossBetween val="between"/>
      </valAx>
    </plotArea>
    <legend>
      <legendPos val="r"/>
      <overlay val="1"/>
    </legend>
    <plotVisOnly val="1"/>
    <dispBlanksAs val="gap"/>
  </chart>
</chartSpace>
</file>

<file path=xl/charts/chart116.xml><?xml version="1.0" encoding="utf-8"?>
<chartSpace xmlns="http://schemas.openxmlformats.org/drawingml/2006/chart">
  <chart>
    <title>
      <tx>
        <rich>
          <a:bodyPr xmlns:a="http://schemas.openxmlformats.org/drawingml/2006/main"/>
          <a:lstStyle xmlns:a="http://schemas.openxmlformats.org/drawingml/2006/main"/>
          <a:p xmlns:a="http://schemas.openxmlformats.org/drawingml/2006/main">
            <a:pPr>
              <a:defRPr/>
            </a:pPr>
            <a:r>
              <a:rPr lang="en-GB"/>
              <a:t>Capture Price Ratio - DK1 Primary | DK2 Robustness</a:t>
            </a:r>
          </a:p>
        </rich>
      </tx>
      <overlay val="1"/>
    </title>
    <plotArea>
      <layout/>
      <lineChart>
        <grouping val="standard"/>
        <varyColors val="1"/>
        <ser>
          <idx val="0"/>
          <order val="0"/>
          <tx>
            <strRef>
              <f>'Capture Price Inputs'!$J$1</f>
              <strCache>
                <ptCount val="1"/>
                <pt idx="0">
                  <v>DK1 CPR — Primary</v>
                </pt>
              </strCache>
            </strRef>
          </tx>
          <spPr>
            <a:ln xmlns:a="http://schemas.openxmlformats.org/drawingml/2006/main">
              <a:solidFill>
                <a:srgbClr val="2E75B6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val>
            <numRef>
              <f>'Capture Price Inputs'!$J$2:$J$85</f>
              <numCache>
                <formatCode>General</formatCode>
                <ptCount val="84"/>
                <pt idx="12">
                  <v>1.009148659447442</v>
                </pt>
                <pt idx="13">
                  <v>1.298591168695051</v>
                </pt>
                <pt idx="14">
                  <v>0.8710146939215303</v>
                </pt>
                <pt idx="15">
                  <v>0.7131577255881921</v>
                </pt>
                <pt idx="16">
                  <v>0.9641557693120565</v>
                </pt>
                <pt idx="17">
                  <v>1.039466413731094</v>
                </pt>
                <pt idx="18">
                  <v>1.008618155660831</v>
                </pt>
                <pt idx="19">
                  <v>0.9808226440750074</v>
                </pt>
                <pt idx="20">
                  <v>1.010404486913005</v>
                </pt>
                <pt idx="21">
                  <v>1.236802226812374</v>
                </pt>
                <pt idx="22">
                  <v>1.094777917215692</v>
                </pt>
                <pt idx="23">
                  <v>1.008230164182662</v>
                </pt>
                <pt idx="24">
                  <v>1.103930861568265</v>
                </pt>
                <pt idx="25">
                  <v>1.005947927705425</v>
                </pt>
                <pt idx="26">
                  <v>0.9871758725122356</v>
                </pt>
                <pt idx="27">
                  <v>0.9088464745665017</v>
                </pt>
                <pt idx="28">
                  <v>0.8775180518715436</v>
                </pt>
                <pt idx="29">
                  <v>0.9569142795347317</v>
                </pt>
                <pt idx="30">
                  <v>0.9821132371596978</v>
                </pt>
                <pt idx="31">
                  <v>0.9902714780245057</v>
                </pt>
                <pt idx="32">
                  <v>0.9269044048361358</v>
                </pt>
                <pt idx="33">
                  <v>1.081088507413439</v>
                </pt>
                <pt idx="34">
                  <v>1.133803408504466</v>
                </pt>
                <pt idx="35">
                  <v>1.208676962454928</v>
                </pt>
                <pt idx="36">
                  <v>1.044125730427727</v>
                </pt>
                <pt idx="37">
                  <v>1.04022281700981</v>
                </pt>
                <pt idx="38">
                  <v>0.8120775904420741</v>
                </pt>
                <pt idx="39">
                  <v>0.8903913338467833</v>
                </pt>
                <pt idx="40">
                  <v>0.8694301605049858</v>
                </pt>
                <pt idx="41">
                  <v>0.9080390201234191</v>
                </pt>
                <pt idx="42">
                  <v>0.8704179159294955</v>
                </pt>
                <pt idx="43">
                  <v>0.9190855304670003</v>
                </pt>
                <pt idx="44">
                  <v>0.9063290180568312</v>
                </pt>
                <pt idx="45">
                  <v>0.9161232525396177</v>
                </pt>
                <pt idx="46">
                  <v>0.9427861207466001</v>
                </pt>
                <pt idx="47">
                  <v>1.132810339248927</v>
                </pt>
                <pt idx="48">
                  <v>1.230919869122654</v>
                </pt>
                <pt idx="49">
                  <v>0.93008781340266</v>
                </pt>
                <pt idx="50">
                  <v>0.9461253975959896</v>
                </pt>
                <pt idx="51">
                  <v>0.7920396612038634</v>
                </pt>
                <pt idx="52">
                  <v>0.6833361056151995</v>
                </pt>
                <pt idx="53">
                  <v>0.8096506208621567</v>
                </pt>
                <pt idx="54">
                  <v>0.8038042195326093</v>
                </pt>
                <pt idx="55">
                  <v>0.8628930977720407</v>
                </pt>
                <pt idx="56">
                  <v>0.8038389922187259</v>
                </pt>
                <pt idx="57">
                  <v>0.8408360556054226</v>
                </pt>
                <pt idx="58">
                  <v>1.028656893611996</v>
                </pt>
                <pt idx="59">
                  <v>0.9132560776287663</v>
                </pt>
                <pt idx="60">
                  <v>1.051614630458469</v>
                </pt>
                <pt idx="61">
                  <v>1.014420829179444</v>
                </pt>
                <pt idx="62">
                  <v>0.8373818542217274</v>
                </pt>
                <pt idx="63">
                  <v>0.8346846016164379</v>
                </pt>
                <pt idx="64">
                  <v>0.6133984536650869</v>
                </pt>
                <pt idx="65">
                  <v>0.7378100322386865</v>
                </pt>
                <pt idx="66">
                  <v>0.685499494870618</v>
                </pt>
                <pt idx="67">
                  <v>0.7151267621934952</v>
                </pt>
                <pt idx="68">
                  <v>0.636525223039573</v>
                </pt>
                <pt idx="69">
                  <v>0.7617518807592967</v>
                </pt>
                <pt idx="70">
                  <v>1.017494003861172</v>
                </pt>
                <pt idx="71">
                  <v>1.002567416041121</v>
                </pt>
                <pt idx="72">
                  <v>1.135032584901597</v>
                </pt>
                <pt idx="73">
                  <v>0.9341166514187298</v>
                </pt>
                <pt idx="74">
                  <v>0.6857908168802248</v>
                </pt>
                <pt idx="75">
                  <v>0.609953535618325</v>
                </pt>
                <pt idx="76">
                  <v>0.6237511742318941</v>
                </pt>
                <pt idx="77">
                  <v>0.569764321286333</v>
                </pt>
                <pt idx="78">
                  <v>0.7405896710838001</v>
                </pt>
                <pt idx="79">
                  <v>0.6499711234459455</v>
                </pt>
                <pt idx="80">
                  <v>0.6827347489865859</v>
                </pt>
                <pt idx="81">
                  <v>0.9470151719348058</v>
                </pt>
                <pt idx="82">
                  <v>1.028976430956097</v>
                </pt>
                <pt idx="83">
                  <v>0.9820538861792604</v>
                </pt>
              </numCache>
            </numRef>
          </val>
          <smooth val="1"/>
        </ser>
        <ser>
          <idx val="1"/>
          <order val="1"/>
          <tx>
            <strRef>
              <f>'Capture Price Inputs'!$K$1</f>
              <strCache>
                <ptCount val="1"/>
                <pt idx="0">
                  <v>DK2 CPR — Robustness</v>
                </pt>
              </strCache>
            </strRef>
          </tx>
          <spPr>
            <a:ln xmlns:a="http://schemas.openxmlformats.org/drawingml/2006/main">
              <a:solidFill>
                <a:srgbClr val="9DC3E6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val>
            <numRef>
              <f>'Capture Price Inputs'!$K$2:$K$85</f>
              <numCache>
                <formatCode>General</formatCode>
                <ptCount val="84"/>
                <pt idx="12">
                  <v>1.090446324793763</v>
                </pt>
                <pt idx="13">
                  <v>1.251821301318464</v>
                </pt>
                <pt idx="14">
                  <v>0.8552077585127711</v>
                </pt>
                <pt idx="15">
                  <v>0.763620235478716</v>
                </pt>
                <pt idx="16">
                  <v>0.9763693823354528</v>
                </pt>
                <pt idx="17">
                  <v>1.180647007173951</v>
                </pt>
                <pt idx="18">
                  <v>1.021791049952987</v>
                </pt>
                <pt idx="19">
                  <v>1.077948442472481</v>
                </pt>
                <pt idx="20">
                  <v>1.059189092335807</v>
                </pt>
                <pt idx="21">
                  <v>1.247549053102559</v>
                </pt>
                <pt idx="22">
                  <v>1.057080411727209</v>
                </pt>
                <pt idx="23">
                  <v>1.125691191699302</v>
                </pt>
                <pt idx="24">
                  <v>1.122164979814525</v>
                </pt>
                <pt idx="25">
                  <v>0.9585139857498034</v>
                </pt>
                <pt idx="26">
                  <v>1.014774172650395</v>
                </pt>
                <pt idx="27">
                  <v>0.9590164366476613</v>
                </pt>
                <pt idx="28">
                  <v>0.9103388736117121</v>
                </pt>
                <pt idx="29">
                  <v>0.9440449187481634</v>
                </pt>
                <pt idx="30">
                  <v>0.9569285690465077</v>
                </pt>
                <pt idx="31">
                  <v>1.001768528067071</v>
                </pt>
                <pt idx="32">
                  <v>0.9583833699094481</v>
                </pt>
                <pt idx="33">
                  <v>1.144501265847132</v>
                </pt>
                <pt idx="34">
                  <v>1.126460857141801</v>
                </pt>
                <pt idx="35">
                  <v>1.279578427053047</v>
                </pt>
                <pt idx="36">
                  <v>1.161754652341282</v>
                </pt>
                <pt idx="37">
                  <v>1.084871924613185</v>
                </pt>
                <pt idx="38">
                  <v>0.8162958275837114</v>
                </pt>
                <pt idx="39">
                  <v>0.9391804877392103</v>
                </pt>
                <pt idx="40">
                  <v>0.8991456314331195</v>
                </pt>
                <pt idx="41">
                  <v>0.9015136745747578</v>
                </pt>
                <pt idx="42">
                  <v>0.909562444967756</v>
                </pt>
                <pt idx="43">
                  <v>0.8830756108422062</v>
                </pt>
                <pt idx="44">
                  <v>0.9608536982958826</v>
                </pt>
                <pt idx="45">
                  <v>0.8774354195736861</v>
                </pt>
                <pt idx="46">
                  <v>0.9240447439178995</v>
                </pt>
                <pt idx="47">
                  <v>1.218528056069729</v>
                </pt>
                <pt idx="48">
                  <v>1.21186632363043</v>
                </pt>
                <pt idx="49">
                  <v>1.024478122815962</v>
                </pt>
                <pt idx="50">
                  <v>0.992236312197012</v>
                </pt>
                <pt idx="51">
                  <v>0.8502587347820391</v>
                </pt>
                <pt idx="52">
                  <v>0.7310174827054021</v>
                </pt>
                <pt idx="53">
                  <v>0.7860381991736552</v>
                </pt>
                <pt idx="54">
                  <v>0.7717034871247128</v>
                </pt>
                <pt idx="55">
                  <v>0.8454610410569836</v>
                </pt>
                <pt idx="56">
                  <v>0.7532917330845335</v>
                </pt>
                <pt idx="57">
                  <v>0.837234490334641</v>
                </pt>
                <pt idx="58">
                  <v>1.038705241708771</v>
                </pt>
                <pt idx="59">
                  <v>0.8332670757562848</v>
                </pt>
                <pt idx="60">
                  <v>0.977144875107929</v>
                </pt>
                <pt idx="61">
                  <v>0.9399172603334611</v>
                </pt>
                <pt idx="62">
                  <v>0.8314293202728863</v>
                </pt>
                <pt idx="63">
                  <v>0.7780510745637418</v>
                </pt>
                <pt idx="64">
                  <v>0.5900556342707577</v>
                </pt>
                <pt idx="65">
                  <v>0.6943958569114143</v>
                </pt>
                <pt idx="66">
                  <v>0.6176283845394642</v>
                </pt>
                <pt idx="67">
                  <v>0.6493471479229646</v>
                </pt>
                <pt idx="68">
                  <v>0.6157480113547513</v>
                </pt>
                <pt idx="69">
                  <v>0.7800073506793195</v>
                </pt>
                <pt idx="70">
                  <v>0.9404779955101509</v>
                </pt>
                <pt idx="71">
                  <v>1.087006718547946</v>
                </pt>
                <pt idx="72">
                  <v>1.149400364807902</v>
                </pt>
                <pt idx="73">
                  <v>0.9066238427133391</v>
                </pt>
                <pt idx="74">
                  <v>0.603741164715803</v>
                </pt>
                <pt idx="75">
                  <v>0.5517436798810373</v>
                </pt>
                <pt idx="76">
                  <v>0.544059463307295</v>
                </pt>
                <pt idx="77">
                  <v>0.4307606652121766</v>
                </pt>
                <pt idx="78">
                  <v>0.7474634186196619</v>
                </pt>
                <pt idx="79">
                  <v>0.5717894234335987</v>
                </pt>
                <pt idx="80">
                  <v>0.635731600833678</v>
                </pt>
                <pt idx="81">
                  <v>0.9548084008156305</v>
                </pt>
                <pt idx="82">
                  <v>0.9892725129496999</v>
                </pt>
                <pt idx="83">
                  <v>0.9701479625359415</v>
                </pt>
              </numCache>
            </numRef>
          </val>
          <smooth val="1"/>
        </ser>
        <dLbls>
          <showLegendKey val="0"/>
          <showVal val="0"/>
          <showCatName val="0"/>
          <showSerName val="0"/>
          <showPercent val="0"/>
          <showBubbleSize val="0"/>
        </dLbls>
        <smooth val="0"/>
        <axId val="10"/>
        <axId val="100"/>
      </lineChart>
      <catAx>
        <axId val="10"/>
        <scaling>
          <orientation val="minMax"/>
        </scaling>
        <delete val="1"/>
        <axPos val="b"/>
        <title>
          <tx>
            <rich>
              <a:bodyPr xmlns:a="http://schemas.openxmlformats.org/drawingml/2006/main"/>
              <a:lstStyle xmlns:a="http://schemas.openxmlformats.org/drawingml/2006/main"/>
              <a:p xmlns:a="http://schemas.openxmlformats.org/drawingml/2006/main">
                <a:pPr>
                  <a:defRPr/>
                </a:pPr>
                <a:r>
                  <a:rPr lang="en-GB"/>
                  <a:t>Month</a:t>
                </a:r>
              </a:p>
            </rich>
          </tx>
          <overlay val="1"/>
        </title>
        <majorTickMark val="none"/>
        <minorTickMark val="none"/>
        <tickLblPos val="nextTo"/>
        <crossAx val="100"/>
        <crosses val="autoZero"/>
        <auto val="1"/>
        <lblAlgn val="ctr"/>
        <lblOffset val="100"/>
        <noMultiLvlLbl val="1"/>
      </catAx>
      <valAx>
        <axId val="100"/>
        <scaling>
          <orientation val="minMax"/>
        </scaling>
        <delete val="1"/>
        <axPos val="l"/>
        <majorGridlines/>
        <title>
          <tx>
            <rich>
              <a:bodyPr xmlns:a="http://schemas.openxmlformats.org/drawingml/2006/main"/>
              <a:lstStyle xmlns:a="http://schemas.openxmlformats.org/drawingml/2006/main"/>
              <a:p xmlns:a="http://schemas.openxmlformats.org/drawingml/2006/main">
                <a:pPr>
                  <a:defRPr/>
                </a:pPr>
                <a:r>
                  <a:rPr lang="en-GB"/>
                  <a:t>CPR</a:t>
                </a:r>
              </a:p>
            </rich>
          </tx>
          <overlay val="1"/>
        </title>
        <numFmt formatCode="General" sourceLinked="1"/>
        <majorTickMark val="none"/>
        <minorTickMark val="none"/>
        <tickLblPos val="nextTo"/>
        <crossAx val="10"/>
        <crosses val="autoZero"/>
        <crossBetween val="between"/>
      </valAx>
    </plotArea>
    <legend>
      <legendPos val="r"/>
      <overlay val="1"/>
    </legend>
    <plotVisOnly val="1"/>
    <dispBlanksAs val="gap"/>
  </chart>
</chartSpace>
</file>

<file path=xl/charts/chart117.xml><?xml version="1.0" encoding="utf-8"?>
<chartSpace xmlns="http://schemas.openxmlformats.org/drawingml/2006/chart">
  <chart>
    <title>
      <tx>
        <rich>
          <a:bodyPr xmlns:a="http://schemas.openxmlformats.org/drawingml/2006/main"/>
          <a:lstStyle xmlns:a="http://schemas.openxmlformats.org/drawingml/2006/main"/>
          <a:p xmlns:a="http://schemas.openxmlformats.org/drawingml/2006/main">
            <a:pPr>
              <a:defRPr/>
            </a:pPr>
            <a:r>
              <a:rPr lang="en-GB"/>
              <a:t>Solar Penetration - DK1 Primary | DK2 Robustness</a:t>
            </a:r>
          </a:p>
        </rich>
      </tx>
      <overlay val="1"/>
    </title>
    <plotArea>
      <layout/>
      <lineChart>
        <grouping val="standard"/>
        <varyColors val="1"/>
        <ser>
          <idx val="0"/>
          <order val="0"/>
          <tx>
            <strRef>
              <f>'Capture Price Inputs'!$F$1</f>
              <strCache>
                <ptCount val="1"/>
                <pt idx="0">
                  <v>DK1 Solar Penetration (%) — Primary</v>
                </pt>
              </strCache>
            </strRef>
          </tx>
          <spPr>
            <a:ln xmlns:a="http://schemas.openxmlformats.org/drawingml/2006/main">
              <a:solidFill>
                <a:srgbClr val="FF8C00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val>
            <numRef>
              <f>'Capture Price Inputs'!$F$2:$F$85</f>
              <numCache>
                <formatCode>General</formatCode>
                <ptCount val="84"/>
                <pt idx="0">
                  <v>0</v>
                </pt>
                <pt idx="1">
                  <v>0</v>
                </pt>
                <pt idx="2">
                  <v>0</v>
                </pt>
                <pt idx="3">
                  <v>0</v>
                </pt>
                <pt idx="4">
                  <v>0</v>
                </pt>
                <pt idx="5">
                  <v>0</v>
                </pt>
                <pt idx="6">
                  <v>0</v>
                </pt>
                <pt idx="7">
                  <v>0</v>
                </pt>
                <pt idx="8">
                  <v>0</v>
                </pt>
                <pt idx="9">
                  <v>0</v>
                </pt>
                <pt idx="10">
                  <v>0</v>
                </pt>
                <pt idx="11">
                  <v>0</v>
                </pt>
                <pt idx="12">
                  <v>0.002264447892629483</v>
                </pt>
                <pt idx="13">
                  <v>0.005247452024482245</v>
                </pt>
                <pt idx="14">
                  <v>0.02020167759412729</v>
                </pt>
                <pt idx="15">
                  <v>0.0324279896123047</v>
                </pt>
                <pt idx="16">
                  <v>0.03608008723790357</v>
                </pt>
                <pt idx="17">
                  <v>0.03741361883164089</v>
                </pt>
                <pt idx="18">
                  <v>0.03399843385950392</v>
                </pt>
                <pt idx="19">
                  <v>0.03422476314253766</v>
                </pt>
                <pt idx="20">
                  <v>0.02433015193915724</v>
                </pt>
                <pt idx="21">
                  <v>0.01149038754944678</v>
                </pt>
                <pt idx="22">
                  <v>0.0001521101274151999</v>
                </pt>
                <pt idx="23">
                  <v>1.472410662127807e-05</v>
                </pt>
                <pt idx="24">
                  <v>0.003631355999035091</v>
                </pt>
                <pt idx="25">
                  <v>0.0108689417180573</v>
                </pt>
                <pt idx="26">
                  <v>0.02238230390737163</v>
                </pt>
                <pt idx="27">
                  <v>0.04212837115783985</v>
                </pt>
                <pt idx="28">
                  <v>0.03307505221196035</v>
                </pt>
                <pt idx="29">
                  <v>0.04984166182181952</v>
                </pt>
                <pt idx="30">
                  <v>0.0485715434854639</v>
                </pt>
                <pt idx="31">
                  <v>0.0388769479447087</v>
                </pt>
                <pt idx="32">
                  <v>0.02593285017943629</v>
                </pt>
                <pt idx="33">
                  <v>0.01746009643148906</v>
                </pt>
                <pt idx="34">
                  <v>0.007029306005813504</v>
                </pt>
                <pt idx="35">
                  <v>0.003243365391886713</v>
                </pt>
                <pt idx="36">
                  <v>0.006675315547248087</v>
                </pt>
                <pt idx="37">
                  <v>0.0173995712330029</v>
                </pt>
                <pt idx="38">
                  <v>0.06195507058644287</v>
                </pt>
                <pt idx="39">
                  <v>0.08404056603836467</v>
                </pt>
                <pt idx="40">
                  <v>0.09687689142031611</v>
                </pt>
                <pt idx="41">
                  <v>0.09496202074431148</v>
                </pt>
                <pt idx="42">
                  <v>0.09963556652585577</v>
                </pt>
                <pt idx="43">
                  <v>0.08962697832526678</v>
                </pt>
                <pt idx="44">
                  <v>0.06604649859170474</v>
                </pt>
                <pt idx="45">
                  <v>0.03746941447765471</v>
                </pt>
                <pt idx="46">
                  <v>0.01046932675470221</v>
                </pt>
                <pt idx="47">
                  <v>0.006229164645196865</v>
                </pt>
                <pt idx="48">
                  <v>0.01246069427686292</v>
                </pt>
                <pt idx="49">
                  <v>0.03437640419176364</v>
                </pt>
                <pt idx="50">
                  <v>0.05647796857705859</v>
                </pt>
                <pt idx="51">
                  <v>0.1509467292684683</v>
                </pt>
                <pt idx="52">
                  <v>0.18600333743842</v>
                </pt>
                <pt idx="53">
                  <v>0.218925737129461</v>
                </pt>
                <pt idx="54">
                  <v>0.1892952405634502</v>
                </pt>
                <pt idx="55">
                  <v>0.1493297980639493</v>
                </pt>
                <pt idx="56">
                  <v>0.1319165438654872</v>
                </pt>
                <pt idx="57">
                  <v>0.0428648864567301</v>
                </pt>
                <pt idx="58">
                  <v>0.01600349353715238</v>
                </pt>
                <pt idx="59">
                  <v>0.006390504672696534</v>
                </pt>
                <pt idx="60">
                  <v>0.01341718605060752</v>
                </pt>
                <pt idx="61">
                  <v>0.0264362238379265</v>
                </pt>
                <pt idx="62">
                  <v>0.06623397340035048</v>
                </pt>
                <pt idx="63">
                  <v>0.1084169878649764</v>
                </pt>
                <pt idx="64">
                  <v>0.1888703164988005</v>
                </pt>
                <pt idx="65">
                  <v>0.1715230569234828</v>
                </pt>
                <pt idx="66">
                  <v>0.1809062055635286</v>
                </pt>
                <pt idx="67">
                  <v>0.155121531117258</v>
                </pt>
                <pt idx="68">
                  <v>0.1275567235314205</v>
                </pt>
                <pt idx="69">
                  <v>0.06287376784741511</v>
                </pt>
                <pt idx="70">
                  <v>0.01780902737610289</v>
                </pt>
                <pt idx="71">
                  <v>0.006785797568345668</v>
                </pt>
                <pt idx="72">
                  <v>0.01366055484422285</v>
                </pt>
                <pt idx="73">
                  <v>0.04341993481717769</v>
                </pt>
                <pt idx="74">
                  <v>0.1120694547038418</v>
                </pt>
                <pt idx="75">
                  <v>0.1482754875605271</v>
                </pt>
                <pt idx="76">
                  <v>0.1924446817596716</v>
                </pt>
                <pt idx="77">
                  <v>0.1878482923852328</v>
                </pt>
                <pt idx="78">
                  <v>0.2182818884824121</v>
                </pt>
                <pt idx="79">
                  <v>0.1901168401280812</v>
                </pt>
                <pt idx="80">
                  <v>0.1381615272451792</v>
                </pt>
                <pt idx="81">
                  <v>0.06946207120205163</v>
                </pt>
                <pt idx="82">
                  <v>0.02660497040214753</v>
                </pt>
                <pt idx="83">
                  <v>0.0140253486520015</v>
                </pt>
              </numCache>
            </numRef>
          </val>
          <smooth val="1"/>
        </ser>
        <ser>
          <idx val="1"/>
          <order val="1"/>
          <tx>
            <strRef>
              <f>'Capture Price Inputs'!$G$1</f>
              <strCache>
                <ptCount val="1"/>
                <pt idx="0">
                  <v>DK2 Solar Penetration (%) — Robustness</v>
                </pt>
              </strCache>
            </strRef>
          </tx>
          <spPr>
            <a:ln xmlns:a="http://schemas.openxmlformats.org/drawingml/2006/main">
              <a:solidFill>
                <a:srgbClr val="FFD700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val>
            <numRef>
              <f>'Capture Price Inputs'!$G$2:$G$85</f>
              <numCache>
                <formatCode>General</formatCode>
                <ptCount val="84"/>
                <pt idx="0">
                  <v>0</v>
                </pt>
                <pt idx="1">
                  <v>0</v>
                </pt>
                <pt idx="2">
                  <v>0</v>
                </pt>
                <pt idx="3">
                  <v>0</v>
                </pt>
                <pt idx="4">
                  <v>0</v>
                </pt>
                <pt idx="5">
                  <v>0</v>
                </pt>
                <pt idx="6">
                  <v>0</v>
                </pt>
                <pt idx="7">
                  <v>0</v>
                </pt>
                <pt idx="8">
                  <v>0</v>
                </pt>
                <pt idx="9">
                  <v>0</v>
                </pt>
                <pt idx="10">
                  <v>0</v>
                </pt>
                <pt idx="11">
                  <v>0</v>
                </pt>
                <pt idx="12">
                  <v>0.001864323044087839</v>
                </pt>
                <pt idx="13">
                  <v>0.004961339344807235</v>
                </pt>
                <pt idx="14">
                  <v>0.01532033335337761</v>
                </pt>
                <pt idx="15">
                  <v>0.02618059513454593</v>
                </pt>
                <pt idx="16">
                  <v>0.03224093077416624</v>
                </pt>
                <pt idx="17">
                  <v>0.03065181208815584</v>
                </pt>
                <pt idx="18">
                  <v>0.02998206800974695</v>
                </pt>
                <pt idx="19">
                  <v>0.02803471341430708</v>
                </pt>
                <pt idx="20">
                  <v>0.02173647910159525</v>
                </pt>
                <pt idx="21">
                  <v>0.01107911770574695</v>
                </pt>
                <pt idx="22">
                  <v>0.0001104461157833284</v>
                </pt>
                <pt idx="23">
                  <v>5.635243358406259e-06</v>
                </pt>
                <pt idx="24">
                  <v>0.003104474131982996</v>
                </pt>
                <pt idx="25">
                  <v>0.009248336948772359</v>
                </pt>
                <pt idx="26">
                  <v>0.01847451704521283</v>
                </pt>
                <pt idx="27">
                  <v>0.03269440748331279</v>
                </pt>
                <pt idx="28">
                  <v>0.03294582929454019</v>
                </pt>
                <pt idx="29">
                  <v>0.04448013314005607</v>
                </pt>
                <pt idx="30">
                  <v>0.03704954253730217</v>
                </pt>
                <pt idx="31">
                  <v>0.03185776883426199</v>
                </pt>
                <pt idx="32">
                  <v>0.0223981137027396</v>
                </pt>
                <pt idx="33">
                  <v>0.01267326343754744</v>
                </pt>
                <pt idx="34">
                  <v>0.004013281085791027</v>
                </pt>
                <pt idx="35">
                  <v>0.001822629583826099</v>
                </pt>
                <pt idx="36">
                  <v>0.004939556742877535</v>
                </pt>
                <pt idx="37">
                  <v>0.01324848558669828</v>
                </pt>
                <pt idx="38">
                  <v>0.03408933034912105</v>
                </pt>
                <pt idx="39">
                  <v>0.05525443609957865</v>
                </pt>
                <pt idx="40">
                  <v>0.06581145996085939</v>
                </pt>
                <pt idx="41">
                  <v>0.06452822904586782</v>
                </pt>
                <pt idx="42">
                  <v>0.06702580380195292</v>
                </pt>
                <pt idx="43">
                  <v>0.06129992439719582</v>
                </pt>
                <pt idx="44">
                  <v>0.04578427610350702</v>
                </pt>
                <pt idx="45">
                  <v>0.0298090580270354</v>
                </pt>
                <pt idx="46">
                  <v>0.007865295261900549</v>
                </pt>
                <pt idx="47">
                  <v>0.004532355552973548</v>
                </pt>
                <pt idx="48">
                  <v>0.005862652723136608</v>
                </pt>
                <pt idx="49">
                  <v>0.01887764841837355</v>
                </pt>
                <pt idx="50">
                  <v>0.03709622939200571</v>
                </pt>
                <pt idx="51">
                  <v>0.08026996603382495</v>
                </pt>
                <pt idx="52">
                  <v>0.1080032082802261</v>
                </pt>
                <pt idx="53">
                  <v>0.1144244665352921</v>
                </pt>
                <pt idx="54">
                  <v>0.1020307450715976</v>
                </pt>
                <pt idx="55">
                  <v>0.07793101053296771</v>
                </pt>
                <pt idx="56">
                  <v>0.08090995463931874</v>
                </pt>
                <pt idx="57">
                  <v>0.02917234021559438</v>
                </pt>
                <pt idx="58">
                  <v>0.0104098691216888</v>
                </pt>
                <pt idx="59">
                  <v>0.003809030164374855</v>
                </pt>
                <pt idx="60">
                  <v>0.006178183072975508</v>
                </pt>
                <pt idx="61">
                  <v>0.01667231366864759</v>
                </pt>
                <pt idx="62">
                  <v>0.04111280636733766</v>
                </pt>
                <pt idx="63">
                  <v>0.06512337874480645</v>
                </pt>
                <pt idx="64">
                  <v>0.106315341440858</v>
                </pt>
                <pt idx="65">
                  <v>0.1072729076610999</v>
                </pt>
                <pt idx="66">
                  <v>0.1057942634887733</v>
                </pt>
                <pt idx="67">
                  <v>0.0936908322687052</v>
                </pt>
                <pt idx="68">
                  <v>0.07246320282040017</v>
                </pt>
                <pt idx="69">
                  <v>0.03614525389237988</v>
                </pt>
                <pt idx="70">
                  <v>0.008602841405423608</v>
                </pt>
                <pt idx="71">
                  <v>0.004171468465776758</v>
                </pt>
                <pt idx="72">
                  <v>0.007223240212576967</v>
                </pt>
                <pt idx="73">
                  <v>0.02010831138567791</v>
                </pt>
                <pt idx="74">
                  <v>0.04654786644745259</v>
                </pt>
                <pt idx="75">
                  <v>0.07168978364906199</v>
                </pt>
                <pt idx="76">
                  <v>0.09471412725623395</v>
                </pt>
                <pt idx="77">
                  <v>0.09982625001551076</v>
                </pt>
                <pt idx="78">
                  <v>0.09399641941869914</v>
                </pt>
                <pt idx="79">
                  <v>0.1057378118957395</v>
                </pt>
                <pt idx="80">
                  <v>0.09062887968652376</v>
                </pt>
                <pt idx="81">
                  <v>0.03957312567862663</v>
                </pt>
                <pt idx="82">
                  <v>0.01454364344794783</v>
                </pt>
                <pt idx="83">
                  <v>0.00906949116088333</v>
                </pt>
              </numCache>
            </numRef>
          </val>
          <smooth val="1"/>
        </ser>
        <dLbls>
          <showLegendKey val="0"/>
          <showVal val="0"/>
          <showCatName val="0"/>
          <showSerName val="0"/>
          <showPercent val="0"/>
          <showBubbleSize val="0"/>
        </dLbls>
        <smooth val="0"/>
        <axId val="10"/>
        <axId val="100"/>
      </lineChart>
      <catAx>
        <axId val="10"/>
        <scaling>
          <orientation val="minMax"/>
        </scaling>
        <delete val="1"/>
        <axPos val="b"/>
        <title>
          <tx>
            <rich>
              <a:bodyPr xmlns:a="http://schemas.openxmlformats.org/drawingml/2006/main"/>
              <a:lstStyle xmlns:a="http://schemas.openxmlformats.org/drawingml/2006/main"/>
              <a:p xmlns:a="http://schemas.openxmlformats.org/drawingml/2006/main">
                <a:pPr>
                  <a:defRPr/>
                </a:pPr>
                <a:r>
                  <a:rPr lang="en-GB"/>
                  <a:t>Month</a:t>
                </a:r>
              </a:p>
            </rich>
          </tx>
          <overlay val="1"/>
        </title>
        <majorTickMark val="none"/>
        <minorTickMark val="none"/>
        <tickLblPos val="nextTo"/>
        <crossAx val="100"/>
        <crosses val="autoZero"/>
        <auto val="1"/>
        <lblAlgn val="ctr"/>
        <lblOffset val="100"/>
        <noMultiLvlLbl val="1"/>
      </catAx>
      <valAx>
        <axId val="100"/>
        <scaling>
          <orientation val="minMax"/>
        </scaling>
        <delete val="1"/>
        <axPos val="l"/>
        <majorGridlines/>
        <title>
          <tx>
            <rich>
              <a:bodyPr xmlns:a="http://schemas.openxmlformats.org/drawingml/2006/main"/>
              <a:lstStyle xmlns:a="http://schemas.openxmlformats.org/drawingml/2006/main"/>
              <a:p xmlns:a="http://schemas.openxmlformats.org/drawingml/2006/main">
                <a:pPr>
                  <a:defRPr/>
                </a:pPr>
                <a:r>
                  <a:rPr lang="en-GB"/>
                  <a:t>Solar Penetration (%)</a:t>
                </a:r>
              </a:p>
            </rich>
          </tx>
          <overlay val="1"/>
        </title>
        <numFmt formatCode="General" sourceLinked="1"/>
        <majorTickMark val="none"/>
        <minorTickMark val="none"/>
        <tickLblPos val="nextTo"/>
        <crossAx val="10"/>
        <crosses val="autoZero"/>
        <crossBetween val="between"/>
      </valAx>
    </plotArea>
    <legend>
      <legendPos val="r"/>
      <overlay val="1"/>
    </legend>
    <plotVisOnly val="1"/>
    <dispBlanksAs val="gap"/>
  </chart>
</chartSpace>
</file>

<file path=xl/charts/chart118.xml><?xml version="1.0" encoding="utf-8"?>
<chartSpace xmlns="http://schemas.openxmlformats.org/drawingml/2006/chart">
  <chart>
    <title>
      <tx>
        <rich>
          <a:bodyPr xmlns:a="http://schemas.openxmlformats.org/drawingml/2006/main"/>
          <a:lstStyle xmlns:a="http://schemas.openxmlformats.org/drawingml/2006/main"/>
          <a:p xmlns:a="http://schemas.openxmlformats.org/drawingml/2006/main">
            <a:pPr>
              <a:defRPr/>
            </a:pPr>
            <a:r>
              <a:rPr lang="en-GB"/>
              <a:t>Capture Price - DK1 Primary | DK2 Robustness</a:t>
            </a:r>
          </a:p>
        </rich>
      </tx>
      <overlay val="1"/>
    </title>
    <plotArea>
      <layout/>
      <lineChart>
        <grouping val="standard"/>
        <varyColors val="1"/>
        <ser>
          <idx val="0"/>
          <order val="0"/>
          <tx>
            <strRef>
              <f>'Capture Price Inputs'!$H$1</f>
              <strCache>
                <ptCount val="1"/>
                <pt idx="0">
                  <v>DK1 Capture Price (EUR/MWh) — Primary</v>
                </pt>
              </strCache>
            </strRef>
          </tx>
          <spPr>
            <a:ln xmlns:a="http://schemas.openxmlformats.org/drawingml/2006/main">
              <a:solidFill>
                <a:srgbClr val="2E75B6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val>
            <numRef>
              <f>'Capture Price Inputs'!$H$2:$H$85</f>
              <numCache>
                <formatCode>General</formatCode>
                <ptCount val="84"/>
                <pt idx="12">
                  <v>25.22320957280251</v>
                </pt>
                <pt idx="13">
                  <v>22.83581899109792</v>
                </pt>
                <pt idx="14">
                  <v>15.94107348554973</v>
                </pt>
                <pt idx="15">
                  <v>10.36487590420421</v>
                </pt>
                <pt idx="16">
                  <v>15.478548945086</v>
                </pt>
                <pt idx="17">
                  <v>27.31330822786869</v>
                </pt>
                <pt idx="18">
                  <v>24.83174517810916</v>
                </pt>
                <pt idx="19">
                  <v>33.87691542204785</v>
                </pt>
                <pt idx="20">
                  <v>38.93597900337959</v>
                </pt>
                <pt idx="21">
                  <v>31.92774153305919</v>
                </pt>
                <pt idx="22">
                  <v>26.00599326599326</v>
                </pt>
                <pt idx="23">
                  <v>34.79516129032258</v>
                </pt>
                <pt idx="24">
                  <v>55.42296760727792</v>
                </pt>
                <pt idx="25">
                  <v>47.54261097914259</v>
                </pt>
                <pt idx="26">
                  <v>44.55070091580549</v>
                </pt>
                <pt idx="27">
                  <v>43.594739828473</v>
                </pt>
                <pt idx="28">
                  <v>47.65587057500122</v>
                </pt>
                <pt idx="29">
                  <v>70.54354791111106</v>
                </pt>
                <pt idx="30">
                  <v>78.56831974775861</v>
                </pt>
                <pt idx="31">
                  <v>81.98335113640179</v>
                </pt>
                <pt idx="32">
                  <v>116.2002249554484</v>
                </pt>
                <pt idx="33">
                  <v>126.5303952032395</v>
                </pt>
                <pt idx="34">
                  <v>160.7705833010295</v>
                </pt>
                <pt idx="35">
                  <v>228.8621705579358</v>
                </pt>
                <pt idx="36">
                  <v>123.2012506791719</v>
                </pt>
                <pt idx="37">
                  <v>117.67077903546</v>
                </pt>
                <pt idx="38">
                  <v>191.508071735067</v>
                </pt>
                <pt idx="39">
                  <v>145.7013871592604</v>
                </pt>
                <pt idx="40">
                  <v>149.4185612445558</v>
                </pt>
                <pt idx="41">
                  <v>194.7110340948198</v>
                </pt>
                <pt idx="42">
                  <v>239.3981525107354</v>
                </pt>
                <pt idx="43">
                  <v>419.792637226606</v>
                </pt>
                <pt idx="44">
                  <v>310.7073992726671</v>
                </pt>
                <pt idx="45">
                  <v>125.6295598680838</v>
                </pt>
                <pt idx="46">
                  <v>131.7111886265582</v>
                </pt>
                <pt idx="47">
                  <v>282.8237937420726</v>
                </pt>
                <pt idx="48">
                  <v>138.5299886842633</v>
                </pt>
                <pt idx="49">
                  <v>109.8769757213503</v>
                </pt>
                <pt idx="50">
                  <v>93.77419094069538</v>
                </pt>
                <pt idx="51">
                  <v>76.25042822265543</v>
                </pt>
                <pt idx="52">
                  <v>50.54348776008261</v>
                </pt>
                <pt idx="53">
                  <v>74.88898277621806</v>
                </pt>
                <pt idx="54">
                  <v>52.09559943846345</v>
                </pt>
                <pt idx="55">
                  <v>74.18042603997819</v>
                </pt>
                <pt idx="56">
                  <v>68.11686962339694</v>
                </pt>
                <pt idx="57">
                  <v>50.53909051970285</v>
                </pt>
                <pt idx="58">
                  <v>90.68080556242518</v>
                </pt>
                <pt idx="59">
                  <v>63.45532768878803</v>
                </pt>
                <pt idx="60">
                  <v>78.57131644167831</v>
                </pt>
                <pt idx="61">
                  <v>59.47948676805509</v>
                </pt>
                <pt idx="62">
                  <v>51.26978324155493</v>
                </pt>
                <pt idx="63">
                  <v>49.38394056201121</v>
                </pt>
                <pt idx="64">
                  <v>35.89414827140887</v>
                </pt>
                <pt idx="65">
                  <v>47.03763372739765</v>
                </pt>
                <pt idx="66">
                  <v>42.52177322309952</v>
                </pt>
                <pt idx="67">
                  <v>52.17121747504909</v>
                </pt>
                <pt idx="68">
                  <v>45.64750462621701</v>
                </pt>
                <pt idx="69">
                  <v>58.44158378709199</v>
                </pt>
                <pt idx="70">
                  <v>97.58235261633192</v>
                </pt>
                <pt idx="71">
                  <v>92.07321769383398</v>
                </pt>
                <pt idx="72">
                  <v>111.1945655985155</v>
                </pt>
                <pt idx="73">
                  <v>105.4131597378828</v>
                </pt>
                <pt idx="74">
                  <v>57.84566339627056</v>
                </pt>
                <pt idx="75">
                  <v>45.84439577068735</v>
                </pt>
                <pt idx="76">
                  <v>40.06566739400938</v>
                </pt>
                <pt idx="77">
                  <v>33.4933819651966</v>
                </pt>
                <pt idx="78">
                  <v>61.32224821093979</v>
                </pt>
                <pt idx="79">
                  <v>47.75582456745756</v>
                </pt>
                <pt idx="80">
                  <v>49.42909499605724</v>
                </pt>
                <pt idx="81">
                  <v>74.26663453789526</v>
                </pt>
                <pt idx="82">
                  <v>95.56453180252134</v>
                </pt>
                <pt idx="83">
                  <v>80.95803424278026</v>
                </pt>
              </numCache>
            </numRef>
          </val>
          <smooth val="1"/>
        </ser>
        <ser>
          <idx val="1"/>
          <order val="1"/>
          <tx>
            <strRef>
              <f>'Capture Price Inputs'!$I$1</f>
              <strCache>
                <ptCount val="1"/>
                <pt idx="0">
                  <v>DK2 Capture Price (EUR/MWh) — Robustness</v>
                </pt>
              </strCache>
            </strRef>
          </tx>
          <spPr>
            <a:ln xmlns:a="http://schemas.openxmlformats.org/drawingml/2006/main">
              <a:solidFill>
                <a:srgbClr val="9DC3E6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val>
            <numRef>
              <f>'Capture Price Inputs'!$I$2:$I$85</f>
              <numCache>
                <formatCode>General</formatCode>
                <ptCount val="84"/>
                <pt idx="12">
                  <v>29.86213642213642</v>
                </pt>
                <pt idx="13">
                  <v>23.55551782972189</v>
                </pt>
                <pt idx="14">
                  <v>17.14905069226102</v>
                </pt>
                <pt idx="15">
                  <v>13.25252312836708</v>
                </pt>
                <pt idx="16">
                  <v>18.59404938271605</v>
                </pt>
                <pt idx="17">
                  <v>35.21078005032583</v>
                </pt>
                <pt idx="18">
                  <v>26.450778046867</v>
                </pt>
                <pt idx="19">
                  <v>44.11376501540486</v>
                </pt>
                <pt idx="20">
                  <v>41.85304788087056</v>
                </pt>
                <pt idx="21">
                  <v>33.60087837290333</v>
                </pt>
                <pt idx="22">
                  <v>37.749765625</v>
                </pt>
                <pt idx="23">
                  <v>44.19142857142857</v>
                </pt>
                <pt idx="24">
                  <v>57.07213441008145</v>
                </pt>
                <pt idx="25">
                  <v>52.28508365452458</v>
                </pt>
                <pt idx="26">
                  <v>47.42264301189781</v>
                </pt>
                <pt idx="27">
                  <v>45.90136374824883</v>
                </pt>
                <pt idx="28">
                  <v>50.2587202314608</v>
                </pt>
                <pt idx="29">
                  <v>69.46934165377623</v>
                </pt>
                <pt idx="30">
                  <v>77.93311155139432</v>
                </pt>
                <pt idx="31">
                  <v>84.51274769025703</v>
                </pt>
                <pt idx="32">
                  <v>118.7457227855615</v>
                </pt>
                <pt idx="33">
                  <v>122.3841235967906</v>
                </pt>
                <pt idx="34">
                  <v>153.6267942781575</v>
                </pt>
                <pt idx="35">
                  <v>244.4872785976441</v>
                </pt>
                <pt idx="36">
                  <v>129.6774902315082</v>
                </pt>
                <pt idx="37">
                  <v>108.8033389925641</v>
                </pt>
                <pt idx="38">
                  <v>186.0504424586062</v>
                </pt>
                <pt idx="39">
                  <v>143.5375888642185</v>
                </pt>
                <pt idx="40">
                  <v>146.2536023446033</v>
                </pt>
                <pt idx="41">
                  <v>192.2325905808319</v>
                </pt>
                <pt idx="42">
                  <v>212.3625858003895</v>
                </pt>
                <pt idx="43">
                  <v>397.1798848597606</v>
                </pt>
                <pt idx="44">
                  <v>315.928842796779</v>
                </pt>
                <pt idx="45">
                  <v>120.1190076327392</v>
                </pt>
                <pt idx="46">
                  <v>134.0399027878758</v>
                </pt>
                <pt idx="47">
                  <v>303.2697848166857</v>
                </pt>
                <pt idx="48">
                  <v>120.8992864784306</v>
                </pt>
                <pt idx="49">
                  <v>103.112625406295</v>
                </pt>
                <pt idx="50">
                  <v>89.0984689216417</v>
                </pt>
                <pt idx="51">
                  <v>71.1250997055942</v>
                </pt>
                <pt idx="52">
                  <v>48.35808379645633</v>
                </pt>
                <pt idx="53">
                  <v>71.8620903722224</v>
                </pt>
                <pt idx="54">
                  <v>50.34596661709235</v>
                </pt>
                <pt idx="55">
                  <v>72.95799234798741</v>
                </pt>
                <pt idx="56">
                  <v>64.3944846724649</v>
                </pt>
                <pt idx="57">
                  <v>47.66025509428685</v>
                </pt>
                <pt idx="58">
                  <v>84.63997860526599</v>
                </pt>
                <pt idx="59">
                  <v>59.06174633307972</v>
                </pt>
                <pt idx="60">
                  <v>76.42720253521921</v>
                </pt>
                <pt idx="61">
                  <v>51.43437919654775</v>
                </pt>
                <pt idx="62">
                  <v>50.75116381305344</v>
                </pt>
                <pt idx="63">
                  <v>47.053967904828</v>
                </pt>
                <pt idx="64">
                  <v>34.29579411369289</v>
                </pt>
                <pt idx="65">
                  <v>46.37938403458337</v>
                </pt>
                <pt idx="66">
                  <v>38.81282196947117</v>
                </pt>
                <pt idx="67">
                  <v>47.15186311829253</v>
                </pt>
                <pt idx="68">
                  <v>43.35594635084219</v>
                </pt>
                <pt idx="69">
                  <v>59.53493763028656</v>
                </pt>
                <pt idx="70">
                  <v>89.61127747791728</v>
                </pt>
                <pt idx="71">
                  <v>100.7961313991171</v>
                </pt>
                <pt idx="72">
                  <v>115.0822593270056</v>
                </pt>
                <pt idx="73">
                  <v>106.9231820731682</v>
                </pt>
                <pt idx="74">
                  <v>50.01806296126875</v>
                </pt>
                <pt idx="75">
                  <v>41.82584156307518</v>
                </pt>
                <pt idx="76">
                  <v>34.32066034459122</v>
                </pt>
                <pt idx="77">
                  <v>24.31568572006325</v>
                </pt>
                <pt idx="78">
                  <v>59.76694388214769</v>
                </pt>
                <pt idx="79">
                  <v>43.06460478354486</v>
                </pt>
                <pt idx="80">
                  <v>52.94940515380836</v>
                </pt>
                <pt idx="81">
                  <v>78.64573032240668</v>
                </pt>
                <pt idx="82">
                  <v>92.69045487153267</v>
                </pt>
                <pt idx="83">
                  <v>79.63122802208366</v>
                </pt>
              </numCache>
            </numRef>
          </val>
          <smooth val="1"/>
        </ser>
        <dLbls>
          <showLegendKey val="0"/>
          <showVal val="0"/>
          <showCatName val="0"/>
          <showSerName val="0"/>
          <showPercent val="0"/>
          <showBubbleSize val="0"/>
        </dLbls>
        <smooth val="0"/>
        <axId val="10"/>
        <axId val="100"/>
      </lineChart>
      <catAx>
        <axId val="10"/>
        <scaling>
          <orientation val="minMax"/>
        </scaling>
        <delete val="1"/>
        <axPos val="b"/>
        <title>
          <tx>
            <rich>
              <a:bodyPr xmlns:a="http://schemas.openxmlformats.org/drawingml/2006/main"/>
              <a:lstStyle xmlns:a="http://schemas.openxmlformats.org/drawingml/2006/main"/>
              <a:p xmlns:a="http://schemas.openxmlformats.org/drawingml/2006/main">
                <a:pPr>
                  <a:defRPr/>
                </a:pPr>
                <a:r>
                  <a:rPr lang="en-GB"/>
                  <a:t>Month</a:t>
                </a:r>
              </a:p>
            </rich>
          </tx>
          <overlay val="1"/>
        </title>
        <majorTickMark val="none"/>
        <minorTickMark val="none"/>
        <tickLblPos val="nextTo"/>
        <crossAx val="100"/>
        <crosses val="autoZero"/>
        <auto val="1"/>
        <lblAlgn val="ctr"/>
        <lblOffset val="100"/>
        <noMultiLvlLbl val="1"/>
      </catAx>
      <valAx>
        <axId val="100"/>
        <scaling>
          <orientation val="minMax"/>
        </scaling>
        <delete val="1"/>
        <axPos val="l"/>
        <majorGridlines/>
        <title>
          <tx>
            <rich>
              <a:bodyPr xmlns:a="http://schemas.openxmlformats.org/drawingml/2006/main"/>
              <a:lstStyle xmlns:a="http://schemas.openxmlformats.org/drawingml/2006/main"/>
              <a:p xmlns:a="http://schemas.openxmlformats.org/drawingml/2006/main">
                <a:pPr>
                  <a:defRPr/>
                </a:pPr>
                <a:r>
                  <a:rPr lang="en-GB"/>
                  <a:t>EUR/MWh</a:t>
                </a:r>
              </a:p>
            </rich>
          </tx>
          <overlay val="1"/>
        </title>
        <numFmt formatCode="General" sourceLinked="1"/>
        <majorTickMark val="none"/>
        <minorTickMark val="none"/>
        <tickLblPos val="nextTo"/>
        <crossAx val="10"/>
        <crosses val="autoZero"/>
        <crossBetween val="between"/>
      </valAx>
    </plotArea>
    <legend>
      <legendPos val="r"/>
      <overlay val="1"/>
    </legend>
    <plotVisOnly val="1"/>
    <dispBlanksAs val="gap"/>
  </chart>
</chartSpace>
</file>

<file path=xl/charts/chart119.xml><?xml version="1.0" encoding="utf-8"?>
<chartSpace xmlns="http://schemas.openxmlformats.org/drawingml/2006/chart">
  <chart>
    <title>
      <tx>
        <rich>
          <a:bodyPr xmlns:a="http://schemas.openxmlformats.org/drawingml/2006/main"/>
          <a:lstStyle xmlns:a="http://schemas.openxmlformats.org/drawingml/2006/main"/>
          <a:p xmlns:a="http://schemas.openxmlformats.org/drawingml/2006/main">
            <a:pPr>
              <a:defRPr/>
            </a:pPr>
            <a:r>
              <a:rPr lang="en-GB"/>
              <a:t>Capture Price Ratio - DK1 Primary | DK2 Robustness</a:t>
            </a:r>
          </a:p>
        </rich>
      </tx>
      <overlay val="1"/>
    </title>
    <plotArea>
      <layout/>
      <lineChart>
        <grouping val="standard"/>
        <varyColors val="1"/>
        <ser>
          <idx val="0"/>
          <order val="0"/>
          <tx>
            <strRef>
              <f>'Capture Price Inputs'!$J$1</f>
              <strCache>
                <ptCount val="1"/>
                <pt idx="0">
                  <v>DK1 CPR — Primary</v>
                </pt>
              </strCache>
            </strRef>
          </tx>
          <spPr>
            <a:ln xmlns:a="http://schemas.openxmlformats.org/drawingml/2006/main">
              <a:solidFill>
                <a:srgbClr val="2E75B6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val>
            <numRef>
              <f>'Capture Price Inputs'!$J$2:$J$85</f>
              <numCache>
                <formatCode>General</formatCode>
                <ptCount val="84"/>
                <pt idx="12">
                  <v>1.009148659447442</v>
                </pt>
                <pt idx="13">
                  <v>1.298591168695051</v>
                </pt>
                <pt idx="14">
                  <v>0.8710146939215303</v>
                </pt>
                <pt idx="15">
                  <v>0.7131577255881921</v>
                </pt>
                <pt idx="16">
                  <v>0.9641557693120565</v>
                </pt>
                <pt idx="17">
                  <v>1.039466413731094</v>
                </pt>
                <pt idx="18">
                  <v>1.008618155660831</v>
                </pt>
                <pt idx="19">
                  <v>0.9808226440750074</v>
                </pt>
                <pt idx="20">
                  <v>1.010404486913005</v>
                </pt>
                <pt idx="21">
                  <v>1.236802226812374</v>
                </pt>
                <pt idx="22">
                  <v>1.094777917215692</v>
                </pt>
                <pt idx="23">
                  <v>1.008230164182662</v>
                </pt>
                <pt idx="24">
                  <v>1.103930861568265</v>
                </pt>
                <pt idx="25">
                  <v>1.005947927705425</v>
                </pt>
                <pt idx="26">
                  <v>0.9871758725122356</v>
                </pt>
                <pt idx="27">
                  <v>0.9088464745665017</v>
                </pt>
                <pt idx="28">
                  <v>0.8775180518715436</v>
                </pt>
                <pt idx="29">
                  <v>0.9569142795347317</v>
                </pt>
                <pt idx="30">
                  <v>0.9821132371596978</v>
                </pt>
                <pt idx="31">
                  <v>0.9902714780245057</v>
                </pt>
                <pt idx="32">
                  <v>0.9269044048361358</v>
                </pt>
                <pt idx="33">
                  <v>1.081088507413439</v>
                </pt>
                <pt idx="34">
                  <v>1.133803408504466</v>
                </pt>
                <pt idx="35">
                  <v>1.208676962454928</v>
                </pt>
                <pt idx="36">
                  <v>1.044125730427727</v>
                </pt>
                <pt idx="37">
                  <v>1.04022281700981</v>
                </pt>
                <pt idx="38">
                  <v>0.8120775904420741</v>
                </pt>
                <pt idx="39">
                  <v>0.8903913338467833</v>
                </pt>
                <pt idx="40">
                  <v>0.8694301605049858</v>
                </pt>
                <pt idx="41">
                  <v>0.9080390201234191</v>
                </pt>
                <pt idx="42">
                  <v>0.8704179159294955</v>
                </pt>
                <pt idx="43">
                  <v>0.9190855304670003</v>
                </pt>
                <pt idx="44">
                  <v>0.9063290180568312</v>
                </pt>
                <pt idx="45">
                  <v>0.9161232525396177</v>
                </pt>
                <pt idx="46">
                  <v>0.9427861207466001</v>
                </pt>
                <pt idx="47">
                  <v>1.132810339248927</v>
                </pt>
                <pt idx="48">
                  <v>1.230919869122654</v>
                </pt>
                <pt idx="49">
                  <v>0.93008781340266</v>
                </pt>
                <pt idx="50">
                  <v>0.9461253975959896</v>
                </pt>
                <pt idx="51">
                  <v>0.7920396612038634</v>
                </pt>
                <pt idx="52">
                  <v>0.6833361056151995</v>
                </pt>
                <pt idx="53">
                  <v>0.8096506208621567</v>
                </pt>
                <pt idx="54">
                  <v>0.8038042195326093</v>
                </pt>
                <pt idx="55">
                  <v>0.8628930977720407</v>
                </pt>
                <pt idx="56">
                  <v>0.8038389922187259</v>
                </pt>
                <pt idx="57">
                  <v>0.8408360556054226</v>
                </pt>
                <pt idx="58">
                  <v>1.028656893611996</v>
                </pt>
                <pt idx="59">
                  <v>0.9132560776287663</v>
                </pt>
                <pt idx="60">
                  <v>1.051614630458469</v>
                </pt>
                <pt idx="61">
                  <v>1.014420829179444</v>
                </pt>
                <pt idx="62">
                  <v>0.8373818542217274</v>
                </pt>
                <pt idx="63">
                  <v>0.8346846016164379</v>
                </pt>
                <pt idx="64">
                  <v>0.6133984536650869</v>
                </pt>
                <pt idx="65">
                  <v>0.7378100322386865</v>
                </pt>
                <pt idx="66">
                  <v>0.685499494870618</v>
                </pt>
                <pt idx="67">
                  <v>0.7151267621934952</v>
                </pt>
                <pt idx="68">
                  <v>0.636525223039573</v>
                </pt>
                <pt idx="69">
                  <v>0.7617518807592967</v>
                </pt>
                <pt idx="70">
                  <v>1.017494003861172</v>
                </pt>
                <pt idx="71">
                  <v>1.002567416041121</v>
                </pt>
                <pt idx="72">
                  <v>1.135032584901597</v>
                </pt>
                <pt idx="73">
                  <v>0.9341166514187298</v>
                </pt>
                <pt idx="74">
                  <v>0.6857908168802248</v>
                </pt>
                <pt idx="75">
                  <v>0.609953535618325</v>
                </pt>
                <pt idx="76">
                  <v>0.6237511742318941</v>
                </pt>
                <pt idx="77">
                  <v>0.569764321286333</v>
                </pt>
                <pt idx="78">
                  <v>0.7405896710838001</v>
                </pt>
                <pt idx="79">
                  <v>0.6499711234459455</v>
                </pt>
                <pt idx="80">
                  <v>0.6827347489865859</v>
                </pt>
                <pt idx="81">
                  <v>0.9470151719348058</v>
                </pt>
                <pt idx="82">
                  <v>1.028976430956097</v>
                </pt>
                <pt idx="83">
                  <v>0.9820538861792604</v>
                </pt>
              </numCache>
            </numRef>
          </val>
          <smooth val="1"/>
        </ser>
        <ser>
          <idx val="1"/>
          <order val="1"/>
          <tx>
            <strRef>
              <f>'Capture Price Inputs'!$K$1</f>
              <strCache>
                <ptCount val="1"/>
                <pt idx="0">
                  <v>DK2 CPR — Robustness</v>
                </pt>
              </strCache>
            </strRef>
          </tx>
          <spPr>
            <a:ln xmlns:a="http://schemas.openxmlformats.org/drawingml/2006/main">
              <a:solidFill>
                <a:srgbClr val="9DC3E6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val>
            <numRef>
              <f>'Capture Price Inputs'!$K$2:$K$85</f>
              <numCache>
                <formatCode>General</formatCode>
                <ptCount val="84"/>
                <pt idx="12">
                  <v>1.090446324793763</v>
                </pt>
                <pt idx="13">
                  <v>1.251821301318464</v>
                </pt>
                <pt idx="14">
                  <v>0.8552077585127711</v>
                </pt>
                <pt idx="15">
                  <v>0.763620235478716</v>
                </pt>
                <pt idx="16">
                  <v>0.9763693823354528</v>
                </pt>
                <pt idx="17">
                  <v>1.180647007173951</v>
                </pt>
                <pt idx="18">
                  <v>1.021791049952987</v>
                </pt>
                <pt idx="19">
                  <v>1.077948442472481</v>
                </pt>
                <pt idx="20">
                  <v>1.059189092335807</v>
                </pt>
                <pt idx="21">
                  <v>1.247549053102559</v>
                </pt>
                <pt idx="22">
                  <v>1.057080411727209</v>
                </pt>
                <pt idx="23">
                  <v>1.125691191699302</v>
                </pt>
                <pt idx="24">
                  <v>1.122164979814525</v>
                </pt>
                <pt idx="25">
                  <v>0.9585139857498034</v>
                </pt>
                <pt idx="26">
                  <v>1.014774172650395</v>
                </pt>
                <pt idx="27">
                  <v>0.9590164366476613</v>
                </pt>
                <pt idx="28">
                  <v>0.9103388736117121</v>
                </pt>
                <pt idx="29">
                  <v>0.9440449187481634</v>
                </pt>
                <pt idx="30">
                  <v>0.9569285690465077</v>
                </pt>
                <pt idx="31">
                  <v>1.001768528067071</v>
                </pt>
                <pt idx="32">
                  <v>0.9583833699094481</v>
                </pt>
                <pt idx="33">
                  <v>1.144501265847132</v>
                </pt>
                <pt idx="34">
                  <v>1.126460857141801</v>
                </pt>
                <pt idx="35">
                  <v>1.279578427053047</v>
                </pt>
                <pt idx="36">
                  <v>1.161754652341282</v>
                </pt>
                <pt idx="37">
                  <v>1.084871924613185</v>
                </pt>
                <pt idx="38">
                  <v>0.8162958275837114</v>
                </pt>
                <pt idx="39">
                  <v>0.9391804877392103</v>
                </pt>
                <pt idx="40">
                  <v>0.8991456314331195</v>
                </pt>
                <pt idx="41">
                  <v>0.9015136745747578</v>
                </pt>
                <pt idx="42">
                  <v>0.909562444967756</v>
                </pt>
                <pt idx="43">
                  <v>0.8830756108422062</v>
                </pt>
                <pt idx="44">
                  <v>0.9608536982958826</v>
                </pt>
                <pt idx="45">
                  <v>0.8774354195736861</v>
                </pt>
                <pt idx="46">
                  <v>0.9240447439178995</v>
                </pt>
                <pt idx="47">
                  <v>1.218528056069729</v>
                </pt>
                <pt idx="48">
                  <v>1.21186632363043</v>
                </pt>
                <pt idx="49">
                  <v>1.024478122815962</v>
                </pt>
                <pt idx="50">
                  <v>0.992236312197012</v>
                </pt>
                <pt idx="51">
                  <v>0.8502587347820391</v>
                </pt>
                <pt idx="52">
                  <v>0.7310174827054021</v>
                </pt>
                <pt idx="53">
                  <v>0.7860381991736552</v>
                </pt>
                <pt idx="54">
                  <v>0.7717034871247128</v>
                </pt>
                <pt idx="55">
                  <v>0.8454610410569836</v>
                </pt>
                <pt idx="56">
                  <v>0.7532917330845335</v>
                </pt>
                <pt idx="57">
                  <v>0.837234490334641</v>
                </pt>
                <pt idx="58">
                  <v>1.038705241708771</v>
                </pt>
                <pt idx="59">
                  <v>0.8332670757562848</v>
                </pt>
                <pt idx="60">
                  <v>0.977144875107929</v>
                </pt>
                <pt idx="61">
                  <v>0.9399172603334611</v>
                </pt>
                <pt idx="62">
                  <v>0.8314293202728863</v>
                </pt>
                <pt idx="63">
                  <v>0.7780510745637418</v>
                </pt>
                <pt idx="64">
                  <v>0.5900556342707577</v>
                </pt>
                <pt idx="65">
                  <v>0.6943958569114143</v>
                </pt>
                <pt idx="66">
                  <v>0.6176283845394642</v>
                </pt>
                <pt idx="67">
                  <v>0.6493471479229646</v>
                </pt>
                <pt idx="68">
                  <v>0.6157480113547513</v>
                </pt>
                <pt idx="69">
                  <v>0.7800073506793195</v>
                </pt>
                <pt idx="70">
                  <v>0.9404779955101509</v>
                </pt>
                <pt idx="71">
                  <v>1.087006718547946</v>
                </pt>
                <pt idx="72">
                  <v>1.149400364807902</v>
                </pt>
                <pt idx="73">
                  <v>0.9066238427133391</v>
                </pt>
                <pt idx="74">
                  <v>0.603741164715803</v>
                </pt>
                <pt idx="75">
                  <v>0.5517436798810373</v>
                </pt>
                <pt idx="76">
                  <v>0.544059463307295</v>
                </pt>
                <pt idx="77">
                  <v>0.4307606652121766</v>
                </pt>
                <pt idx="78">
                  <v>0.7474634186196619</v>
                </pt>
                <pt idx="79">
                  <v>0.5717894234335987</v>
                </pt>
                <pt idx="80">
                  <v>0.635731600833678</v>
                </pt>
                <pt idx="81">
                  <v>0.9548084008156305</v>
                </pt>
                <pt idx="82">
                  <v>0.9892725129496999</v>
                </pt>
                <pt idx="83">
                  <v>0.9701479625359415</v>
                </pt>
              </numCache>
            </numRef>
          </val>
          <smooth val="1"/>
        </ser>
        <dLbls>
          <showLegendKey val="0"/>
          <showVal val="0"/>
          <showCatName val="0"/>
          <showSerName val="0"/>
          <showPercent val="0"/>
          <showBubbleSize val="0"/>
        </dLbls>
        <smooth val="0"/>
        <axId val="10"/>
        <axId val="100"/>
      </lineChart>
      <catAx>
        <axId val="10"/>
        <scaling>
          <orientation val="minMax"/>
        </scaling>
        <delete val="1"/>
        <axPos val="b"/>
        <title>
          <tx>
            <rich>
              <a:bodyPr xmlns:a="http://schemas.openxmlformats.org/drawingml/2006/main"/>
              <a:lstStyle xmlns:a="http://schemas.openxmlformats.org/drawingml/2006/main"/>
              <a:p xmlns:a="http://schemas.openxmlformats.org/drawingml/2006/main">
                <a:pPr>
                  <a:defRPr/>
                </a:pPr>
                <a:r>
                  <a:rPr lang="en-GB"/>
                  <a:t>Month</a:t>
                </a:r>
              </a:p>
            </rich>
          </tx>
          <overlay val="1"/>
        </title>
        <majorTickMark val="none"/>
        <minorTickMark val="none"/>
        <tickLblPos val="nextTo"/>
        <crossAx val="100"/>
        <crosses val="autoZero"/>
        <auto val="1"/>
        <lblAlgn val="ctr"/>
        <lblOffset val="100"/>
        <noMultiLvlLbl val="1"/>
      </catAx>
      <valAx>
        <axId val="100"/>
        <scaling>
          <orientation val="minMax"/>
        </scaling>
        <delete val="1"/>
        <axPos val="l"/>
        <majorGridlines/>
        <title>
          <tx>
            <rich>
              <a:bodyPr xmlns:a="http://schemas.openxmlformats.org/drawingml/2006/main"/>
              <a:lstStyle xmlns:a="http://schemas.openxmlformats.org/drawingml/2006/main"/>
              <a:p xmlns:a="http://schemas.openxmlformats.org/drawingml/2006/main">
                <a:pPr>
                  <a:defRPr/>
                </a:pPr>
                <a:r>
                  <a:rPr lang="en-GB"/>
                  <a:t>CPR</a:t>
                </a:r>
              </a:p>
            </rich>
          </tx>
          <overlay val="1"/>
        </title>
        <numFmt formatCode="General" sourceLinked="1"/>
        <majorTickMark val="none"/>
        <minorTickMark val="none"/>
        <tickLblPos val="nextTo"/>
        <crossAx val="10"/>
        <crosses val="autoZero"/>
        <crossBetween val="between"/>
      </valAx>
    </plotArea>
    <legend>
      <legendPos val="r"/>
      <overlay val="1"/>
    </legend>
    <plotVisOnly val="1"/>
    <dispBlanksAs val="gap"/>
  </chart>
</chartSpace>
</file>

<file path=xl/charts/chart120.xml><?xml version="1.0" encoding="utf-8"?>
<chartSpace xmlns="http://schemas.openxmlformats.org/drawingml/2006/chart">
  <chart>
    <title>
      <tx>
        <rich>
          <a:bodyPr xmlns:a="http://schemas.openxmlformats.org/drawingml/2006/main"/>
          <a:lstStyle xmlns:a="http://schemas.openxmlformats.org/drawingml/2006/main"/>
          <a:p xmlns:a="http://schemas.openxmlformats.org/drawingml/2006/main">
            <a:pPr>
              <a:defRPr/>
            </a:pPr>
            <a:r>
              <a:rPr lang="en-GB"/>
              <a:t>Solar Penetration - DK1 Primary | DK2 Robustness</a:t>
            </a:r>
          </a:p>
        </rich>
      </tx>
      <overlay val="1"/>
    </title>
    <plotArea>
      <layout/>
      <lineChart>
        <grouping val="standard"/>
        <varyColors val="1"/>
        <ser>
          <idx val="0"/>
          <order val="0"/>
          <tx>
            <strRef>
              <f>'Capture Price Inputs'!$F$1</f>
              <strCache>
                <ptCount val="1"/>
                <pt idx="0">
                  <v>DK1 Solar Penetration (%) — Primary</v>
                </pt>
              </strCache>
            </strRef>
          </tx>
          <spPr>
            <a:ln xmlns:a="http://schemas.openxmlformats.org/drawingml/2006/main">
              <a:solidFill>
                <a:srgbClr val="FF8C00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val>
            <numRef>
              <f>'Capture Price Inputs'!$F$2:$F$85</f>
              <numCache>
                <formatCode>General</formatCode>
                <ptCount val="84"/>
                <pt idx="0">
                  <v>0</v>
                </pt>
                <pt idx="1">
                  <v>0</v>
                </pt>
                <pt idx="2">
                  <v>0</v>
                </pt>
                <pt idx="3">
                  <v>0</v>
                </pt>
                <pt idx="4">
                  <v>0</v>
                </pt>
                <pt idx="5">
                  <v>0</v>
                </pt>
                <pt idx="6">
                  <v>0</v>
                </pt>
                <pt idx="7">
                  <v>0</v>
                </pt>
                <pt idx="8">
                  <v>0</v>
                </pt>
                <pt idx="9">
                  <v>0</v>
                </pt>
                <pt idx="10">
                  <v>0</v>
                </pt>
                <pt idx="11">
                  <v>0</v>
                </pt>
                <pt idx="12">
                  <v>0.002264447892629483</v>
                </pt>
                <pt idx="13">
                  <v>0.005247452024482245</v>
                </pt>
                <pt idx="14">
                  <v>0.02020167759412729</v>
                </pt>
                <pt idx="15">
                  <v>0.0324279896123047</v>
                </pt>
                <pt idx="16">
                  <v>0.03608008723790357</v>
                </pt>
                <pt idx="17">
                  <v>0.03741361883164089</v>
                </pt>
                <pt idx="18">
                  <v>0.03399843385950392</v>
                </pt>
                <pt idx="19">
                  <v>0.03422476314253766</v>
                </pt>
                <pt idx="20">
                  <v>0.02433015193915724</v>
                </pt>
                <pt idx="21">
                  <v>0.01149038754944678</v>
                </pt>
                <pt idx="22">
                  <v>0.0001521101274151999</v>
                </pt>
                <pt idx="23">
                  <v>1.472410662127807e-05</v>
                </pt>
                <pt idx="24">
                  <v>0.003631355999035091</v>
                </pt>
                <pt idx="25">
                  <v>0.0108689417180573</v>
                </pt>
                <pt idx="26">
                  <v>0.02238230390737163</v>
                </pt>
                <pt idx="27">
                  <v>0.04212837115783985</v>
                </pt>
                <pt idx="28">
                  <v>0.03307505221196035</v>
                </pt>
                <pt idx="29">
                  <v>0.04984166182181952</v>
                </pt>
                <pt idx="30">
                  <v>0.0485715434854639</v>
                </pt>
                <pt idx="31">
                  <v>0.0388769479447087</v>
                </pt>
                <pt idx="32">
                  <v>0.02593285017943629</v>
                </pt>
                <pt idx="33">
                  <v>0.01746009643148906</v>
                </pt>
                <pt idx="34">
                  <v>0.007029306005813504</v>
                </pt>
                <pt idx="35">
                  <v>0.003243365391886713</v>
                </pt>
                <pt idx="36">
                  <v>0.006675315547248087</v>
                </pt>
                <pt idx="37">
                  <v>0.0173995712330029</v>
                </pt>
                <pt idx="38">
                  <v>0.06195507058644287</v>
                </pt>
                <pt idx="39">
                  <v>0.08404056603836467</v>
                </pt>
                <pt idx="40">
                  <v>0.09687689142031611</v>
                </pt>
                <pt idx="41">
                  <v>0.09496202074431148</v>
                </pt>
                <pt idx="42">
                  <v>0.09963556652585577</v>
                </pt>
                <pt idx="43">
                  <v>0.08962697832526678</v>
                </pt>
                <pt idx="44">
                  <v>0.06604649859170474</v>
                </pt>
                <pt idx="45">
                  <v>0.03746941447765471</v>
                </pt>
                <pt idx="46">
                  <v>0.01046932675470221</v>
                </pt>
                <pt idx="47">
                  <v>0.006229164645196865</v>
                </pt>
                <pt idx="48">
                  <v>0.01246069427686292</v>
                </pt>
                <pt idx="49">
                  <v>0.03437640419176364</v>
                </pt>
                <pt idx="50">
                  <v>0.05647796857705859</v>
                </pt>
                <pt idx="51">
                  <v>0.1509467292684683</v>
                </pt>
                <pt idx="52">
                  <v>0.18600333743842</v>
                </pt>
                <pt idx="53">
                  <v>0.218925737129461</v>
                </pt>
                <pt idx="54">
                  <v>0.1892952405634502</v>
                </pt>
                <pt idx="55">
                  <v>0.1493297980639493</v>
                </pt>
                <pt idx="56">
                  <v>0.1319165438654872</v>
                </pt>
                <pt idx="57">
                  <v>0.0428648864567301</v>
                </pt>
                <pt idx="58">
                  <v>0.01600349353715238</v>
                </pt>
                <pt idx="59">
                  <v>0.006390504672696534</v>
                </pt>
                <pt idx="60">
                  <v>0.01341718605060752</v>
                </pt>
                <pt idx="61">
                  <v>0.0264362238379265</v>
                </pt>
                <pt idx="62">
                  <v>0.06623397340035048</v>
                </pt>
                <pt idx="63">
                  <v>0.1084169878649764</v>
                </pt>
                <pt idx="64">
                  <v>0.1888703164988005</v>
                </pt>
                <pt idx="65">
                  <v>0.1715230569234828</v>
                </pt>
                <pt idx="66">
                  <v>0.1809062055635286</v>
                </pt>
                <pt idx="67">
                  <v>0.155121531117258</v>
                </pt>
                <pt idx="68">
                  <v>0.1275567235314205</v>
                </pt>
                <pt idx="69">
                  <v>0.06287376784741511</v>
                </pt>
                <pt idx="70">
                  <v>0.01780902737610289</v>
                </pt>
                <pt idx="71">
                  <v>0.006785797568345668</v>
                </pt>
                <pt idx="72">
                  <v>0.01366055484422285</v>
                </pt>
                <pt idx="73">
                  <v>0.04341993481717769</v>
                </pt>
                <pt idx="74">
                  <v>0.1120694547038418</v>
                </pt>
                <pt idx="75">
                  <v>0.1482754875605271</v>
                </pt>
                <pt idx="76">
                  <v>0.1924446817596716</v>
                </pt>
                <pt idx="77">
                  <v>0.1878482923852328</v>
                </pt>
                <pt idx="78">
                  <v>0.2182818884824121</v>
                </pt>
                <pt idx="79">
                  <v>0.1901168401280812</v>
                </pt>
                <pt idx="80">
                  <v>0.1381615272451792</v>
                </pt>
                <pt idx="81">
                  <v>0.06946207120205163</v>
                </pt>
                <pt idx="82">
                  <v>0.02660497040214753</v>
                </pt>
                <pt idx="83">
                  <v>0.0140253486520015</v>
                </pt>
              </numCache>
            </numRef>
          </val>
          <smooth val="1"/>
        </ser>
        <ser>
          <idx val="1"/>
          <order val="1"/>
          <tx>
            <strRef>
              <f>'Capture Price Inputs'!$G$1</f>
              <strCache>
                <ptCount val="1"/>
                <pt idx="0">
                  <v>DK2 Solar Penetration (%) — Robustness</v>
                </pt>
              </strCache>
            </strRef>
          </tx>
          <spPr>
            <a:ln xmlns:a="http://schemas.openxmlformats.org/drawingml/2006/main">
              <a:solidFill>
                <a:srgbClr val="FFD700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val>
            <numRef>
              <f>'Capture Price Inputs'!$G$2:$G$85</f>
              <numCache>
                <formatCode>General</formatCode>
                <ptCount val="84"/>
                <pt idx="0">
                  <v>0</v>
                </pt>
                <pt idx="1">
                  <v>0</v>
                </pt>
                <pt idx="2">
                  <v>0</v>
                </pt>
                <pt idx="3">
                  <v>0</v>
                </pt>
                <pt idx="4">
                  <v>0</v>
                </pt>
                <pt idx="5">
                  <v>0</v>
                </pt>
                <pt idx="6">
                  <v>0</v>
                </pt>
                <pt idx="7">
                  <v>0</v>
                </pt>
                <pt idx="8">
                  <v>0</v>
                </pt>
                <pt idx="9">
                  <v>0</v>
                </pt>
                <pt idx="10">
                  <v>0</v>
                </pt>
                <pt idx="11">
                  <v>0</v>
                </pt>
                <pt idx="12">
                  <v>0.001864323044087839</v>
                </pt>
                <pt idx="13">
                  <v>0.004961339344807235</v>
                </pt>
                <pt idx="14">
                  <v>0.01532033335337761</v>
                </pt>
                <pt idx="15">
                  <v>0.02618059513454593</v>
                </pt>
                <pt idx="16">
                  <v>0.03224093077416624</v>
                </pt>
                <pt idx="17">
                  <v>0.03065181208815584</v>
                </pt>
                <pt idx="18">
                  <v>0.02998206800974695</v>
                </pt>
                <pt idx="19">
                  <v>0.02803471341430708</v>
                </pt>
                <pt idx="20">
                  <v>0.02173647910159525</v>
                </pt>
                <pt idx="21">
                  <v>0.01107911770574695</v>
                </pt>
                <pt idx="22">
                  <v>0.0001104461157833284</v>
                </pt>
                <pt idx="23">
                  <v>5.635243358406259e-06</v>
                </pt>
                <pt idx="24">
                  <v>0.003104474131982996</v>
                </pt>
                <pt idx="25">
                  <v>0.009248336948772359</v>
                </pt>
                <pt idx="26">
                  <v>0.01847451704521283</v>
                </pt>
                <pt idx="27">
                  <v>0.03269440748331279</v>
                </pt>
                <pt idx="28">
                  <v>0.03294582929454019</v>
                </pt>
                <pt idx="29">
                  <v>0.04448013314005607</v>
                </pt>
                <pt idx="30">
                  <v>0.03704954253730217</v>
                </pt>
                <pt idx="31">
                  <v>0.03185776883426199</v>
                </pt>
                <pt idx="32">
                  <v>0.0223981137027396</v>
                </pt>
                <pt idx="33">
                  <v>0.01267326343754744</v>
                </pt>
                <pt idx="34">
                  <v>0.004013281085791027</v>
                </pt>
                <pt idx="35">
                  <v>0.001822629583826099</v>
                </pt>
                <pt idx="36">
                  <v>0.004939556742877535</v>
                </pt>
                <pt idx="37">
                  <v>0.01324848558669828</v>
                </pt>
                <pt idx="38">
                  <v>0.03408933034912105</v>
                </pt>
                <pt idx="39">
                  <v>0.05525443609957865</v>
                </pt>
                <pt idx="40">
                  <v>0.06581145996085939</v>
                </pt>
                <pt idx="41">
                  <v>0.06452822904586782</v>
                </pt>
                <pt idx="42">
                  <v>0.06702580380195292</v>
                </pt>
                <pt idx="43">
                  <v>0.06129992439719582</v>
                </pt>
                <pt idx="44">
                  <v>0.04578427610350702</v>
                </pt>
                <pt idx="45">
                  <v>0.0298090580270354</v>
                </pt>
                <pt idx="46">
                  <v>0.007865295261900549</v>
                </pt>
                <pt idx="47">
                  <v>0.004532355552973548</v>
                </pt>
                <pt idx="48">
                  <v>0.005862652723136608</v>
                </pt>
                <pt idx="49">
                  <v>0.01887764841837355</v>
                </pt>
                <pt idx="50">
                  <v>0.03709622939200571</v>
                </pt>
                <pt idx="51">
                  <v>0.08026996603382495</v>
                </pt>
                <pt idx="52">
                  <v>0.1080032082802261</v>
                </pt>
                <pt idx="53">
                  <v>0.1144244665352921</v>
                </pt>
                <pt idx="54">
                  <v>0.1020307450715976</v>
                </pt>
                <pt idx="55">
                  <v>0.07793101053296771</v>
                </pt>
                <pt idx="56">
                  <v>0.08090995463931874</v>
                </pt>
                <pt idx="57">
                  <v>0.02917234021559438</v>
                </pt>
                <pt idx="58">
                  <v>0.0104098691216888</v>
                </pt>
                <pt idx="59">
                  <v>0.003809030164374855</v>
                </pt>
                <pt idx="60">
                  <v>0.006178183072975508</v>
                </pt>
                <pt idx="61">
                  <v>0.01667231366864759</v>
                </pt>
                <pt idx="62">
                  <v>0.04111280636733766</v>
                </pt>
                <pt idx="63">
                  <v>0.06512337874480645</v>
                </pt>
                <pt idx="64">
                  <v>0.106315341440858</v>
                </pt>
                <pt idx="65">
                  <v>0.1072729076610999</v>
                </pt>
                <pt idx="66">
                  <v>0.1057942634887733</v>
                </pt>
                <pt idx="67">
                  <v>0.0936908322687052</v>
                </pt>
                <pt idx="68">
                  <v>0.07246320282040017</v>
                </pt>
                <pt idx="69">
                  <v>0.03614525389237988</v>
                </pt>
                <pt idx="70">
                  <v>0.008602841405423608</v>
                </pt>
                <pt idx="71">
                  <v>0.004171468465776758</v>
                </pt>
                <pt idx="72">
                  <v>0.007223240212576967</v>
                </pt>
                <pt idx="73">
                  <v>0.02010831138567791</v>
                </pt>
                <pt idx="74">
                  <v>0.04654786644745259</v>
                </pt>
                <pt idx="75">
                  <v>0.07168978364906199</v>
                </pt>
                <pt idx="76">
                  <v>0.09471412725623395</v>
                </pt>
                <pt idx="77">
                  <v>0.09982625001551076</v>
                </pt>
                <pt idx="78">
                  <v>0.09399641941869914</v>
                </pt>
                <pt idx="79">
                  <v>0.1057378118957395</v>
                </pt>
                <pt idx="80">
                  <v>0.09062887968652376</v>
                </pt>
                <pt idx="81">
                  <v>0.03957312567862663</v>
                </pt>
                <pt idx="82">
                  <v>0.01454364344794783</v>
                </pt>
                <pt idx="83">
                  <v>0.00906949116088333</v>
                </pt>
              </numCache>
            </numRef>
          </val>
          <smooth val="1"/>
        </ser>
        <dLbls>
          <showLegendKey val="0"/>
          <showVal val="0"/>
          <showCatName val="0"/>
          <showSerName val="0"/>
          <showPercent val="0"/>
          <showBubbleSize val="0"/>
        </dLbls>
        <smooth val="0"/>
        <axId val="10"/>
        <axId val="100"/>
      </lineChart>
      <catAx>
        <axId val="10"/>
        <scaling>
          <orientation val="minMax"/>
        </scaling>
        <delete val="1"/>
        <axPos val="b"/>
        <title>
          <tx>
            <rich>
              <a:bodyPr xmlns:a="http://schemas.openxmlformats.org/drawingml/2006/main"/>
              <a:lstStyle xmlns:a="http://schemas.openxmlformats.org/drawingml/2006/main"/>
              <a:p xmlns:a="http://schemas.openxmlformats.org/drawingml/2006/main">
                <a:pPr>
                  <a:defRPr/>
                </a:pPr>
                <a:r>
                  <a:rPr lang="en-GB"/>
                  <a:t>Month</a:t>
                </a:r>
              </a:p>
            </rich>
          </tx>
          <overlay val="1"/>
        </title>
        <majorTickMark val="none"/>
        <minorTickMark val="none"/>
        <tickLblPos val="nextTo"/>
        <crossAx val="100"/>
        <crosses val="autoZero"/>
        <auto val="1"/>
        <lblAlgn val="ctr"/>
        <lblOffset val="100"/>
        <noMultiLvlLbl val="1"/>
      </catAx>
      <valAx>
        <axId val="100"/>
        <scaling>
          <orientation val="minMax"/>
        </scaling>
        <delete val="1"/>
        <axPos val="l"/>
        <majorGridlines/>
        <title>
          <tx>
            <rich>
              <a:bodyPr xmlns:a="http://schemas.openxmlformats.org/drawingml/2006/main"/>
              <a:lstStyle xmlns:a="http://schemas.openxmlformats.org/drawingml/2006/main"/>
              <a:p xmlns:a="http://schemas.openxmlformats.org/drawingml/2006/main">
                <a:pPr>
                  <a:defRPr/>
                </a:pPr>
                <a:r>
                  <a:rPr lang="en-GB"/>
                  <a:t>Solar Penetration (%)</a:t>
                </a:r>
              </a:p>
            </rich>
          </tx>
          <overlay val="1"/>
        </title>
        <numFmt formatCode="General" sourceLinked="1"/>
        <majorTickMark val="none"/>
        <minorTickMark val="none"/>
        <tickLblPos val="nextTo"/>
        <crossAx val="10"/>
        <crosses val="autoZero"/>
        <crossBetween val="between"/>
      </valAx>
    </plotArea>
    <legend>
      <legendPos val="r"/>
      <overlay val="1"/>
    </legend>
    <plotVisOnly val="1"/>
    <dispBlanksAs val="gap"/>
  </chart>
</chartSpace>
</file>

<file path=xl/charts/chart121.xml><?xml version="1.0" encoding="utf-8"?>
<chartSpace xmlns="http://schemas.openxmlformats.org/drawingml/2006/chart">
  <chart>
    <title>
      <tx>
        <rich>
          <a:bodyPr xmlns:a="http://schemas.openxmlformats.org/drawingml/2006/main"/>
          <a:lstStyle xmlns:a="http://schemas.openxmlformats.org/drawingml/2006/main"/>
          <a:p xmlns:a="http://schemas.openxmlformats.org/drawingml/2006/main">
            <a:pPr>
              <a:defRPr/>
            </a:pPr>
            <a:r>
              <a:rPr lang="en-GB"/>
              <a:t>Capture Price - DK1 Primary | DK2 Robustness</a:t>
            </a:r>
          </a:p>
        </rich>
      </tx>
      <overlay val="1"/>
    </title>
    <plotArea>
      <layout/>
      <lineChart>
        <grouping val="standard"/>
        <varyColors val="1"/>
        <ser>
          <idx val="0"/>
          <order val="0"/>
          <tx>
            <strRef>
              <f>'Capture Price Inputs'!$H$1</f>
              <strCache>
                <ptCount val="1"/>
                <pt idx="0">
                  <v>DK1 Capture Price (EUR/MWh) — Primary</v>
                </pt>
              </strCache>
            </strRef>
          </tx>
          <spPr>
            <a:ln xmlns:a="http://schemas.openxmlformats.org/drawingml/2006/main">
              <a:solidFill>
                <a:srgbClr val="2E75B6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val>
            <numRef>
              <f>'Capture Price Inputs'!$H$2:$H$85</f>
              <numCache>
                <formatCode>General</formatCode>
                <ptCount val="84"/>
                <pt idx="12">
                  <v>25.22320957280251</v>
                </pt>
                <pt idx="13">
                  <v>22.83581899109792</v>
                </pt>
                <pt idx="14">
                  <v>15.94107348554973</v>
                </pt>
                <pt idx="15">
                  <v>10.36487590420421</v>
                </pt>
                <pt idx="16">
                  <v>15.478548945086</v>
                </pt>
                <pt idx="17">
                  <v>27.31330822786869</v>
                </pt>
                <pt idx="18">
                  <v>24.83174517810916</v>
                </pt>
                <pt idx="19">
                  <v>33.87691542204785</v>
                </pt>
                <pt idx="20">
                  <v>38.93597900337959</v>
                </pt>
                <pt idx="21">
                  <v>31.92774153305919</v>
                </pt>
                <pt idx="22">
                  <v>26.00599326599326</v>
                </pt>
                <pt idx="23">
                  <v>34.79516129032258</v>
                </pt>
                <pt idx="24">
                  <v>55.42296760727792</v>
                </pt>
                <pt idx="25">
                  <v>47.54261097914259</v>
                </pt>
                <pt idx="26">
                  <v>44.55070091580549</v>
                </pt>
                <pt idx="27">
                  <v>43.594739828473</v>
                </pt>
                <pt idx="28">
                  <v>47.65587057500122</v>
                </pt>
                <pt idx="29">
                  <v>70.54354791111106</v>
                </pt>
                <pt idx="30">
                  <v>78.56831974775861</v>
                </pt>
                <pt idx="31">
                  <v>81.98335113640179</v>
                </pt>
                <pt idx="32">
                  <v>116.2002249554484</v>
                </pt>
                <pt idx="33">
                  <v>126.5303952032395</v>
                </pt>
                <pt idx="34">
                  <v>160.7705833010295</v>
                </pt>
                <pt idx="35">
                  <v>228.8621705579358</v>
                </pt>
                <pt idx="36">
                  <v>123.2012506791719</v>
                </pt>
                <pt idx="37">
                  <v>117.67077903546</v>
                </pt>
                <pt idx="38">
                  <v>191.508071735067</v>
                </pt>
                <pt idx="39">
                  <v>145.7013871592604</v>
                </pt>
                <pt idx="40">
                  <v>149.4185612445558</v>
                </pt>
                <pt idx="41">
                  <v>194.7110340948198</v>
                </pt>
                <pt idx="42">
                  <v>239.3981525107354</v>
                </pt>
                <pt idx="43">
                  <v>419.792637226606</v>
                </pt>
                <pt idx="44">
                  <v>310.7073992726671</v>
                </pt>
                <pt idx="45">
                  <v>125.6295598680838</v>
                </pt>
                <pt idx="46">
                  <v>131.7111886265582</v>
                </pt>
                <pt idx="47">
                  <v>282.8237937420726</v>
                </pt>
                <pt idx="48">
                  <v>138.5299886842633</v>
                </pt>
                <pt idx="49">
                  <v>109.8769757213503</v>
                </pt>
                <pt idx="50">
                  <v>93.77419094069538</v>
                </pt>
                <pt idx="51">
                  <v>76.25042822265543</v>
                </pt>
                <pt idx="52">
                  <v>50.54348776008261</v>
                </pt>
                <pt idx="53">
                  <v>74.88898277621806</v>
                </pt>
                <pt idx="54">
                  <v>52.09559943846345</v>
                </pt>
                <pt idx="55">
                  <v>74.18042603997819</v>
                </pt>
                <pt idx="56">
                  <v>68.11686962339694</v>
                </pt>
                <pt idx="57">
                  <v>50.53909051970285</v>
                </pt>
                <pt idx="58">
                  <v>90.68080556242518</v>
                </pt>
                <pt idx="59">
                  <v>63.45532768878803</v>
                </pt>
                <pt idx="60">
                  <v>78.57131644167831</v>
                </pt>
                <pt idx="61">
                  <v>59.47948676805509</v>
                </pt>
                <pt idx="62">
                  <v>51.26978324155493</v>
                </pt>
                <pt idx="63">
                  <v>49.38394056201121</v>
                </pt>
                <pt idx="64">
                  <v>35.89414827140887</v>
                </pt>
                <pt idx="65">
                  <v>47.03763372739765</v>
                </pt>
                <pt idx="66">
                  <v>42.52177322309952</v>
                </pt>
                <pt idx="67">
                  <v>52.17121747504909</v>
                </pt>
                <pt idx="68">
                  <v>45.64750462621701</v>
                </pt>
                <pt idx="69">
                  <v>58.44158378709199</v>
                </pt>
                <pt idx="70">
                  <v>97.58235261633192</v>
                </pt>
                <pt idx="71">
                  <v>92.07321769383398</v>
                </pt>
                <pt idx="72">
                  <v>111.1945655985155</v>
                </pt>
                <pt idx="73">
                  <v>105.4131597378828</v>
                </pt>
                <pt idx="74">
                  <v>57.84566339627056</v>
                </pt>
                <pt idx="75">
                  <v>45.84439577068735</v>
                </pt>
                <pt idx="76">
                  <v>40.06566739400938</v>
                </pt>
                <pt idx="77">
                  <v>33.4933819651966</v>
                </pt>
                <pt idx="78">
                  <v>61.32224821093979</v>
                </pt>
                <pt idx="79">
                  <v>47.75582456745756</v>
                </pt>
                <pt idx="80">
                  <v>49.42909499605724</v>
                </pt>
                <pt idx="81">
                  <v>74.26663453789526</v>
                </pt>
                <pt idx="82">
                  <v>95.56453180252134</v>
                </pt>
                <pt idx="83">
                  <v>80.95803424278026</v>
                </pt>
              </numCache>
            </numRef>
          </val>
          <smooth val="1"/>
        </ser>
        <ser>
          <idx val="1"/>
          <order val="1"/>
          <tx>
            <strRef>
              <f>'Capture Price Inputs'!$I$1</f>
              <strCache>
                <ptCount val="1"/>
                <pt idx="0">
                  <v>DK2 Capture Price (EUR/MWh) — Robustness</v>
                </pt>
              </strCache>
            </strRef>
          </tx>
          <spPr>
            <a:ln xmlns:a="http://schemas.openxmlformats.org/drawingml/2006/main">
              <a:solidFill>
                <a:srgbClr val="9DC3E6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val>
            <numRef>
              <f>'Capture Price Inputs'!$I$2:$I$85</f>
              <numCache>
                <formatCode>General</formatCode>
                <ptCount val="84"/>
                <pt idx="12">
                  <v>29.86213642213642</v>
                </pt>
                <pt idx="13">
                  <v>23.55551782972189</v>
                </pt>
                <pt idx="14">
                  <v>17.14905069226102</v>
                </pt>
                <pt idx="15">
                  <v>13.25252312836708</v>
                </pt>
                <pt idx="16">
                  <v>18.59404938271605</v>
                </pt>
                <pt idx="17">
                  <v>35.21078005032583</v>
                </pt>
                <pt idx="18">
                  <v>26.450778046867</v>
                </pt>
                <pt idx="19">
                  <v>44.11376501540486</v>
                </pt>
                <pt idx="20">
                  <v>41.85304788087056</v>
                </pt>
                <pt idx="21">
                  <v>33.60087837290333</v>
                </pt>
                <pt idx="22">
                  <v>37.749765625</v>
                </pt>
                <pt idx="23">
                  <v>44.19142857142857</v>
                </pt>
                <pt idx="24">
                  <v>57.07213441008145</v>
                </pt>
                <pt idx="25">
                  <v>52.28508365452458</v>
                </pt>
                <pt idx="26">
                  <v>47.42264301189781</v>
                </pt>
                <pt idx="27">
                  <v>45.90136374824883</v>
                </pt>
                <pt idx="28">
                  <v>50.2587202314608</v>
                </pt>
                <pt idx="29">
                  <v>69.46934165377623</v>
                </pt>
                <pt idx="30">
                  <v>77.93311155139432</v>
                </pt>
                <pt idx="31">
                  <v>84.51274769025703</v>
                </pt>
                <pt idx="32">
                  <v>118.7457227855615</v>
                </pt>
                <pt idx="33">
                  <v>122.3841235967906</v>
                </pt>
                <pt idx="34">
                  <v>153.6267942781575</v>
                </pt>
                <pt idx="35">
                  <v>244.4872785976441</v>
                </pt>
                <pt idx="36">
                  <v>129.6774902315082</v>
                </pt>
                <pt idx="37">
                  <v>108.8033389925641</v>
                </pt>
                <pt idx="38">
                  <v>186.0504424586062</v>
                </pt>
                <pt idx="39">
                  <v>143.5375888642185</v>
                </pt>
                <pt idx="40">
                  <v>146.2536023446033</v>
                </pt>
                <pt idx="41">
                  <v>192.2325905808319</v>
                </pt>
                <pt idx="42">
                  <v>212.3625858003895</v>
                </pt>
                <pt idx="43">
                  <v>397.1798848597606</v>
                </pt>
                <pt idx="44">
                  <v>315.928842796779</v>
                </pt>
                <pt idx="45">
                  <v>120.1190076327392</v>
                </pt>
                <pt idx="46">
                  <v>134.0399027878758</v>
                </pt>
                <pt idx="47">
                  <v>303.2697848166857</v>
                </pt>
                <pt idx="48">
                  <v>120.8992864784306</v>
                </pt>
                <pt idx="49">
                  <v>103.112625406295</v>
                </pt>
                <pt idx="50">
                  <v>89.0984689216417</v>
                </pt>
                <pt idx="51">
                  <v>71.1250997055942</v>
                </pt>
                <pt idx="52">
                  <v>48.35808379645633</v>
                </pt>
                <pt idx="53">
                  <v>71.8620903722224</v>
                </pt>
                <pt idx="54">
                  <v>50.34596661709235</v>
                </pt>
                <pt idx="55">
                  <v>72.95799234798741</v>
                </pt>
                <pt idx="56">
                  <v>64.3944846724649</v>
                </pt>
                <pt idx="57">
                  <v>47.66025509428685</v>
                </pt>
                <pt idx="58">
                  <v>84.63997860526599</v>
                </pt>
                <pt idx="59">
                  <v>59.06174633307972</v>
                </pt>
                <pt idx="60">
                  <v>76.42720253521921</v>
                </pt>
                <pt idx="61">
                  <v>51.43437919654775</v>
                </pt>
                <pt idx="62">
                  <v>50.75116381305344</v>
                </pt>
                <pt idx="63">
                  <v>47.053967904828</v>
                </pt>
                <pt idx="64">
                  <v>34.29579411369289</v>
                </pt>
                <pt idx="65">
                  <v>46.37938403458337</v>
                </pt>
                <pt idx="66">
                  <v>38.81282196947117</v>
                </pt>
                <pt idx="67">
                  <v>47.15186311829253</v>
                </pt>
                <pt idx="68">
                  <v>43.35594635084219</v>
                </pt>
                <pt idx="69">
                  <v>59.53493763028656</v>
                </pt>
                <pt idx="70">
                  <v>89.61127747791728</v>
                </pt>
                <pt idx="71">
                  <v>100.7961313991171</v>
                </pt>
                <pt idx="72">
                  <v>115.0822593270056</v>
                </pt>
                <pt idx="73">
                  <v>106.9231820731682</v>
                </pt>
                <pt idx="74">
                  <v>50.01806296126875</v>
                </pt>
                <pt idx="75">
                  <v>41.82584156307518</v>
                </pt>
                <pt idx="76">
                  <v>34.32066034459122</v>
                </pt>
                <pt idx="77">
                  <v>24.31568572006325</v>
                </pt>
                <pt idx="78">
                  <v>59.76694388214769</v>
                </pt>
                <pt idx="79">
                  <v>43.06460478354486</v>
                </pt>
                <pt idx="80">
                  <v>52.94940515380836</v>
                </pt>
                <pt idx="81">
                  <v>78.64573032240668</v>
                </pt>
                <pt idx="82">
                  <v>92.69045487153267</v>
                </pt>
                <pt idx="83">
                  <v>79.63122802208366</v>
                </pt>
              </numCache>
            </numRef>
          </val>
          <smooth val="1"/>
        </ser>
        <dLbls>
          <showLegendKey val="0"/>
          <showVal val="0"/>
          <showCatName val="0"/>
          <showSerName val="0"/>
          <showPercent val="0"/>
          <showBubbleSize val="0"/>
        </dLbls>
        <smooth val="0"/>
        <axId val="10"/>
        <axId val="100"/>
      </lineChart>
      <catAx>
        <axId val="10"/>
        <scaling>
          <orientation val="minMax"/>
        </scaling>
        <delete val="1"/>
        <axPos val="b"/>
        <title>
          <tx>
            <rich>
              <a:bodyPr xmlns:a="http://schemas.openxmlformats.org/drawingml/2006/main"/>
              <a:lstStyle xmlns:a="http://schemas.openxmlformats.org/drawingml/2006/main"/>
              <a:p xmlns:a="http://schemas.openxmlformats.org/drawingml/2006/main">
                <a:pPr>
                  <a:defRPr/>
                </a:pPr>
                <a:r>
                  <a:rPr lang="en-GB"/>
                  <a:t>Month</a:t>
                </a:r>
              </a:p>
            </rich>
          </tx>
          <overlay val="1"/>
        </title>
        <majorTickMark val="none"/>
        <minorTickMark val="none"/>
        <tickLblPos val="nextTo"/>
        <crossAx val="100"/>
        <crosses val="autoZero"/>
        <auto val="1"/>
        <lblAlgn val="ctr"/>
        <lblOffset val="100"/>
        <noMultiLvlLbl val="1"/>
      </catAx>
      <valAx>
        <axId val="100"/>
        <scaling>
          <orientation val="minMax"/>
        </scaling>
        <delete val="1"/>
        <axPos val="l"/>
        <majorGridlines/>
        <title>
          <tx>
            <rich>
              <a:bodyPr xmlns:a="http://schemas.openxmlformats.org/drawingml/2006/main"/>
              <a:lstStyle xmlns:a="http://schemas.openxmlformats.org/drawingml/2006/main"/>
              <a:p xmlns:a="http://schemas.openxmlformats.org/drawingml/2006/main">
                <a:pPr>
                  <a:defRPr/>
                </a:pPr>
                <a:r>
                  <a:rPr lang="en-GB"/>
                  <a:t>EUR/MWh</a:t>
                </a:r>
              </a:p>
            </rich>
          </tx>
          <overlay val="1"/>
        </title>
        <numFmt formatCode="General" sourceLinked="1"/>
        <majorTickMark val="none"/>
        <minorTickMark val="none"/>
        <tickLblPos val="nextTo"/>
        <crossAx val="10"/>
        <crosses val="autoZero"/>
        <crossBetween val="between"/>
      </valAx>
    </plotArea>
    <legend>
      <legendPos val="r"/>
      <overlay val="1"/>
    </legend>
    <plotVisOnly val="1"/>
    <dispBlanksAs val="gap"/>
  </chart>
</chartSpace>
</file>

<file path=xl/charts/chart122.xml><?xml version="1.0" encoding="utf-8"?>
<chartSpace xmlns="http://schemas.openxmlformats.org/drawingml/2006/chart">
  <chart>
    <title>
      <tx>
        <rich>
          <a:bodyPr xmlns:a="http://schemas.openxmlformats.org/drawingml/2006/main"/>
          <a:lstStyle xmlns:a="http://schemas.openxmlformats.org/drawingml/2006/main"/>
          <a:p xmlns:a="http://schemas.openxmlformats.org/drawingml/2006/main">
            <a:pPr>
              <a:defRPr/>
            </a:pPr>
            <a:r>
              <a:rPr lang="en-GB"/>
              <a:t>Capture Price Ratio - DK1 Primary | DK2 Robustness</a:t>
            </a:r>
          </a:p>
        </rich>
      </tx>
      <overlay val="1"/>
    </title>
    <plotArea>
      <layout/>
      <lineChart>
        <grouping val="standard"/>
        <varyColors val="1"/>
        <ser>
          <idx val="0"/>
          <order val="0"/>
          <tx>
            <strRef>
              <f>'Capture Price Inputs'!$J$1</f>
              <strCache>
                <ptCount val="1"/>
                <pt idx="0">
                  <v>DK1 CPR — Primary</v>
                </pt>
              </strCache>
            </strRef>
          </tx>
          <spPr>
            <a:ln xmlns:a="http://schemas.openxmlformats.org/drawingml/2006/main">
              <a:solidFill>
                <a:srgbClr val="2E75B6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val>
            <numRef>
              <f>'Capture Price Inputs'!$J$2:$J$85</f>
              <numCache>
                <formatCode>General</formatCode>
                <ptCount val="84"/>
                <pt idx="12">
                  <v>1.009148659447442</v>
                </pt>
                <pt idx="13">
                  <v>1.298591168695051</v>
                </pt>
                <pt idx="14">
                  <v>0.8710146939215303</v>
                </pt>
                <pt idx="15">
                  <v>0.7131577255881921</v>
                </pt>
                <pt idx="16">
                  <v>0.9641557693120565</v>
                </pt>
                <pt idx="17">
                  <v>1.039466413731094</v>
                </pt>
                <pt idx="18">
                  <v>1.008618155660831</v>
                </pt>
                <pt idx="19">
                  <v>0.9808226440750074</v>
                </pt>
                <pt idx="20">
                  <v>1.010404486913005</v>
                </pt>
                <pt idx="21">
                  <v>1.236802226812374</v>
                </pt>
                <pt idx="22">
                  <v>1.094777917215692</v>
                </pt>
                <pt idx="23">
                  <v>1.008230164182662</v>
                </pt>
                <pt idx="24">
                  <v>1.103930861568265</v>
                </pt>
                <pt idx="25">
                  <v>1.005947927705425</v>
                </pt>
                <pt idx="26">
                  <v>0.9871758725122356</v>
                </pt>
                <pt idx="27">
                  <v>0.9088464745665017</v>
                </pt>
                <pt idx="28">
                  <v>0.8775180518715436</v>
                </pt>
                <pt idx="29">
                  <v>0.9569142795347317</v>
                </pt>
                <pt idx="30">
                  <v>0.9821132371596978</v>
                </pt>
                <pt idx="31">
                  <v>0.9902714780245057</v>
                </pt>
                <pt idx="32">
                  <v>0.9269044048361358</v>
                </pt>
                <pt idx="33">
                  <v>1.081088507413439</v>
                </pt>
                <pt idx="34">
                  <v>1.133803408504466</v>
                </pt>
                <pt idx="35">
                  <v>1.208676962454928</v>
                </pt>
                <pt idx="36">
                  <v>1.044125730427727</v>
                </pt>
                <pt idx="37">
                  <v>1.04022281700981</v>
                </pt>
                <pt idx="38">
                  <v>0.8120775904420741</v>
                </pt>
                <pt idx="39">
                  <v>0.8903913338467833</v>
                </pt>
                <pt idx="40">
                  <v>0.8694301605049858</v>
                </pt>
                <pt idx="41">
                  <v>0.9080390201234191</v>
                </pt>
                <pt idx="42">
                  <v>0.8704179159294955</v>
                </pt>
                <pt idx="43">
                  <v>0.9190855304670003</v>
                </pt>
                <pt idx="44">
                  <v>0.9063290180568312</v>
                </pt>
                <pt idx="45">
                  <v>0.9161232525396177</v>
                </pt>
                <pt idx="46">
                  <v>0.9427861207466001</v>
                </pt>
                <pt idx="47">
                  <v>1.132810339248927</v>
                </pt>
                <pt idx="48">
                  <v>1.230919869122654</v>
                </pt>
                <pt idx="49">
                  <v>0.93008781340266</v>
                </pt>
                <pt idx="50">
                  <v>0.9461253975959896</v>
                </pt>
                <pt idx="51">
                  <v>0.7920396612038634</v>
                </pt>
                <pt idx="52">
                  <v>0.6833361056151995</v>
                </pt>
                <pt idx="53">
                  <v>0.8096506208621567</v>
                </pt>
                <pt idx="54">
                  <v>0.8038042195326093</v>
                </pt>
                <pt idx="55">
                  <v>0.8628930977720407</v>
                </pt>
                <pt idx="56">
                  <v>0.8038389922187259</v>
                </pt>
                <pt idx="57">
                  <v>0.8408360556054226</v>
                </pt>
                <pt idx="58">
                  <v>1.028656893611996</v>
                </pt>
                <pt idx="59">
                  <v>0.9132560776287663</v>
                </pt>
                <pt idx="60">
                  <v>1.051614630458469</v>
                </pt>
                <pt idx="61">
                  <v>1.014420829179444</v>
                </pt>
                <pt idx="62">
                  <v>0.8373818542217274</v>
                </pt>
                <pt idx="63">
                  <v>0.8346846016164379</v>
                </pt>
                <pt idx="64">
                  <v>0.6133984536650869</v>
                </pt>
                <pt idx="65">
                  <v>0.7378100322386865</v>
                </pt>
                <pt idx="66">
                  <v>0.685499494870618</v>
                </pt>
                <pt idx="67">
                  <v>0.7151267621934952</v>
                </pt>
                <pt idx="68">
                  <v>0.636525223039573</v>
                </pt>
                <pt idx="69">
                  <v>0.7617518807592967</v>
                </pt>
                <pt idx="70">
                  <v>1.017494003861172</v>
                </pt>
                <pt idx="71">
                  <v>1.002567416041121</v>
                </pt>
                <pt idx="72">
                  <v>1.135032584901597</v>
                </pt>
                <pt idx="73">
                  <v>0.9341166514187298</v>
                </pt>
                <pt idx="74">
                  <v>0.6857908168802248</v>
                </pt>
                <pt idx="75">
                  <v>0.609953535618325</v>
                </pt>
                <pt idx="76">
                  <v>0.6237511742318941</v>
                </pt>
                <pt idx="77">
                  <v>0.569764321286333</v>
                </pt>
                <pt idx="78">
                  <v>0.7405896710838001</v>
                </pt>
                <pt idx="79">
                  <v>0.6499711234459455</v>
                </pt>
                <pt idx="80">
                  <v>0.6827347489865859</v>
                </pt>
                <pt idx="81">
                  <v>0.9470151719348058</v>
                </pt>
                <pt idx="82">
                  <v>1.028976430956097</v>
                </pt>
                <pt idx="83">
                  <v>0.9820538861792604</v>
                </pt>
              </numCache>
            </numRef>
          </val>
          <smooth val="1"/>
        </ser>
        <ser>
          <idx val="1"/>
          <order val="1"/>
          <tx>
            <strRef>
              <f>'Capture Price Inputs'!$K$1</f>
              <strCache>
                <ptCount val="1"/>
                <pt idx="0">
                  <v>DK2 CPR — Robustness</v>
                </pt>
              </strCache>
            </strRef>
          </tx>
          <spPr>
            <a:ln xmlns:a="http://schemas.openxmlformats.org/drawingml/2006/main">
              <a:solidFill>
                <a:srgbClr val="9DC3E6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val>
            <numRef>
              <f>'Capture Price Inputs'!$K$2:$K$85</f>
              <numCache>
                <formatCode>General</formatCode>
                <ptCount val="84"/>
                <pt idx="12">
                  <v>1.090446324793763</v>
                </pt>
                <pt idx="13">
                  <v>1.251821301318464</v>
                </pt>
                <pt idx="14">
                  <v>0.8552077585127711</v>
                </pt>
                <pt idx="15">
                  <v>0.763620235478716</v>
                </pt>
                <pt idx="16">
                  <v>0.9763693823354528</v>
                </pt>
                <pt idx="17">
                  <v>1.180647007173951</v>
                </pt>
                <pt idx="18">
                  <v>1.021791049952987</v>
                </pt>
                <pt idx="19">
                  <v>1.077948442472481</v>
                </pt>
                <pt idx="20">
                  <v>1.059189092335807</v>
                </pt>
                <pt idx="21">
                  <v>1.247549053102559</v>
                </pt>
                <pt idx="22">
                  <v>1.057080411727209</v>
                </pt>
                <pt idx="23">
                  <v>1.125691191699302</v>
                </pt>
                <pt idx="24">
                  <v>1.122164979814525</v>
                </pt>
                <pt idx="25">
                  <v>0.9585139857498034</v>
                </pt>
                <pt idx="26">
                  <v>1.014774172650395</v>
                </pt>
                <pt idx="27">
                  <v>0.9590164366476613</v>
                </pt>
                <pt idx="28">
                  <v>0.9103388736117121</v>
                </pt>
                <pt idx="29">
                  <v>0.9440449187481634</v>
                </pt>
                <pt idx="30">
                  <v>0.9569285690465077</v>
                </pt>
                <pt idx="31">
                  <v>1.001768528067071</v>
                </pt>
                <pt idx="32">
                  <v>0.9583833699094481</v>
                </pt>
                <pt idx="33">
                  <v>1.144501265847132</v>
                </pt>
                <pt idx="34">
                  <v>1.126460857141801</v>
                </pt>
                <pt idx="35">
                  <v>1.279578427053047</v>
                </pt>
                <pt idx="36">
                  <v>1.161754652341282</v>
                </pt>
                <pt idx="37">
                  <v>1.084871924613185</v>
                </pt>
                <pt idx="38">
                  <v>0.8162958275837114</v>
                </pt>
                <pt idx="39">
                  <v>0.9391804877392103</v>
                </pt>
                <pt idx="40">
                  <v>0.8991456314331195</v>
                </pt>
                <pt idx="41">
                  <v>0.9015136745747578</v>
                </pt>
                <pt idx="42">
                  <v>0.909562444967756</v>
                </pt>
                <pt idx="43">
                  <v>0.8830756108422062</v>
                </pt>
                <pt idx="44">
                  <v>0.9608536982958826</v>
                </pt>
                <pt idx="45">
                  <v>0.8774354195736861</v>
                </pt>
                <pt idx="46">
                  <v>0.9240447439178995</v>
                </pt>
                <pt idx="47">
                  <v>1.218528056069729</v>
                </pt>
                <pt idx="48">
                  <v>1.21186632363043</v>
                </pt>
                <pt idx="49">
                  <v>1.024478122815962</v>
                </pt>
                <pt idx="50">
                  <v>0.992236312197012</v>
                </pt>
                <pt idx="51">
                  <v>0.8502587347820391</v>
                </pt>
                <pt idx="52">
                  <v>0.7310174827054021</v>
                </pt>
                <pt idx="53">
                  <v>0.7860381991736552</v>
                </pt>
                <pt idx="54">
                  <v>0.7717034871247128</v>
                </pt>
                <pt idx="55">
                  <v>0.8454610410569836</v>
                </pt>
                <pt idx="56">
                  <v>0.7532917330845335</v>
                </pt>
                <pt idx="57">
                  <v>0.837234490334641</v>
                </pt>
                <pt idx="58">
                  <v>1.038705241708771</v>
                </pt>
                <pt idx="59">
                  <v>0.8332670757562848</v>
                </pt>
                <pt idx="60">
                  <v>0.977144875107929</v>
                </pt>
                <pt idx="61">
                  <v>0.9399172603334611</v>
                </pt>
                <pt idx="62">
                  <v>0.8314293202728863</v>
                </pt>
                <pt idx="63">
                  <v>0.7780510745637418</v>
                </pt>
                <pt idx="64">
                  <v>0.5900556342707577</v>
                </pt>
                <pt idx="65">
                  <v>0.6943958569114143</v>
                </pt>
                <pt idx="66">
                  <v>0.6176283845394642</v>
                </pt>
                <pt idx="67">
                  <v>0.6493471479229646</v>
                </pt>
                <pt idx="68">
                  <v>0.6157480113547513</v>
                </pt>
                <pt idx="69">
                  <v>0.7800073506793195</v>
                </pt>
                <pt idx="70">
                  <v>0.9404779955101509</v>
                </pt>
                <pt idx="71">
                  <v>1.087006718547946</v>
                </pt>
                <pt idx="72">
                  <v>1.149400364807902</v>
                </pt>
                <pt idx="73">
                  <v>0.9066238427133391</v>
                </pt>
                <pt idx="74">
                  <v>0.603741164715803</v>
                </pt>
                <pt idx="75">
                  <v>0.5517436798810373</v>
                </pt>
                <pt idx="76">
                  <v>0.544059463307295</v>
                </pt>
                <pt idx="77">
                  <v>0.4307606652121766</v>
                </pt>
                <pt idx="78">
                  <v>0.7474634186196619</v>
                </pt>
                <pt idx="79">
                  <v>0.5717894234335987</v>
                </pt>
                <pt idx="80">
                  <v>0.635731600833678</v>
                </pt>
                <pt idx="81">
                  <v>0.9548084008156305</v>
                </pt>
                <pt idx="82">
                  <v>0.9892725129496999</v>
                </pt>
                <pt idx="83">
                  <v>0.9701479625359415</v>
                </pt>
              </numCache>
            </numRef>
          </val>
          <smooth val="1"/>
        </ser>
        <dLbls>
          <showLegendKey val="0"/>
          <showVal val="0"/>
          <showCatName val="0"/>
          <showSerName val="0"/>
          <showPercent val="0"/>
          <showBubbleSize val="0"/>
        </dLbls>
        <smooth val="0"/>
        <axId val="10"/>
        <axId val="100"/>
      </lineChart>
      <catAx>
        <axId val="10"/>
        <scaling>
          <orientation val="minMax"/>
        </scaling>
        <delete val="1"/>
        <axPos val="b"/>
        <title>
          <tx>
            <rich>
              <a:bodyPr xmlns:a="http://schemas.openxmlformats.org/drawingml/2006/main"/>
              <a:lstStyle xmlns:a="http://schemas.openxmlformats.org/drawingml/2006/main"/>
              <a:p xmlns:a="http://schemas.openxmlformats.org/drawingml/2006/main">
                <a:pPr>
                  <a:defRPr/>
                </a:pPr>
                <a:r>
                  <a:rPr lang="en-GB"/>
                  <a:t>Month</a:t>
                </a:r>
              </a:p>
            </rich>
          </tx>
          <overlay val="1"/>
        </title>
        <majorTickMark val="none"/>
        <minorTickMark val="none"/>
        <tickLblPos val="nextTo"/>
        <crossAx val="100"/>
        <crosses val="autoZero"/>
        <auto val="1"/>
        <lblAlgn val="ctr"/>
        <lblOffset val="100"/>
        <noMultiLvlLbl val="1"/>
      </catAx>
      <valAx>
        <axId val="100"/>
        <scaling>
          <orientation val="minMax"/>
        </scaling>
        <delete val="1"/>
        <axPos val="l"/>
        <majorGridlines/>
        <title>
          <tx>
            <rich>
              <a:bodyPr xmlns:a="http://schemas.openxmlformats.org/drawingml/2006/main"/>
              <a:lstStyle xmlns:a="http://schemas.openxmlformats.org/drawingml/2006/main"/>
              <a:p xmlns:a="http://schemas.openxmlformats.org/drawingml/2006/main">
                <a:pPr>
                  <a:defRPr/>
                </a:pPr>
                <a:r>
                  <a:rPr lang="en-GB"/>
                  <a:t>CPR</a:t>
                </a:r>
              </a:p>
            </rich>
          </tx>
          <overlay val="1"/>
        </title>
        <numFmt formatCode="General" sourceLinked="1"/>
        <majorTickMark val="none"/>
        <minorTickMark val="none"/>
        <tickLblPos val="nextTo"/>
        <crossAx val="10"/>
        <crosses val="autoZero"/>
        <crossBetween val="between"/>
      </valAx>
    </plotArea>
    <legend>
      <legendPos val="r"/>
      <overlay val="1"/>
    </legend>
    <plotVisOnly val="1"/>
    <dispBlanksAs val="gap"/>
  </chart>
</chartSpace>
</file>

<file path=xl/charts/chart123.xml><?xml version="1.0" encoding="utf-8"?>
<chartSpace xmlns="http://schemas.openxmlformats.org/drawingml/2006/chart">
  <chart>
    <title>
      <tx>
        <rich>
          <a:bodyPr xmlns:a="http://schemas.openxmlformats.org/drawingml/2006/main"/>
          <a:lstStyle xmlns:a="http://schemas.openxmlformats.org/drawingml/2006/main"/>
          <a:p xmlns:a="http://schemas.openxmlformats.org/drawingml/2006/main">
            <a:pPr>
              <a:defRPr/>
            </a:pPr>
            <a:r>
              <a:t>Solar Penetration - DK1 Primary | DK2 Robustness</a:t>
            </a:r>
          </a:p>
        </rich>
      </tx>
      <overlay val="1"/>
    </title>
    <plotArea>
      <layout/>
      <lineChart>
        <grouping val="standard"/>
        <varyColors val="1"/>
        <ser>
          <idx val="0"/>
          <order val="0"/>
          <tx>
            <strRef>
              <f>'Capture Price Inputs'!$F$1</f>
              <strCache>
                <ptCount val="1"/>
                <pt idx="0">
                  <v>DK1 Solar Penetration (%) — Primary</v>
                </pt>
              </strCache>
            </strRef>
          </tx>
          <spPr>
            <a:ln xmlns:a="http://schemas.openxmlformats.org/drawingml/2006/main">
              <a:solidFill>
                <a:srgbClr val="FF8C00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val>
            <numRef>
              <f>'Capture Price Inputs'!$F$2:$F$85</f>
              <numCache>
                <formatCode>General</formatCode>
                <ptCount val="84"/>
                <pt idx="0">
                  <v>0</v>
                </pt>
                <pt idx="1">
                  <v>0</v>
                </pt>
                <pt idx="2">
                  <v>0</v>
                </pt>
                <pt idx="3">
                  <v>0</v>
                </pt>
                <pt idx="4">
                  <v>0</v>
                </pt>
                <pt idx="5">
                  <v>0</v>
                </pt>
                <pt idx="6">
                  <v>0</v>
                </pt>
                <pt idx="7">
                  <v>0</v>
                </pt>
                <pt idx="8">
                  <v>0</v>
                </pt>
                <pt idx="9">
                  <v>0</v>
                </pt>
                <pt idx="10">
                  <v>0</v>
                </pt>
                <pt idx="11">
                  <v>0</v>
                </pt>
                <pt idx="12">
                  <v>0.002264447892629483</v>
                </pt>
                <pt idx="13">
                  <v>0.005247452024482245</v>
                </pt>
                <pt idx="14">
                  <v>0.02020167759412729</v>
                </pt>
                <pt idx="15">
                  <v>0.0324279896123047</v>
                </pt>
                <pt idx="16">
                  <v>0.03608008723790357</v>
                </pt>
                <pt idx="17">
                  <v>0.03741361883164089</v>
                </pt>
                <pt idx="18">
                  <v>0.03399843385950392</v>
                </pt>
                <pt idx="19">
                  <v>0.03422476314253766</v>
                </pt>
                <pt idx="20">
                  <v>0.02433015193915724</v>
                </pt>
                <pt idx="21">
                  <v>0.01149038754944678</v>
                </pt>
                <pt idx="22">
                  <v>0.0001521101274151999</v>
                </pt>
                <pt idx="23">
                  <v>1.472410662127807e-05</v>
                </pt>
                <pt idx="24">
                  <v>0.003631355999035091</v>
                </pt>
                <pt idx="25">
                  <v>0.0108689417180573</v>
                </pt>
                <pt idx="26">
                  <v>0.02238230390737163</v>
                </pt>
                <pt idx="27">
                  <v>0.04212837115783985</v>
                </pt>
                <pt idx="28">
                  <v>0.03307505221196035</v>
                </pt>
                <pt idx="29">
                  <v>0.04984166182181952</v>
                </pt>
                <pt idx="30">
                  <v>0.0485715434854639</v>
                </pt>
                <pt idx="31">
                  <v>0.0388769479447087</v>
                </pt>
                <pt idx="32">
                  <v>0.02593285017943629</v>
                </pt>
                <pt idx="33">
                  <v>0.01746009643148906</v>
                </pt>
                <pt idx="34">
                  <v>0.007029306005813504</v>
                </pt>
                <pt idx="35">
                  <v>0.003243365391886713</v>
                </pt>
                <pt idx="36">
                  <v>0.006675315547248087</v>
                </pt>
                <pt idx="37">
                  <v>0.0173995712330029</v>
                </pt>
                <pt idx="38">
                  <v>0.06195507058644287</v>
                </pt>
                <pt idx="39">
                  <v>0.08404056603836467</v>
                </pt>
                <pt idx="40">
                  <v>0.09687689142031611</v>
                </pt>
                <pt idx="41">
                  <v>0.09496202074431148</v>
                </pt>
                <pt idx="42">
                  <v>0.09963556652585577</v>
                </pt>
                <pt idx="43">
                  <v>0.08962697832526678</v>
                </pt>
                <pt idx="44">
                  <v>0.06604649859170474</v>
                </pt>
                <pt idx="45">
                  <v>0.03746941447765471</v>
                </pt>
                <pt idx="46">
                  <v>0.01046932675470221</v>
                </pt>
                <pt idx="47">
                  <v>0.006229164645196865</v>
                </pt>
                <pt idx="48">
                  <v>0.01246069427686292</v>
                </pt>
                <pt idx="49">
                  <v>0.03437640419176364</v>
                </pt>
                <pt idx="50">
                  <v>0.05647796857705859</v>
                </pt>
                <pt idx="51">
                  <v>0.1509467292684683</v>
                </pt>
                <pt idx="52">
                  <v>0.18600333743842</v>
                </pt>
                <pt idx="53">
                  <v>0.218925737129461</v>
                </pt>
                <pt idx="54">
                  <v>0.1892952405634502</v>
                </pt>
                <pt idx="55">
                  <v>0.1493297980639493</v>
                </pt>
                <pt idx="56">
                  <v>0.1319165438654872</v>
                </pt>
                <pt idx="57">
                  <v>0.0428648864567301</v>
                </pt>
                <pt idx="58">
                  <v>0.01600349353715238</v>
                </pt>
                <pt idx="59">
                  <v>0.006390504672696534</v>
                </pt>
                <pt idx="60">
                  <v>0.01341718605060752</v>
                </pt>
                <pt idx="61">
                  <v>0.0264362238379265</v>
                </pt>
                <pt idx="62">
                  <v>0.06623397340035048</v>
                </pt>
                <pt idx="63">
                  <v>0.1084169878649764</v>
                </pt>
                <pt idx="64">
                  <v>0.1888703164988005</v>
                </pt>
                <pt idx="65">
                  <v>0.1715230569234828</v>
                </pt>
                <pt idx="66">
                  <v>0.1809062055635286</v>
                </pt>
                <pt idx="67">
                  <v>0.155121531117258</v>
                </pt>
                <pt idx="68">
                  <v>0.1275567235314205</v>
                </pt>
                <pt idx="69">
                  <v>0.06287376784741511</v>
                </pt>
                <pt idx="70">
                  <v>0.01780902737610289</v>
                </pt>
                <pt idx="71">
                  <v>0.006785797568345668</v>
                </pt>
                <pt idx="72">
                  <v>0.01366055484422285</v>
                </pt>
                <pt idx="73">
                  <v>0.04341993481717769</v>
                </pt>
                <pt idx="74">
                  <v>0.1120694547038418</v>
                </pt>
                <pt idx="75">
                  <v>0.1482754875605271</v>
                </pt>
                <pt idx="76">
                  <v>0.1924446817596716</v>
                </pt>
                <pt idx="77">
                  <v>0.1878482923852328</v>
                </pt>
                <pt idx="78">
                  <v>0.2182818884824121</v>
                </pt>
                <pt idx="79">
                  <v>0.1901168401280812</v>
                </pt>
                <pt idx="80">
                  <v>0.1381615272451792</v>
                </pt>
                <pt idx="81">
                  <v>0.06946207120205163</v>
                </pt>
                <pt idx="82">
                  <v>0.02660497040214753</v>
                </pt>
                <pt idx="83">
                  <v>0.0140253486520015</v>
                </pt>
              </numCache>
            </numRef>
          </val>
          <smooth val="1"/>
        </ser>
        <ser>
          <idx val="1"/>
          <order val="1"/>
          <tx>
            <strRef>
              <f>'Capture Price Inputs'!$G$1</f>
              <strCache>
                <ptCount val="1"/>
                <pt idx="0">
                  <v>DK2 Solar Penetration (%) — Robustness</v>
                </pt>
              </strCache>
            </strRef>
          </tx>
          <spPr>
            <a:ln xmlns:a="http://schemas.openxmlformats.org/drawingml/2006/main">
              <a:solidFill>
                <a:srgbClr val="FFD700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val>
            <numRef>
              <f>'Capture Price Inputs'!$G$2:$G$85</f>
              <numCache>
                <formatCode>General</formatCode>
                <ptCount val="84"/>
                <pt idx="0">
                  <v>0</v>
                </pt>
                <pt idx="1">
                  <v>0</v>
                </pt>
                <pt idx="2">
                  <v>0</v>
                </pt>
                <pt idx="3">
                  <v>0</v>
                </pt>
                <pt idx="4">
                  <v>0</v>
                </pt>
                <pt idx="5">
                  <v>0</v>
                </pt>
                <pt idx="6">
                  <v>0</v>
                </pt>
                <pt idx="7">
                  <v>0</v>
                </pt>
                <pt idx="8">
                  <v>0</v>
                </pt>
                <pt idx="9">
                  <v>0</v>
                </pt>
                <pt idx="10">
                  <v>0</v>
                </pt>
                <pt idx="11">
                  <v>0</v>
                </pt>
                <pt idx="12">
                  <v>0.001864323044087839</v>
                </pt>
                <pt idx="13">
                  <v>0.004961339344807235</v>
                </pt>
                <pt idx="14">
                  <v>0.01532033335337761</v>
                </pt>
                <pt idx="15">
                  <v>0.02618059513454593</v>
                </pt>
                <pt idx="16">
                  <v>0.03224093077416624</v>
                </pt>
                <pt idx="17">
                  <v>0.03065181208815584</v>
                </pt>
                <pt idx="18">
                  <v>0.02998206800974695</v>
                </pt>
                <pt idx="19">
                  <v>0.02803471341430708</v>
                </pt>
                <pt idx="20">
                  <v>0.02173647910159525</v>
                </pt>
                <pt idx="21">
                  <v>0.01107911770574695</v>
                </pt>
                <pt idx="22">
                  <v>0.0001104461157833284</v>
                </pt>
                <pt idx="23">
                  <v>5.635243358406259e-06</v>
                </pt>
                <pt idx="24">
                  <v>0.003104474131982996</v>
                </pt>
                <pt idx="25">
                  <v>0.009248336948772359</v>
                </pt>
                <pt idx="26">
                  <v>0.01847451704521283</v>
                </pt>
                <pt idx="27">
                  <v>0.03269440748331279</v>
                </pt>
                <pt idx="28">
                  <v>0.03294582929454019</v>
                </pt>
                <pt idx="29">
                  <v>0.04448013314005607</v>
                </pt>
                <pt idx="30">
                  <v>0.03704954253730217</v>
                </pt>
                <pt idx="31">
                  <v>0.03185776883426199</v>
                </pt>
                <pt idx="32">
                  <v>0.0223981137027396</v>
                </pt>
                <pt idx="33">
                  <v>0.01267326343754744</v>
                </pt>
                <pt idx="34">
                  <v>0.004013281085791027</v>
                </pt>
                <pt idx="35">
                  <v>0.001822629583826099</v>
                </pt>
                <pt idx="36">
                  <v>0.004939556742877535</v>
                </pt>
                <pt idx="37">
                  <v>0.01324848558669828</v>
                </pt>
                <pt idx="38">
                  <v>0.03408933034912105</v>
                </pt>
                <pt idx="39">
                  <v>0.05525443609957865</v>
                </pt>
                <pt idx="40">
                  <v>0.06581145996085939</v>
                </pt>
                <pt idx="41">
                  <v>0.06452822904586782</v>
                </pt>
                <pt idx="42">
                  <v>0.06702580380195292</v>
                </pt>
                <pt idx="43">
                  <v>0.06129992439719582</v>
                </pt>
                <pt idx="44">
                  <v>0.04578427610350702</v>
                </pt>
                <pt idx="45">
                  <v>0.0298090580270354</v>
                </pt>
                <pt idx="46">
                  <v>0.007865295261900549</v>
                </pt>
                <pt idx="47">
                  <v>0.004532355552973548</v>
                </pt>
                <pt idx="48">
                  <v>0.005862652723136608</v>
                </pt>
                <pt idx="49">
                  <v>0.01887764841837355</v>
                </pt>
                <pt idx="50">
                  <v>0.03709622939200571</v>
                </pt>
                <pt idx="51">
                  <v>0.08026996603382495</v>
                </pt>
                <pt idx="52">
                  <v>0.1080032082802261</v>
                </pt>
                <pt idx="53">
                  <v>0.1144244665352921</v>
                </pt>
                <pt idx="54">
                  <v>0.1020307450715976</v>
                </pt>
                <pt idx="55">
                  <v>0.07793101053296771</v>
                </pt>
                <pt idx="56">
                  <v>0.08090995463931874</v>
                </pt>
                <pt idx="57">
                  <v>0.02917234021559438</v>
                </pt>
                <pt idx="58">
                  <v>0.0104098691216888</v>
                </pt>
                <pt idx="59">
                  <v>0.003809030164374855</v>
                </pt>
                <pt idx="60">
                  <v>0.006178183072975508</v>
                </pt>
                <pt idx="61">
                  <v>0.01667231366864759</v>
                </pt>
                <pt idx="62">
                  <v>0.04111280636733766</v>
                </pt>
                <pt idx="63">
                  <v>0.06512337874480645</v>
                </pt>
                <pt idx="64">
                  <v>0.106315341440858</v>
                </pt>
                <pt idx="65">
                  <v>0.1072729076610999</v>
                </pt>
                <pt idx="66">
                  <v>0.1057942634887733</v>
                </pt>
                <pt idx="67">
                  <v>0.0936908322687052</v>
                </pt>
                <pt idx="68">
                  <v>0.07246320282040017</v>
                </pt>
                <pt idx="69">
                  <v>0.03614525389237988</v>
                </pt>
                <pt idx="70">
                  <v>0.008602841405423608</v>
                </pt>
                <pt idx="71">
                  <v>0.004171468465776758</v>
                </pt>
                <pt idx="72">
                  <v>0.007223240212576967</v>
                </pt>
                <pt idx="73">
                  <v>0.02010831138567791</v>
                </pt>
                <pt idx="74">
                  <v>0.04654786644745259</v>
                </pt>
                <pt idx="75">
                  <v>0.07168978364906199</v>
                </pt>
                <pt idx="76">
                  <v>0.09471412725623395</v>
                </pt>
                <pt idx="77">
                  <v>0.09982625001551076</v>
                </pt>
                <pt idx="78">
                  <v>0.09399641941869914</v>
                </pt>
                <pt idx="79">
                  <v>0.1057378118957395</v>
                </pt>
                <pt idx="80">
                  <v>0.09062887968652376</v>
                </pt>
                <pt idx="81">
                  <v>0.03957312567862663</v>
                </pt>
                <pt idx="82">
                  <v>0.01454364344794783</v>
                </pt>
                <pt idx="83">
                  <v>0.00906949116088333</v>
                </pt>
              </numCache>
            </numRef>
          </val>
          <smooth val="1"/>
        </ser>
        <dLbls>
          <showLegendKey val="0"/>
          <showVal val="0"/>
          <showCatName val="0"/>
          <showSerName val="0"/>
          <showPercent val="0"/>
          <showBubbleSize val="0"/>
        </dLbls>
        <smooth val="0"/>
        <axId val="10"/>
        <axId val="100"/>
      </lineChart>
      <catAx>
        <axId val="10"/>
        <scaling>
          <orientation val="minMax"/>
        </scaling>
        <delete val="1"/>
        <axPos val="b"/>
        <title>
          <tx>
            <rich>
              <a:bodyPr xmlns:a="http://schemas.openxmlformats.org/drawingml/2006/main"/>
              <a:lstStyle xmlns:a="http://schemas.openxmlformats.org/drawingml/2006/main"/>
              <a:p xmlns:a="http://schemas.openxmlformats.org/drawingml/2006/main">
                <a:pPr>
                  <a:defRPr/>
                </a:pPr>
                <a:r>
                  <a:t>Month</a:t>
                </a:r>
              </a:p>
            </rich>
          </tx>
          <overlay val="1"/>
        </title>
        <majorTickMark val="none"/>
        <minorTickMark val="none"/>
        <tickLblPos val="nextTo"/>
        <crossAx val="100"/>
        <crosses val="autoZero"/>
        <auto val="1"/>
        <lblAlgn val="ctr"/>
        <lblOffset val="100"/>
        <noMultiLvlLbl val="1"/>
      </catAx>
      <valAx>
        <axId val="100"/>
        <scaling>
          <orientation val="minMax"/>
        </scaling>
        <delete val="1"/>
        <axPos val="l"/>
        <majorGridlines/>
        <title>
          <tx>
            <rich>
              <a:bodyPr xmlns:a="http://schemas.openxmlformats.org/drawingml/2006/main"/>
              <a:lstStyle xmlns:a="http://schemas.openxmlformats.org/drawingml/2006/main"/>
              <a:p xmlns:a="http://schemas.openxmlformats.org/drawingml/2006/main">
                <a:pPr>
                  <a:defRPr/>
                </a:pPr>
                <a:r>
                  <a:t>Solar Penetration (%)</a:t>
                </a:r>
              </a:p>
            </rich>
          </tx>
          <overlay val="1"/>
        </title>
        <numFmt formatCode="General" sourceLinked="1"/>
        <majorTickMark val="none"/>
        <minorTickMark val="none"/>
        <tickLblPos val="nextTo"/>
        <crossAx val="10"/>
        <crosses val="autoZero"/>
        <crossBetween val="between"/>
      </valAx>
    </plotArea>
    <legend>
      <legendPos val="r"/>
      <overlay val="1"/>
    </legend>
    <plotVisOnly val="1"/>
    <dispBlanksAs val="gap"/>
  </chart>
</chartSpace>
</file>

<file path=xl/charts/chart124.xml><?xml version="1.0" encoding="utf-8"?>
<chartSpace xmlns="http://schemas.openxmlformats.org/drawingml/2006/chart">
  <chart>
    <title>
      <tx>
        <rich>
          <a:bodyPr xmlns:a="http://schemas.openxmlformats.org/drawingml/2006/main"/>
          <a:lstStyle xmlns:a="http://schemas.openxmlformats.org/drawingml/2006/main"/>
          <a:p xmlns:a="http://schemas.openxmlformats.org/drawingml/2006/main">
            <a:pPr>
              <a:defRPr/>
            </a:pPr>
            <a:r>
              <a:t>Capture Price - DK1 Primary | DK2 Robustness</a:t>
            </a:r>
          </a:p>
        </rich>
      </tx>
      <overlay val="1"/>
    </title>
    <plotArea>
      <layout/>
      <lineChart>
        <grouping val="standard"/>
        <varyColors val="1"/>
        <ser>
          <idx val="0"/>
          <order val="0"/>
          <tx>
            <strRef>
              <f>'Capture Price Inputs'!$H$1</f>
              <strCache>
                <ptCount val="1"/>
                <pt idx="0">
                  <v>DK1 Capture Price (EUR/MWh) — Primary</v>
                </pt>
              </strCache>
            </strRef>
          </tx>
          <spPr>
            <a:ln xmlns:a="http://schemas.openxmlformats.org/drawingml/2006/main">
              <a:solidFill>
                <a:srgbClr val="2E75B6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val>
            <numRef>
              <f>'Capture Price Inputs'!$H$2:$H$85</f>
              <numCache>
                <formatCode>General</formatCode>
                <ptCount val="84"/>
                <pt idx="12">
                  <v>25.22320957280251</v>
                </pt>
                <pt idx="13">
                  <v>22.83581899109792</v>
                </pt>
                <pt idx="14">
                  <v>15.94107348554973</v>
                </pt>
                <pt idx="15">
                  <v>10.36487590420421</v>
                </pt>
                <pt idx="16">
                  <v>15.478548945086</v>
                </pt>
                <pt idx="17">
                  <v>27.31330822786869</v>
                </pt>
                <pt idx="18">
                  <v>24.83174517810916</v>
                </pt>
                <pt idx="19">
                  <v>33.87691542204785</v>
                </pt>
                <pt idx="20">
                  <v>38.93597900337959</v>
                </pt>
                <pt idx="21">
                  <v>31.92774153305919</v>
                </pt>
                <pt idx="22">
                  <v>26.00599326599326</v>
                </pt>
                <pt idx="23">
                  <v>34.79516129032258</v>
                </pt>
                <pt idx="24">
                  <v>55.42296760727792</v>
                </pt>
                <pt idx="25">
                  <v>47.54261097914259</v>
                </pt>
                <pt idx="26">
                  <v>44.55070091580549</v>
                </pt>
                <pt idx="27">
                  <v>43.594739828473</v>
                </pt>
                <pt idx="28">
                  <v>47.65587057500122</v>
                </pt>
                <pt idx="29">
                  <v>70.54354791111106</v>
                </pt>
                <pt idx="30">
                  <v>78.56831974775861</v>
                </pt>
                <pt idx="31">
                  <v>81.98335113640179</v>
                </pt>
                <pt idx="32">
                  <v>116.2002249554484</v>
                </pt>
                <pt idx="33">
                  <v>126.5303952032395</v>
                </pt>
                <pt idx="34">
                  <v>160.7705833010295</v>
                </pt>
                <pt idx="35">
                  <v>228.8621705579358</v>
                </pt>
                <pt idx="36">
                  <v>123.2012506791719</v>
                </pt>
                <pt idx="37">
                  <v>117.67077903546</v>
                </pt>
                <pt idx="38">
                  <v>191.508071735067</v>
                </pt>
                <pt idx="39">
                  <v>145.7013871592604</v>
                </pt>
                <pt idx="40">
                  <v>149.4185612445558</v>
                </pt>
                <pt idx="41">
                  <v>194.7110340948198</v>
                </pt>
                <pt idx="42">
                  <v>239.3981525107354</v>
                </pt>
                <pt idx="43">
                  <v>419.792637226606</v>
                </pt>
                <pt idx="44">
                  <v>310.7073992726671</v>
                </pt>
                <pt idx="45">
                  <v>125.6295598680838</v>
                </pt>
                <pt idx="46">
                  <v>131.7111886265582</v>
                </pt>
                <pt idx="47">
                  <v>282.8237937420726</v>
                </pt>
                <pt idx="48">
                  <v>138.5299886842633</v>
                </pt>
                <pt idx="49">
                  <v>109.8769757213503</v>
                </pt>
                <pt idx="50">
                  <v>93.77419094069538</v>
                </pt>
                <pt idx="51">
                  <v>76.25042822265543</v>
                </pt>
                <pt idx="52">
                  <v>50.54348776008261</v>
                </pt>
                <pt idx="53">
                  <v>74.88898277621806</v>
                </pt>
                <pt idx="54">
                  <v>52.09559943846345</v>
                </pt>
                <pt idx="55">
                  <v>74.18042603997819</v>
                </pt>
                <pt idx="56">
                  <v>68.11686962339694</v>
                </pt>
                <pt idx="57">
                  <v>50.53909051970285</v>
                </pt>
                <pt idx="58">
                  <v>90.68080556242518</v>
                </pt>
                <pt idx="59">
                  <v>63.45532768878803</v>
                </pt>
                <pt idx="60">
                  <v>78.57131644167831</v>
                </pt>
                <pt idx="61">
                  <v>59.47948676805509</v>
                </pt>
                <pt idx="62">
                  <v>51.26978324155493</v>
                </pt>
                <pt idx="63">
                  <v>49.38394056201121</v>
                </pt>
                <pt idx="64">
                  <v>35.89414827140887</v>
                </pt>
                <pt idx="65">
                  <v>47.03763372739765</v>
                </pt>
                <pt idx="66">
                  <v>42.52177322309952</v>
                </pt>
                <pt idx="67">
                  <v>52.17121747504909</v>
                </pt>
                <pt idx="68">
                  <v>45.64750462621701</v>
                </pt>
                <pt idx="69">
                  <v>58.44158378709199</v>
                </pt>
                <pt idx="70">
                  <v>97.58235261633192</v>
                </pt>
                <pt idx="71">
                  <v>92.07321769383398</v>
                </pt>
                <pt idx="72">
                  <v>111.1945655985155</v>
                </pt>
                <pt idx="73">
                  <v>105.4131597378828</v>
                </pt>
                <pt idx="74">
                  <v>57.84566339627056</v>
                </pt>
                <pt idx="75">
                  <v>45.84439577068735</v>
                </pt>
                <pt idx="76">
                  <v>40.06566739400938</v>
                </pt>
                <pt idx="77">
                  <v>33.4933819651966</v>
                </pt>
                <pt idx="78">
                  <v>61.32224821093979</v>
                </pt>
                <pt idx="79">
                  <v>47.75582456745756</v>
                </pt>
                <pt idx="80">
                  <v>49.42909499605724</v>
                </pt>
                <pt idx="81">
                  <v>74.26663453789526</v>
                </pt>
                <pt idx="82">
                  <v>95.56453180252134</v>
                </pt>
                <pt idx="83">
                  <v>80.95803424278026</v>
                </pt>
              </numCache>
            </numRef>
          </val>
          <smooth val="1"/>
        </ser>
        <ser>
          <idx val="1"/>
          <order val="1"/>
          <tx>
            <strRef>
              <f>'Capture Price Inputs'!$I$1</f>
              <strCache>
                <ptCount val="1"/>
                <pt idx="0">
                  <v>DK2 Capture Price (EUR/MWh) — Robustness</v>
                </pt>
              </strCache>
            </strRef>
          </tx>
          <spPr>
            <a:ln xmlns:a="http://schemas.openxmlformats.org/drawingml/2006/main">
              <a:solidFill>
                <a:srgbClr val="9DC3E6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val>
            <numRef>
              <f>'Capture Price Inputs'!$I$2:$I$85</f>
              <numCache>
                <formatCode>General</formatCode>
                <ptCount val="84"/>
                <pt idx="12">
                  <v>29.86213642213642</v>
                </pt>
                <pt idx="13">
                  <v>23.55551782972189</v>
                </pt>
                <pt idx="14">
                  <v>17.14905069226102</v>
                </pt>
                <pt idx="15">
                  <v>13.25252312836708</v>
                </pt>
                <pt idx="16">
                  <v>18.59404938271605</v>
                </pt>
                <pt idx="17">
                  <v>35.21078005032583</v>
                </pt>
                <pt idx="18">
                  <v>26.450778046867</v>
                </pt>
                <pt idx="19">
                  <v>44.11376501540486</v>
                </pt>
                <pt idx="20">
                  <v>41.85304788087056</v>
                </pt>
                <pt idx="21">
                  <v>33.60087837290333</v>
                </pt>
                <pt idx="22">
                  <v>37.749765625</v>
                </pt>
                <pt idx="23">
                  <v>44.19142857142857</v>
                </pt>
                <pt idx="24">
                  <v>57.07213441008145</v>
                </pt>
                <pt idx="25">
                  <v>52.28508365452458</v>
                </pt>
                <pt idx="26">
                  <v>47.42264301189781</v>
                </pt>
                <pt idx="27">
                  <v>45.90136374824883</v>
                </pt>
                <pt idx="28">
                  <v>50.2587202314608</v>
                </pt>
                <pt idx="29">
                  <v>69.46934165377623</v>
                </pt>
                <pt idx="30">
                  <v>77.93311155139432</v>
                </pt>
                <pt idx="31">
                  <v>84.51274769025703</v>
                </pt>
                <pt idx="32">
                  <v>118.7457227855615</v>
                </pt>
                <pt idx="33">
                  <v>122.3841235967906</v>
                </pt>
                <pt idx="34">
                  <v>153.6267942781575</v>
                </pt>
                <pt idx="35">
                  <v>244.4872785976441</v>
                </pt>
                <pt idx="36">
                  <v>129.6774902315082</v>
                </pt>
                <pt idx="37">
                  <v>108.8033389925641</v>
                </pt>
                <pt idx="38">
                  <v>186.0504424586062</v>
                </pt>
                <pt idx="39">
                  <v>143.5375888642185</v>
                </pt>
                <pt idx="40">
                  <v>146.2536023446033</v>
                </pt>
                <pt idx="41">
                  <v>192.2325905808319</v>
                </pt>
                <pt idx="42">
                  <v>212.3625858003895</v>
                </pt>
                <pt idx="43">
                  <v>397.1798848597606</v>
                </pt>
                <pt idx="44">
                  <v>315.928842796779</v>
                </pt>
                <pt idx="45">
                  <v>120.1190076327392</v>
                </pt>
                <pt idx="46">
                  <v>134.0399027878758</v>
                </pt>
                <pt idx="47">
                  <v>303.2697848166857</v>
                </pt>
                <pt idx="48">
                  <v>120.8992864784306</v>
                </pt>
                <pt idx="49">
                  <v>103.112625406295</v>
                </pt>
                <pt idx="50">
                  <v>89.0984689216417</v>
                </pt>
                <pt idx="51">
                  <v>71.1250997055942</v>
                </pt>
                <pt idx="52">
                  <v>48.35808379645633</v>
                </pt>
                <pt idx="53">
                  <v>71.8620903722224</v>
                </pt>
                <pt idx="54">
                  <v>50.34596661709235</v>
                </pt>
                <pt idx="55">
                  <v>72.95799234798741</v>
                </pt>
                <pt idx="56">
                  <v>64.3944846724649</v>
                </pt>
                <pt idx="57">
                  <v>47.66025509428685</v>
                </pt>
                <pt idx="58">
                  <v>84.63997860526599</v>
                </pt>
                <pt idx="59">
                  <v>59.06174633307972</v>
                </pt>
                <pt idx="60">
                  <v>76.42720253521921</v>
                </pt>
                <pt idx="61">
                  <v>51.43437919654775</v>
                </pt>
                <pt idx="62">
                  <v>50.75116381305344</v>
                </pt>
                <pt idx="63">
                  <v>47.053967904828</v>
                </pt>
                <pt idx="64">
                  <v>34.29579411369289</v>
                </pt>
                <pt idx="65">
                  <v>46.37938403458337</v>
                </pt>
                <pt idx="66">
                  <v>38.81282196947117</v>
                </pt>
                <pt idx="67">
                  <v>47.15186311829253</v>
                </pt>
                <pt idx="68">
                  <v>43.35594635084219</v>
                </pt>
                <pt idx="69">
                  <v>59.53493763028656</v>
                </pt>
                <pt idx="70">
                  <v>89.61127747791728</v>
                </pt>
                <pt idx="71">
                  <v>100.7961313991171</v>
                </pt>
                <pt idx="72">
                  <v>115.0822593270056</v>
                </pt>
                <pt idx="73">
                  <v>106.9231820731682</v>
                </pt>
                <pt idx="74">
                  <v>50.01806296126875</v>
                </pt>
                <pt idx="75">
                  <v>41.82584156307518</v>
                </pt>
                <pt idx="76">
                  <v>34.32066034459122</v>
                </pt>
                <pt idx="77">
                  <v>24.31568572006325</v>
                </pt>
                <pt idx="78">
                  <v>59.76694388214769</v>
                </pt>
                <pt idx="79">
                  <v>43.06460478354486</v>
                </pt>
                <pt idx="80">
                  <v>52.94940515380836</v>
                </pt>
                <pt idx="81">
                  <v>78.64573032240668</v>
                </pt>
                <pt idx="82">
                  <v>92.69045487153267</v>
                </pt>
                <pt idx="83">
                  <v>79.63122802208366</v>
                </pt>
              </numCache>
            </numRef>
          </val>
          <smooth val="1"/>
        </ser>
        <dLbls>
          <showLegendKey val="0"/>
          <showVal val="0"/>
          <showCatName val="0"/>
          <showSerName val="0"/>
          <showPercent val="0"/>
          <showBubbleSize val="0"/>
        </dLbls>
        <smooth val="0"/>
        <axId val="10"/>
        <axId val="100"/>
      </lineChart>
      <catAx>
        <axId val="10"/>
        <scaling>
          <orientation val="minMax"/>
        </scaling>
        <delete val="1"/>
        <axPos val="b"/>
        <title>
          <tx>
            <rich>
              <a:bodyPr xmlns:a="http://schemas.openxmlformats.org/drawingml/2006/main"/>
              <a:lstStyle xmlns:a="http://schemas.openxmlformats.org/drawingml/2006/main"/>
              <a:p xmlns:a="http://schemas.openxmlformats.org/drawingml/2006/main">
                <a:pPr>
                  <a:defRPr/>
                </a:pPr>
                <a:r>
                  <a:t>Month</a:t>
                </a:r>
              </a:p>
            </rich>
          </tx>
          <overlay val="1"/>
        </title>
        <majorTickMark val="none"/>
        <minorTickMark val="none"/>
        <tickLblPos val="nextTo"/>
        <crossAx val="100"/>
        <crosses val="autoZero"/>
        <auto val="1"/>
        <lblAlgn val="ctr"/>
        <lblOffset val="100"/>
        <noMultiLvlLbl val="1"/>
      </catAx>
      <valAx>
        <axId val="100"/>
        <scaling>
          <orientation val="minMax"/>
        </scaling>
        <delete val="1"/>
        <axPos val="l"/>
        <majorGridlines/>
        <title>
          <tx>
            <rich>
              <a:bodyPr xmlns:a="http://schemas.openxmlformats.org/drawingml/2006/main"/>
              <a:lstStyle xmlns:a="http://schemas.openxmlformats.org/drawingml/2006/main"/>
              <a:p xmlns:a="http://schemas.openxmlformats.org/drawingml/2006/main">
                <a:pPr>
                  <a:defRPr/>
                </a:pPr>
                <a:r>
                  <a:t>EUR/MWh</a:t>
                </a:r>
              </a:p>
            </rich>
          </tx>
          <overlay val="1"/>
        </title>
        <numFmt formatCode="General" sourceLinked="1"/>
        <majorTickMark val="none"/>
        <minorTickMark val="none"/>
        <tickLblPos val="nextTo"/>
        <crossAx val="10"/>
        <crosses val="autoZero"/>
        <crossBetween val="between"/>
      </valAx>
    </plotArea>
    <legend>
      <legendPos val="r"/>
      <overlay val="1"/>
    </legend>
    <plotVisOnly val="1"/>
    <dispBlanksAs val="gap"/>
  </chart>
</chartSpace>
</file>

<file path=xl/charts/chart125.xml><?xml version="1.0" encoding="utf-8"?>
<chartSpace xmlns="http://schemas.openxmlformats.org/drawingml/2006/chart">
  <chart>
    <title>
      <tx>
        <rich>
          <a:bodyPr xmlns:a="http://schemas.openxmlformats.org/drawingml/2006/main"/>
          <a:lstStyle xmlns:a="http://schemas.openxmlformats.org/drawingml/2006/main"/>
          <a:p xmlns:a="http://schemas.openxmlformats.org/drawingml/2006/main">
            <a:pPr>
              <a:defRPr/>
            </a:pPr>
            <a:r>
              <a:t>Capture Price Ratio - DK1 Primary | DK2 Robustness</a:t>
            </a:r>
          </a:p>
        </rich>
      </tx>
      <overlay val="1"/>
    </title>
    <plotArea>
      <layout/>
      <lineChart>
        <grouping val="standard"/>
        <varyColors val="1"/>
        <ser>
          <idx val="0"/>
          <order val="0"/>
          <tx>
            <strRef>
              <f>'Capture Price Inputs'!$J$1</f>
              <strCache>
                <ptCount val="1"/>
                <pt idx="0">
                  <v>DK1 CPR — Primary</v>
                </pt>
              </strCache>
            </strRef>
          </tx>
          <spPr>
            <a:ln xmlns:a="http://schemas.openxmlformats.org/drawingml/2006/main">
              <a:solidFill>
                <a:srgbClr val="2E75B6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val>
            <numRef>
              <f>'Capture Price Inputs'!$J$2:$J$85</f>
              <numCache>
                <formatCode>General</formatCode>
                <ptCount val="84"/>
                <pt idx="12">
                  <v>1.009148659447442</v>
                </pt>
                <pt idx="13">
                  <v>1.298591168695051</v>
                </pt>
                <pt idx="14">
                  <v>0.8710146939215303</v>
                </pt>
                <pt idx="15">
                  <v>0.7131577255881921</v>
                </pt>
                <pt idx="16">
                  <v>0.9641557693120565</v>
                </pt>
                <pt idx="17">
                  <v>1.039466413731094</v>
                </pt>
                <pt idx="18">
                  <v>1.008618155660831</v>
                </pt>
                <pt idx="19">
                  <v>0.9808226440750074</v>
                </pt>
                <pt idx="20">
                  <v>1.010404486913005</v>
                </pt>
                <pt idx="21">
                  <v>1.236802226812374</v>
                </pt>
                <pt idx="22">
                  <v>1.094777917215692</v>
                </pt>
                <pt idx="23">
                  <v>1.008230164182662</v>
                </pt>
                <pt idx="24">
                  <v>1.103930861568265</v>
                </pt>
                <pt idx="25">
                  <v>1.005947927705425</v>
                </pt>
                <pt idx="26">
                  <v>0.9871758725122356</v>
                </pt>
                <pt idx="27">
                  <v>0.9088464745665017</v>
                </pt>
                <pt idx="28">
                  <v>0.8775180518715436</v>
                </pt>
                <pt idx="29">
                  <v>0.9569142795347317</v>
                </pt>
                <pt idx="30">
                  <v>0.9821132371596978</v>
                </pt>
                <pt idx="31">
                  <v>0.9902714780245057</v>
                </pt>
                <pt idx="32">
                  <v>0.9269044048361358</v>
                </pt>
                <pt idx="33">
                  <v>1.081088507413439</v>
                </pt>
                <pt idx="34">
                  <v>1.133803408504466</v>
                </pt>
                <pt idx="35">
                  <v>1.208676962454928</v>
                </pt>
                <pt idx="36">
                  <v>1.044125730427727</v>
                </pt>
                <pt idx="37">
                  <v>1.04022281700981</v>
                </pt>
                <pt idx="38">
                  <v>0.8120775904420741</v>
                </pt>
                <pt idx="39">
                  <v>0.8903913338467833</v>
                </pt>
                <pt idx="40">
                  <v>0.8694301605049858</v>
                </pt>
                <pt idx="41">
                  <v>0.9080390201234191</v>
                </pt>
                <pt idx="42">
                  <v>0.8704179159294955</v>
                </pt>
                <pt idx="43">
                  <v>0.9190855304670003</v>
                </pt>
                <pt idx="44">
                  <v>0.9063290180568312</v>
                </pt>
                <pt idx="45">
                  <v>0.9161232525396177</v>
                </pt>
                <pt idx="46">
                  <v>0.9427861207466001</v>
                </pt>
                <pt idx="47">
                  <v>1.132810339248927</v>
                </pt>
                <pt idx="48">
                  <v>1.230919869122654</v>
                </pt>
                <pt idx="49">
                  <v>0.93008781340266</v>
                </pt>
                <pt idx="50">
                  <v>0.9461253975959896</v>
                </pt>
                <pt idx="51">
                  <v>0.7920396612038634</v>
                </pt>
                <pt idx="52">
                  <v>0.6833361056151995</v>
                </pt>
                <pt idx="53">
                  <v>0.8096506208621567</v>
                </pt>
                <pt idx="54">
                  <v>0.8038042195326093</v>
                </pt>
                <pt idx="55">
                  <v>0.8628930977720407</v>
                </pt>
                <pt idx="56">
                  <v>0.8038389922187259</v>
                </pt>
                <pt idx="57">
                  <v>0.8408360556054226</v>
                </pt>
                <pt idx="58">
                  <v>1.028656893611996</v>
                </pt>
                <pt idx="59">
                  <v>0.9132560776287663</v>
                </pt>
                <pt idx="60">
                  <v>1.051614630458469</v>
                </pt>
                <pt idx="61">
                  <v>1.014420829179444</v>
                </pt>
                <pt idx="62">
                  <v>0.8373818542217274</v>
                </pt>
                <pt idx="63">
                  <v>0.8346846016164379</v>
                </pt>
                <pt idx="64">
                  <v>0.6133984536650869</v>
                </pt>
                <pt idx="65">
                  <v>0.7378100322386865</v>
                </pt>
                <pt idx="66">
                  <v>0.685499494870618</v>
                </pt>
                <pt idx="67">
                  <v>0.7151267621934952</v>
                </pt>
                <pt idx="68">
                  <v>0.636525223039573</v>
                </pt>
                <pt idx="69">
                  <v>0.7617518807592967</v>
                </pt>
                <pt idx="70">
                  <v>1.017494003861172</v>
                </pt>
                <pt idx="71">
                  <v>1.002567416041121</v>
                </pt>
                <pt idx="72">
                  <v>1.135032584901597</v>
                </pt>
                <pt idx="73">
                  <v>0.9341166514187298</v>
                </pt>
                <pt idx="74">
                  <v>0.6857908168802248</v>
                </pt>
                <pt idx="75">
                  <v>0.609953535618325</v>
                </pt>
                <pt idx="76">
                  <v>0.6237511742318941</v>
                </pt>
                <pt idx="77">
                  <v>0.569764321286333</v>
                </pt>
                <pt idx="78">
                  <v>0.7405896710838001</v>
                </pt>
                <pt idx="79">
                  <v>0.6499711234459455</v>
                </pt>
                <pt idx="80">
                  <v>0.6827347489865859</v>
                </pt>
                <pt idx="81">
                  <v>0.9470151719348058</v>
                </pt>
                <pt idx="82">
                  <v>1.028976430956097</v>
                </pt>
                <pt idx="83">
                  <v>0.9820538861792604</v>
                </pt>
              </numCache>
            </numRef>
          </val>
          <smooth val="1"/>
        </ser>
        <ser>
          <idx val="1"/>
          <order val="1"/>
          <tx>
            <strRef>
              <f>'Capture Price Inputs'!$K$1</f>
              <strCache>
                <ptCount val="1"/>
                <pt idx="0">
                  <v>DK2 CPR — Robustness</v>
                </pt>
              </strCache>
            </strRef>
          </tx>
          <spPr>
            <a:ln xmlns:a="http://schemas.openxmlformats.org/drawingml/2006/main">
              <a:solidFill>
                <a:srgbClr val="9DC3E6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val>
            <numRef>
              <f>'Capture Price Inputs'!$K$2:$K$85</f>
              <numCache>
                <formatCode>General</formatCode>
                <ptCount val="84"/>
                <pt idx="12">
                  <v>1.090446324793763</v>
                </pt>
                <pt idx="13">
                  <v>1.251821301318464</v>
                </pt>
                <pt idx="14">
                  <v>0.8552077585127711</v>
                </pt>
                <pt idx="15">
                  <v>0.763620235478716</v>
                </pt>
                <pt idx="16">
                  <v>0.9763693823354528</v>
                </pt>
                <pt idx="17">
                  <v>1.180647007173951</v>
                </pt>
                <pt idx="18">
                  <v>1.021791049952987</v>
                </pt>
                <pt idx="19">
                  <v>1.077948442472481</v>
                </pt>
                <pt idx="20">
                  <v>1.059189092335807</v>
                </pt>
                <pt idx="21">
                  <v>1.247549053102559</v>
                </pt>
                <pt idx="22">
                  <v>1.057080411727209</v>
                </pt>
                <pt idx="23">
                  <v>1.125691191699302</v>
                </pt>
                <pt idx="24">
                  <v>1.122164979814525</v>
                </pt>
                <pt idx="25">
                  <v>0.9585139857498034</v>
                </pt>
                <pt idx="26">
                  <v>1.014774172650395</v>
                </pt>
                <pt idx="27">
                  <v>0.9590164366476613</v>
                </pt>
                <pt idx="28">
                  <v>0.9103388736117121</v>
                </pt>
                <pt idx="29">
                  <v>0.9440449187481634</v>
                </pt>
                <pt idx="30">
                  <v>0.9569285690465077</v>
                </pt>
                <pt idx="31">
                  <v>1.001768528067071</v>
                </pt>
                <pt idx="32">
                  <v>0.9583833699094481</v>
                </pt>
                <pt idx="33">
                  <v>1.144501265847132</v>
                </pt>
                <pt idx="34">
                  <v>1.126460857141801</v>
                </pt>
                <pt idx="35">
                  <v>1.279578427053047</v>
                </pt>
                <pt idx="36">
                  <v>1.161754652341282</v>
                </pt>
                <pt idx="37">
                  <v>1.084871924613185</v>
                </pt>
                <pt idx="38">
                  <v>0.8162958275837114</v>
                </pt>
                <pt idx="39">
                  <v>0.9391804877392103</v>
                </pt>
                <pt idx="40">
                  <v>0.8991456314331195</v>
                </pt>
                <pt idx="41">
                  <v>0.9015136745747578</v>
                </pt>
                <pt idx="42">
                  <v>0.909562444967756</v>
                </pt>
                <pt idx="43">
                  <v>0.8830756108422062</v>
                </pt>
                <pt idx="44">
                  <v>0.9608536982958826</v>
                </pt>
                <pt idx="45">
                  <v>0.8774354195736861</v>
                </pt>
                <pt idx="46">
                  <v>0.9240447439178995</v>
                </pt>
                <pt idx="47">
                  <v>1.218528056069729</v>
                </pt>
                <pt idx="48">
                  <v>1.21186632363043</v>
                </pt>
                <pt idx="49">
                  <v>1.024478122815962</v>
                </pt>
                <pt idx="50">
                  <v>0.992236312197012</v>
                </pt>
                <pt idx="51">
                  <v>0.8502587347820391</v>
                </pt>
                <pt idx="52">
                  <v>0.7310174827054021</v>
                </pt>
                <pt idx="53">
                  <v>0.7860381991736552</v>
                </pt>
                <pt idx="54">
                  <v>0.7717034871247128</v>
                </pt>
                <pt idx="55">
                  <v>0.8454610410569836</v>
                </pt>
                <pt idx="56">
                  <v>0.7532917330845335</v>
                </pt>
                <pt idx="57">
                  <v>0.837234490334641</v>
                </pt>
                <pt idx="58">
                  <v>1.038705241708771</v>
                </pt>
                <pt idx="59">
                  <v>0.8332670757562848</v>
                </pt>
                <pt idx="60">
                  <v>0.977144875107929</v>
                </pt>
                <pt idx="61">
                  <v>0.9399172603334611</v>
                </pt>
                <pt idx="62">
                  <v>0.8314293202728863</v>
                </pt>
                <pt idx="63">
                  <v>0.7780510745637418</v>
                </pt>
                <pt idx="64">
                  <v>0.5900556342707577</v>
                </pt>
                <pt idx="65">
                  <v>0.6943958569114143</v>
                </pt>
                <pt idx="66">
                  <v>0.6176283845394642</v>
                </pt>
                <pt idx="67">
                  <v>0.6493471479229646</v>
                </pt>
                <pt idx="68">
                  <v>0.6157480113547513</v>
                </pt>
                <pt idx="69">
                  <v>0.7800073506793195</v>
                </pt>
                <pt idx="70">
                  <v>0.9404779955101509</v>
                </pt>
                <pt idx="71">
                  <v>1.087006718547946</v>
                </pt>
                <pt idx="72">
                  <v>1.149400364807902</v>
                </pt>
                <pt idx="73">
                  <v>0.9066238427133391</v>
                </pt>
                <pt idx="74">
                  <v>0.603741164715803</v>
                </pt>
                <pt idx="75">
                  <v>0.5517436798810373</v>
                </pt>
                <pt idx="76">
                  <v>0.544059463307295</v>
                </pt>
                <pt idx="77">
                  <v>0.4307606652121766</v>
                </pt>
                <pt idx="78">
                  <v>0.7474634186196619</v>
                </pt>
                <pt idx="79">
                  <v>0.5717894234335987</v>
                </pt>
                <pt idx="80">
                  <v>0.635731600833678</v>
                </pt>
                <pt idx="81">
                  <v>0.9548084008156305</v>
                </pt>
                <pt idx="82">
                  <v>0.9892725129496999</v>
                </pt>
                <pt idx="83">
                  <v>0.9701479625359415</v>
                </pt>
              </numCache>
            </numRef>
          </val>
          <smooth val="1"/>
        </ser>
        <dLbls>
          <showLegendKey val="0"/>
          <showVal val="0"/>
          <showCatName val="0"/>
          <showSerName val="0"/>
          <showPercent val="0"/>
          <showBubbleSize val="0"/>
        </dLbls>
        <smooth val="0"/>
        <axId val="10"/>
        <axId val="100"/>
      </lineChart>
      <catAx>
        <axId val="10"/>
        <scaling>
          <orientation val="minMax"/>
        </scaling>
        <delete val="1"/>
        <axPos val="b"/>
        <title>
          <tx>
            <rich>
              <a:bodyPr xmlns:a="http://schemas.openxmlformats.org/drawingml/2006/main"/>
              <a:lstStyle xmlns:a="http://schemas.openxmlformats.org/drawingml/2006/main"/>
              <a:p xmlns:a="http://schemas.openxmlformats.org/drawingml/2006/main">
                <a:pPr>
                  <a:defRPr/>
                </a:pPr>
                <a:r>
                  <a:t>Month</a:t>
                </a:r>
              </a:p>
            </rich>
          </tx>
          <overlay val="1"/>
        </title>
        <majorTickMark val="none"/>
        <minorTickMark val="none"/>
        <tickLblPos val="nextTo"/>
        <crossAx val="100"/>
        <crosses val="autoZero"/>
        <auto val="1"/>
        <lblAlgn val="ctr"/>
        <lblOffset val="100"/>
        <noMultiLvlLbl val="1"/>
      </catAx>
      <valAx>
        <axId val="100"/>
        <scaling>
          <orientation val="minMax"/>
        </scaling>
        <delete val="1"/>
        <axPos val="l"/>
        <majorGridlines/>
        <title>
          <tx>
            <rich>
              <a:bodyPr xmlns:a="http://schemas.openxmlformats.org/drawingml/2006/main"/>
              <a:lstStyle xmlns:a="http://schemas.openxmlformats.org/drawingml/2006/main"/>
              <a:p xmlns:a="http://schemas.openxmlformats.org/drawingml/2006/main">
                <a:pPr>
                  <a:defRPr/>
                </a:pPr>
                <a:r>
                  <a:t>CPR</a:t>
                </a:r>
              </a:p>
            </rich>
          </tx>
          <overlay val="1"/>
        </title>
        <numFmt formatCode="General" sourceLinked="1"/>
        <majorTickMark val="none"/>
        <minorTickMark val="none"/>
        <tickLblPos val="nextTo"/>
        <crossAx val="10"/>
        <crosses val="autoZero"/>
        <crossBetween val="between"/>
      </valAx>
    </plotArea>
    <legend>
      <legendPos val="r"/>
      <overlay val="1"/>
    </legend>
    <plotVisOnly val="1"/>
    <dispBlanksAs val="gap"/>
  </chart>
</chartSpace>
</file>

<file path=xl/charts/chart126.xml><?xml version="1.0" encoding="utf-8"?>
<chartSpace xmlns="http://schemas.openxmlformats.org/drawingml/2006/chart">
  <chart>
    <title>
      <tx>
        <rich>
          <a:bodyPr xmlns:a="http://schemas.openxmlformats.org/drawingml/2006/main"/>
          <a:lstStyle xmlns:a="http://schemas.openxmlformats.org/drawingml/2006/main"/>
          <a:p xmlns:a="http://schemas.openxmlformats.org/drawingml/2006/main">
            <a:pPr>
              <a:defRPr/>
            </a:pPr>
            <a:r>
              <a:t>Solar Penetration - DK1 Primary | DK2 Robustness</a:t>
            </a:r>
          </a:p>
        </rich>
      </tx>
      <overlay val="1"/>
    </title>
    <plotArea>
      <layout/>
      <lineChart>
        <grouping val="standard"/>
        <varyColors val="1"/>
        <ser>
          <idx val="0"/>
          <order val="0"/>
          <tx>
            <strRef>
              <f>'Capture Price Inputs'!$F$1</f>
              <strCache>
                <ptCount val="1"/>
                <pt idx="0">
                  <v>DK1 Solar Penetration (%) — Primary</v>
                </pt>
              </strCache>
            </strRef>
          </tx>
          <spPr>
            <a:ln xmlns:a="http://schemas.openxmlformats.org/drawingml/2006/main">
              <a:solidFill>
                <a:srgbClr val="FF8C00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val>
            <numRef>
              <f>'Capture Price Inputs'!$F$2:$F$85</f>
              <numCache>
                <formatCode>General</formatCode>
                <ptCount val="84"/>
                <pt idx="0">
                  <v>0</v>
                </pt>
                <pt idx="1">
                  <v>0</v>
                </pt>
                <pt idx="2">
                  <v>0</v>
                </pt>
                <pt idx="3">
                  <v>0</v>
                </pt>
                <pt idx="4">
                  <v>0</v>
                </pt>
                <pt idx="5">
                  <v>0</v>
                </pt>
                <pt idx="6">
                  <v>0</v>
                </pt>
                <pt idx="7">
                  <v>0</v>
                </pt>
                <pt idx="8">
                  <v>0</v>
                </pt>
                <pt idx="9">
                  <v>0</v>
                </pt>
                <pt idx="10">
                  <v>0</v>
                </pt>
                <pt idx="11">
                  <v>0</v>
                </pt>
                <pt idx="12">
                  <v>0.002264447892629483</v>
                </pt>
                <pt idx="13">
                  <v>0.005247452024482245</v>
                </pt>
                <pt idx="14">
                  <v>0.02020167759412729</v>
                </pt>
                <pt idx="15">
                  <v>0.0324279896123047</v>
                </pt>
                <pt idx="16">
                  <v>0.03608008723790357</v>
                </pt>
                <pt idx="17">
                  <v>0.03741361883164089</v>
                </pt>
                <pt idx="18">
                  <v>0.03399843385950392</v>
                </pt>
                <pt idx="19">
                  <v>0.03422476314253766</v>
                </pt>
                <pt idx="20">
                  <v>0.02433015193915724</v>
                </pt>
                <pt idx="21">
                  <v>0.01149038754944678</v>
                </pt>
                <pt idx="22">
                  <v>0.0001521101274151999</v>
                </pt>
                <pt idx="23">
                  <v>1.472410662127807e-05</v>
                </pt>
                <pt idx="24">
                  <v>0.003631355999035091</v>
                </pt>
                <pt idx="25">
                  <v>0.0108689417180573</v>
                </pt>
                <pt idx="26">
                  <v>0.02238230390737163</v>
                </pt>
                <pt idx="27">
                  <v>0.04212837115783985</v>
                </pt>
                <pt idx="28">
                  <v>0.03307505221196035</v>
                </pt>
                <pt idx="29">
                  <v>0.04984166182181952</v>
                </pt>
                <pt idx="30">
                  <v>0.0485715434854639</v>
                </pt>
                <pt idx="31">
                  <v>0.0388769479447087</v>
                </pt>
                <pt idx="32">
                  <v>0.02593285017943629</v>
                </pt>
                <pt idx="33">
                  <v>0.01746009643148906</v>
                </pt>
                <pt idx="34">
                  <v>0.007029306005813504</v>
                </pt>
                <pt idx="35">
                  <v>0.003243365391886713</v>
                </pt>
                <pt idx="36">
                  <v>0.006675315547248087</v>
                </pt>
                <pt idx="37">
                  <v>0.0173995712330029</v>
                </pt>
                <pt idx="38">
                  <v>0.06195507058644287</v>
                </pt>
                <pt idx="39">
                  <v>0.08404056603836467</v>
                </pt>
                <pt idx="40">
                  <v>0.09687689142031611</v>
                </pt>
                <pt idx="41">
                  <v>0.09496202074431148</v>
                </pt>
                <pt idx="42">
                  <v>0.09963556652585577</v>
                </pt>
                <pt idx="43">
                  <v>0.08962697832526678</v>
                </pt>
                <pt idx="44">
                  <v>0.06604649859170474</v>
                </pt>
                <pt idx="45">
                  <v>0.03746941447765471</v>
                </pt>
                <pt idx="46">
                  <v>0.01046932675470221</v>
                </pt>
                <pt idx="47">
                  <v>0.006229164645196865</v>
                </pt>
                <pt idx="48">
                  <v>0.01246069427686292</v>
                </pt>
                <pt idx="49">
                  <v>0.03437640419176364</v>
                </pt>
                <pt idx="50">
                  <v>0.05647796857705859</v>
                </pt>
                <pt idx="51">
                  <v>0.1509467292684683</v>
                </pt>
                <pt idx="52">
                  <v>0.18600333743842</v>
                </pt>
                <pt idx="53">
                  <v>0.218925737129461</v>
                </pt>
                <pt idx="54">
                  <v>0.1892952405634502</v>
                </pt>
                <pt idx="55">
                  <v>0.1493297980639493</v>
                </pt>
                <pt idx="56">
                  <v>0.1319165438654872</v>
                </pt>
                <pt idx="57">
                  <v>0.0428648864567301</v>
                </pt>
                <pt idx="58">
                  <v>0.01600349353715238</v>
                </pt>
                <pt idx="59">
                  <v>0.006390504672696534</v>
                </pt>
                <pt idx="60">
                  <v>0.01341718605060752</v>
                </pt>
                <pt idx="61">
                  <v>0.0264362238379265</v>
                </pt>
                <pt idx="62">
                  <v>0.06623397340035048</v>
                </pt>
                <pt idx="63">
                  <v>0.1084169878649764</v>
                </pt>
                <pt idx="64">
                  <v>0.1888703164988005</v>
                </pt>
                <pt idx="65">
                  <v>0.1715230569234828</v>
                </pt>
                <pt idx="66">
                  <v>0.1809062055635286</v>
                </pt>
                <pt idx="67">
                  <v>0.155121531117258</v>
                </pt>
                <pt idx="68">
                  <v>0.1275567235314205</v>
                </pt>
                <pt idx="69">
                  <v>0.06287376784741511</v>
                </pt>
                <pt idx="70">
                  <v>0.01780902737610289</v>
                </pt>
                <pt idx="71">
                  <v>0.006785797568345668</v>
                </pt>
                <pt idx="72">
                  <v>0.01366055484422285</v>
                </pt>
                <pt idx="73">
                  <v>0.04341993481717769</v>
                </pt>
                <pt idx="74">
                  <v>0.1120694547038418</v>
                </pt>
                <pt idx="75">
                  <v>0.1482754875605271</v>
                </pt>
                <pt idx="76">
                  <v>0.1924446817596716</v>
                </pt>
                <pt idx="77">
                  <v>0.1878482923852328</v>
                </pt>
                <pt idx="78">
                  <v>0.2182818884824121</v>
                </pt>
                <pt idx="79">
                  <v>0.1901168401280812</v>
                </pt>
                <pt idx="80">
                  <v>0.1381615272451792</v>
                </pt>
                <pt idx="81">
                  <v>0.06946207120205163</v>
                </pt>
                <pt idx="82">
                  <v>0.02660497040214753</v>
                </pt>
                <pt idx="83">
                  <v>0.0140253486520015</v>
                </pt>
              </numCache>
            </numRef>
          </val>
          <smooth val="1"/>
        </ser>
        <ser>
          <idx val="1"/>
          <order val="1"/>
          <tx>
            <strRef>
              <f>'Capture Price Inputs'!$G$1</f>
              <strCache>
                <ptCount val="1"/>
                <pt idx="0">
                  <v>DK2 Solar Penetration (%) — Robustness</v>
                </pt>
              </strCache>
            </strRef>
          </tx>
          <spPr>
            <a:ln xmlns:a="http://schemas.openxmlformats.org/drawingml/2006/main">
              <a:solidFill>
                <a:srgbClr val="FFD700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val>
            <numRef>
              <f>'Capture Price Inputs'!$G$2:$G$85</f>
              <numCache>
                <formatCode>General</formatCode>
                <ptCount val="84"/>
                <pt idx="0">
                  <v>0</v>
                </pt>
                <pt idx="1">
                  <v>0</v>
                </pt>
                <pt idx="2">
                  <v>0</v>
                </pt>
                <pt idx="3">
                  <v>0</v>
                </pt>
                <pt idx="4">
                  <v>0</v>
                </pt>
                <pt idx="5">
                  <v>0</v>
                </pt>
                <pt idx="6">
                  <v>0</v>
                </pt>
                <pt idx="7">
                  <v>0</v>
                </pt>
                <pt idx="8">
                  <v>0</v>
                </pt>
                <pt idx="9">
                  <v>0</v>
                </pt>
                <pt idx="10">
                  <v>0</v>
                </pt>
                <pt idx="11">
                  <v>0</v>
                </pt>
                <pt idx="12">
                  <v>0.001864323044087839</v>
                </pt>
                <pt idx="13">
                  <v>0.004961339344807235</v>
                </pt>
                <pt idx="14">
                  <v>0.01532033335337761</v>
                </pt>
                <pt idx="15">
                  <v>0.02618059513454593</v>
                </pt>
                <pt idx="16">
                  <v>0.03224093077416624</v>
                </pt>
                <pt idx="17">
                  <v>0.03065181208815584</v>
                </pt>
                <pt idx="18">
                  <v>0.02998206800974695</v>
                </pt>
                <pt idx="19">
                  <v>0.02803471341430708</v>
                </pt>
                <pt idx="20">
                  <v>0.02173647910159525</v>
                </pt>
                <pt idx="21">
                  <v>0.01107911770574695</v>
                </pt>
                <pt idx="22">
                  <v>0.0001104461157833284</v>
                </pt>
                <pt idx="23">
                  <v>5.635243358406259e-06</v>
                </pt>
                <pt idx="24">
                  <v>0.003104474131982996</v>
                </pt>
                <pt idx="25">
                  <v>0.009248336948772359</v>
                </pt>
                <pt idx="26">
                  <v>0.01847451704521283</v>
                </pt>
                <pt idx="27">
                  <v>0.03269440748331279</v>
                </pt>
                <pt idx="28">
                  <v>0.03294582929454019</v>
                </pt>
                <pt idx="29">
                  <v>0.04448013314005607</v>
                </pt>
                <pt idx="30">
                  <v>0.03704954253730217</v>
                </pt>
                <pt idx="31">
                  <v>0.03185776883426199</v>
                </pt>
                <pt idx="32">
                  <v>0.0223981137027396</v>
                </pt>
                <pt idx="33">
                  <v>0.01267326343754744</v>
                </pt>
                <pt idx="34">
                  <v>0.004013281085791027</v>
                </pt>
                <pt idx="35">
                  <v>0.001822629583826099</v>
                </pt>
                <pt idx="36">
                  <v>0.004939556742877535</v>
                </pt>
                <pt idx="37">
                  <v>0.01324848558669828</v>
                </pt>
                <pt idx="38">
                  <v>0.03408933034912105</v>
                </pt>
                <pt idx="39">
                  <v>0.05525443609957865</v>
                </pt>
                <pt idx="40">
                  <v>0.06581145996085939</v>
                </pt>
                <pt idx="41">
                  <v>0.06452822904586782</v>
                </pt>
                <pt idx="42">
                  <v>0.06702580380195292</v>
                </pt>
                <pt idx="43">
                  <v>0.06129992439719582</v>
                </pt>
                <pt idx="44">
                  <v>0.04578427610350702</v>
                </pt>
                <pt idx="45">
                  <v>0.0298090580270354</v>
                </pt>
                <pt idx="46">
                  <v>0.007865295261900549</v>
                </pt>
                <pt idx="47">
                  <v>0.004532355552973548</v>
                </pt>
                <pt idx="48">
                  <v>0.005862652723136608</v>
                </pt>
                <pt idx="49">
                  <v>0.01887764841837355</v>
                </pt>
                <pt idx="50">
                  <v>0.03709622939200571</v>
                </pt>
                <pt idx="51">
                  <v>0.08026996603382495</v>
                </pt>
                <pt idx="52">
                  <v>0.1080032082802261</v>
                </pt>
                <pt idx="53">
                  <v>0.1144244665352921</v>
                </pt>
                <pt idx="54">
                  <v>0.1020307450715976</v>
                </pt>
                <pt idx="55">
                  <v>0.07793101053296771</v>
                </pt>
                <pt idx="56">
                  <v>0.08090995463931874</v>
                </pt>
                <pt idx="57">
                  <v>0.02917234021559438</v>
                </pt>
                <pt idx="58">
                  <v>0.0104098691216888</v>
                </pt>
                <pt idx="59">
                  <v>0.003809030164374855</v>
                </pt>
                <pt idx="60">
                  <v>0.006178183072975508</v>
                </pt>
                <pt idx="61">
                  <v>0.01667231366864759</v>
                </pt>
                <pt idx="62">
                  <v>0.04111280636733766</v>
                </pt>
                <pt idx="63">
                  <v>0.06512337874480645</v>
                </pt>
                <pt idx="64">
                  <v>0.106315341440858</v>
                </pt>
                <pt idx="65">
                  <v>0.1072729076610999</v>
                </pt>
                <pt idx="66">
                  <v>0.1057942634887733</v>
                </pt>
                <pt idx="67">
                  <v>0.0936908322687052</v>
                </pt>
                <pt idx="68">
                  <v>0.07246320282040017</v>
                </pt>
                <pt idx="69">
                  <v>0.03614525389237988</v>
                </pt>
                <pt idx="70">
                  <v>0.008602841405423608</v>
                </pt>
                <pt idx="71">
                  <v>0.004171468465776758</v>
                </pt>
                <pt idx="72">
                  <v>0.007223240212576967</v>
                </pt>
                <pt idx="73">
                  <v>0.02010831138567791</v>
                </pt>
                <pt idx="74">
                  <v>0.04654786644745259</v>
                </pt>
                <pt idx="75">
                  <v>0.07168978364906199</v>
                </pt>
                <pt idx="76">
                  <v>0.09471412725623395</v>
                </pt>
                <pt idx="77">
                  <v>0.09982625001551076</v>
                </pt>
                <pt idx="78">
                  <v>0.09399641941869914</v>
                </pt>
                <pt idx="79">
                  <v>0.1057378118957395</v>
                </pt>
                <pt idx="80">
                  <v>0.09062887968652376</v>
                </pt>
                <pt idx="81">
                  <v>0.03957312567862663</v>
                </pt>
                <pt idx="82">
                  <v>0.01454364344794783</v>
                </pt>
                <pt idx="83">
                  <v>0.00906949116088333</v>
                </pt>
              </numCache>
            </numRef>
          </val>
          <smooth val="1"/>
        </ser>
        <dLbls>
          <showLegendKey val="0"/>
          <showVal val="0"/>
          <showCatName val="0"/>
          <showSerName val="0"/>
          <showPercent val="0"/>
          <showBubbleSize val="0"/>
        </dLbls>
        <smooth val="0"/>
        <axId val="10"/>
        <axId val="100"/>
      </lineChart>
      <catAx>
        <axId val="10"/>
        <scaling>
          <orientation val="minMax"/>
        </scaling>
        <delete val="1"/>
        <axPos val="b"/>
        <title>
          <tx>
            <rich>
              <a:bodyPr xmlns:a="http://schemas.openxmlformats.org/drawingml/2006/main"/>
              <a:lstStyle xmlns:a="http://schemas.openxmlformats.org/drawingml/2006/main"/>
              <a:p xmlns:a="http://schemas.openxmlformats.org/drawingml/2006/main">
                <a:pPr>
                  <a:defRPr/>
                </a:pPr>
                <a:r>
                  <a:t>Month</a:t>
                </a:r>
              </a:p>
            </rich>
          </tx>
          <overlay val="1"/>
        </title>
        <majorTickMark val="none"/>
        <minorTickMark val="none"/>
        <tickLblPos val="nextTo"/>
        <crossAx val="100"/>
        <crosses val="autoZero"/>
        <auto val="1"/>
        <lblAlgn val="ctr"/>
        <lblOffset val="100"/>
        <noMultiLvlLbl val="1"/>
      </catAx>
      <valAx>
        <axId val="100"/>
        <scaling>
          <orientation val="minMax"/>
        </scaling>
        <delete val="1"/>
        <axPos val="l"/>
        <majorGridlines/>
        <title>
          <tx>
            <rich>
              <a:bodyPr xmlns:a="http://schemas.openxmlformats.org/drawingml/2006/main"/>
              <a:lstStyle xmlns:a="http://schemas.openxmlformats.org/drawingml/2006/main"/>
              <a:p xmlns:a="http://schemas.openxmlformats.org/drawingml/2006/main">
                <a:pPr>
                  <a:defRPr/>
                </a:pPr>
                <a:r>
                  <a:t>Solar Penetration (%)</a:t>
                </a:r>
              </a:p>
            </rich>
          </tx>
          <overlay val="1"/>
        </title>
        <numFmt formatCode="General" sourceLinked="1"/>
        <majorTickMark val="none"/>
        <minorTickMark val="none"/>
        <tickLblPos val="nextTo"/>
        <crossAx val="10"/>
        <crosses val="autoZero"/>
        <crossBetween val="between"/>
      </valAx>
    </plotArea>
    <legend>
      <legendPos val="r"/>
      <overlay val="1"/>
    </legend>
    <plotVisOnly val="1"/>
    <dispBlanksAs val="gap"/>
  </chart>
</chartSpace>
</file>

<file path=xl/charts/chart127.xml><?xml version="1.0" encoding="utf-8"?>
<chartSpace xmlns="http://schemas.openxmlformats.org/drawingml/2006/chart">
  <chart>
    <title>
      <tx>
        <rich>
          <a:bodyPr xmlns:a="http://schemas.openxmlformats.org/drawingml/2006/main"/>
          <a:lstStyle xmlns:a="http://schemas.openxmlformats.org/drawingml/2006/main"/>
          <a:p xmlns:a="http://schemas.openxmlformats.org/drawingml/2006/main">
            <a:pPr>
              <a:defRPr/>
            </a:pPr>
            <a:r>
              <a:t>Capture Price - DK1 Primary | DK2 Robustness</a:t>
            </a:r>
          </a:p>
        </rich>
      </tx>
      <overlay val="1"/>
    </title>
    <plotArea>
      <layout/>
      <lineChart>
        <grouping val="standard"/>
        <varyColors val="1"/>
        <ser>
          <idx val="0"/>
          <order val="0"/>
          <tx>
            <strRef>
              <f>'Capture Price Inputs'!$H$1</f>
              <strCache>
                <ptCount val="1"/>
                <pt idx="0">
                  <v>DK1 Capture Price (EUR/MWh) — Primary</v>
                </pt>
              </strCache>
            </strRef>
          </tx>
          <spPr>
            <a:ln xmlns:a="http://schemas.openxmlformats.org/drawingml/2006/main">
              <a:solidFill>
                <a:srgbClr val="2E75B6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val>
            <numRef>
              <f>'Capture Price Inputs'!$H$2:$H$85</f>
              <numCache>
                <formatCode>General</formatCode>
                <ptCount val="84"/>
                <pt idx="12">
                  <v>25.22320957280251</v>
                </pt>
                <pt idx="13">
                  <v>22.83581899109792</v>
                </pt>
                <pt idx="14">
                  <v>15.94107348554973</v>
                </pt>
                <pt idx="15">
                  <v>10.36487590420421</v>
                </pt>
                <pt idx="16">
                  <v>15.478548945086</v>
                </pt>
                <pt idx="17">
                  <v>27.31330822786869</v>
                </pt>
                <pt idx="18">
                  <v>24.83174517810916</v>
                </pt>
                <pt idx="19">
                  <v>33.87691542204785</v>
                </pt>
                <pt idx="20">
                  <v>38.93597900337959</v>
                </pt>
                <pt idx="21">
                  <v>31.92774153305919</v>
                </pt>
                <pt idx="22">
                  <v>26.00599326599326</v>
                </pt>
                <pt idx="23">
                  <v>34.79516129032258</v>
                </pt>
                <pt idx="24">
                  <v>55.42296760727792</v>
                </pt>
                <pt idx="25">
                  <v>47.54261097914259</v>
                </pt>
                <pt idx="26">
                  <v>44.55070091580549</v>
                </pt>
                <pt idx="27">
                  <v>43.594739828473</v>
                </pt>
                <pt idx="28">
                  <v>47.65587057500122</v>
                </pt>
                <pt idx="29">
                  <v>70.54354791111106</v>
                </pt>
                <pt idx="30">
                  <v>78.56831974775861</v>
                </pt>
                <pt idx="31">
                  <v>81.98335113640179</v>
                </pt>
                <pt idx="32">
                  <v>116.2002249554484</v>
                </pt>
                <pt idx="33">
                  <v>126.5303952032395</v>
                </pt>
                <pt idx="34">
                  <v>160.7705833010295</v>
                </pt>
                <pt idx="35">
                  <v>228.8621705579358</v>
                </pt>
                <pt idx="36">
                  <v>123.2012506791719</v>
                </pt>
                <pt idx="37">
                  <v>117.67077903546</v>
                </pt>
                <pt idx="38">
                  <v>191.508071735067</v>
                </pt>
                <pt idx="39">
                  <v>145.7013871592604</v>
                </pt>
                <pt idx="40">
                  <v>149.4185612445558</v>
                </pt>
                <pt idx="41">
                  <v>194.7110340948198</v>
                </pt>
                <pt idx="42">
                  <v>239.3981525107354</v>
                </pt>
                <pt idx="43">
                  <v>419.792637226606</v>
                </pt>
                <pt idx="44">
                  <v>310.7073992726671</v>
                </pt>
                <pt idx="45">
                  <v>125.6295598680838</v>
                </pt>
                <pt idx="46">
                  <v>131.7111886265582</v>
                </pt>
                <pt idx="47">
                  <v>282.8237937420726</v>
                </pt>
                <pt idx="48">
                  <v>138.5299886842633</v>
                </pt>
                <pt idx="49">
                  <v>109.8769757213503</v>
                </pt>
                <pt idx="50">
                  <v>93.77419094069538</v>
                </pt>
                <pt idx="51">
                  <v>76.25042822265543</v>
                </pt>
                <pt idx="52">
                  <v>50.54348776008261</v>
                </pt>
                <pt idx="53">
                  <v>74.88898277621806</v>
                </pt>
                <pt idx="54">
                  <v>52.09559943846345</v>
                </pt>
                <pt idx="55">
                  <v>74.18042603997819</v>
                </pt>
                <pt idx="56">
                  <v>68.11686962339694</v>
                </pt>
                <pt idx="57">
                  <v>50.53909051970285</v>
                </pt>
                <pt idx="58">
                  <v>90.68080556242518</v>
                </pt>
                <pt idx="59">
                  <v>63.45532768878803</v>
                </pt>
                <pt idx="60">
                  <v>78.57131644167831</v>
                </pt>
                <pt idx="61">
                  <v>59.47948676805509</v>
                </pt>
                <pt idx="62">
                  <v>51.26978324155493</v>
                </pt>
                <pt idx="63">
                  <v>49.38394056201121</v>
                </pt>
                <pt idx="64">
                  <v>35.89414827140887</v>
                </pt>
                <pt idx="65">
                  <v>47.03763372739765</v>
                </pt>
                <pt idx="66">
                  <v>42.52177322309952</v>
                </pt>
                <pt idx="67">
                  <v>52.17121747504909</v>
                </pt>
                <pt idx="68">
                  <v>45.64750462621701</v>
                </pt>
                <pt idx="69">
                  <v>58.44158378709199</v>
                </pt>
                <pt idx="70">
                  <v>97.58235261633192</v>
                </pt>
                <pt idx="71">
                  <v>92.07321769383398</v>
                </pt>
                <pt idx="72">
                  <v>111.1945655985155</v>
                </pt>
                <pt idx="73">
                  <v>105.4131597378828</v>
                </pt>
                <pt idx="74">
                  <v>57.84566339627056</v>
                </pt>
                <pt idx="75">
                  <v>45.84439577068735</v>
                </pt>
                <pt idx="76">
                  <v>40.06566739400938</v>
                </pt>
                <pt idx="77">
                  <v>33.4933819651966</v>
                </pt>
                <pt idx="78">
                  <v>61.32224821093979</v>
                </pt>
                <pt idx="79">
                  <v>47.75582456745756</v>
                </pt>
                <pt idx="80">
                  <v>49.42909499605724</v>
                </pt>
                <pt idx="81">
                  <v>74.26663453789526</v>
                </pt>
                <pt idx="82">
                  <v>95.56453180252134</v>
                </pt>
                <pt idx="83">
                  <v>80.95803424278026</v>
                </pt>
              </numCache>
            </numRef>
          </val>
          <smooth val="1"/>
        </ser>
        <ser>
          <idx val="1"/>
          <order val="1"/>
          <tx>
            <strRef>
              <f>'Capture Price Inputs'!$I$1</f>
              <strCache>
                <ptCount val="1"/>
                <pt idx="0">
                  <v>DK2 Capture Price (EUR/MWh) — Robustness</v>
                </pt>
              </strCache>
            </strRef>
          </tx>
          <spPr>
            <a:ln xmlns:a="http://schemas.openxmlformats.org/drawingml/2006/main">
              <a:solidFill>
                <a:srgbClr val="9DC3E6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val>
            <numRef>
              <f>'Capture Price Inputs'!$I$2:$I$85</f>
              <numCache>
                <formatCode>General</formatCode>
                <ptCount val="84"/>
                <pt idx="12">
                  <v>29.86213642213642</v>
                </pt>
                <pt idx="13">
                  <v>23.55551782972189</v>
                </pt>
                <pt idx="14">
                  <v>17.14905069226102</v>
                </pt>
                <pt idx="15">
                  <v>13.25252312836708</v>
                </pt>
                <pt idx="16">
                  <v>18.59404938271605</v>
                </pt>
                <pt idx="17">
                  <v>35.21078005032583</v>
                </pt>
                <pt idx="18">
                  <v>26.450778046867</v>
                </pt>
                <pt idx="19">
                  <v>44.11376501540486</v>
                </pt>
                <pt idx="20">
                  <v>41.85304788087056</v>
                </pt>
                <pt idx="21">
                  <v>33.60087837290333</v>
                </pt>
                <pt idx="22">
                  <v>37.749765625</v>
                </pt>
                <pt idx="23">
                  <v>44.19142857142857</v>
                </pt>
                <pt idx="24">
                  <v>57.07213441008145</v>
                </pt>
                <pt idx="25">
                  <v>52.28508365452458</v>
                </pt>
                <pt idx="26">
                  <v>47.42264301189781</v>
                </pt>
                <pt idx="27">
                  <v>45.90136374824883</v>
                </pt>
                <pt idx="28">
                  <v>50.2587202314608</v>
                </pt>
                <pt idx="29">
                  <v>69.46934165377623</v>
                </pt>
                <pt idx="30">
                  <v>77.93311155139432</v>
                </pt>
                <pt idx="31">
                  <v>84.51274769025703</v>
                </pt>
                <pt idx="32">
                  <v>118.7457227855615</v>
                </pt>
                <pt idx="33">
                  <v>122.3841235967906</v>
                </pt>
                <pt idx="34">
                  <v>153.6267942781575</v>
                </pt>
                <pt idx="35">
                  <v>244.4872785976441</v>
                </pt>
                <pt idx="36">
                  <v>129.6774902315082</v>
                </pt>
                <pt idx="37">
                  <v>108.8033389925641</v>
                </pt>
                <pt idx="38">
                  <v>186.0504424586062</v>
                </pt>
                <pt idx="39">
                  <v>143.5375888642185</v>
                </pt>
                <pt idx="40">
                  <v>146.2536023446033</v>
                </pt>
                <pt idx="41">
                  <v>192.2325905808319</v>
                </pt>
                <pt idx="42">
                  <v>212.3625858003895</v>
                </pt>
                <pt idx="43">
                  <v>397.1798848597606</v>
                </pt>
                <pt idx="44">
                  <v>315.928842796779</v>
                </pt>
                <pt idx="45">
                  <v>120.1190076327392</v>
                </pt>
                <pt idx="46">
                  <v>134.0399027878758</v>
                </pt>
                <pt idx="47">
                  <v>303.2697848166857</v>
                </pt>
                <pt idx="48">
                  <v>120.8992864784306</v>
                </pt>
                <pt idx="49">
                  <v>103.112625406295</v>
                </pt>
                <pt idx="50">
                  <v>89.0984689216417</v>
                </pt>
                <pt idx="51">
                  <v>71.1250997055942</v>
                </pt>
                <pt idx="52">
                  <v>48.35808379645633</v>
                </pt>
                <pt idx="53">
                  <v>71.8620903722224</v>
                </pt>
                <pt idx="54">
                  <v>50.34596661709235</v>
                </pt>
                <pt idx="55">
                  <v>72.95799234798741</v>
                </pt>
                <pt idx="56">
                  <v>64.3944846724649</v>
                </pt>
                <pt idx="57">
                  <v>47.66025509428685</v>
                </pt>
                <pt idx="58">
                  <v>84.63997860526599</v>
                </pt>
                <pt idx="59">
                  <v>59.06174633307972</v>
                </pt>
                <pt idx="60">
                  <v>76.42720253521921</v>
                </pt>
                <pt idx="61">
                  <v>51.43437919654775</v>
                </pt>
                <pt idx="62">
                  <v>50.75116381305344</v>
                </pt>
                <pt idx="63">
                  <v>47.053967904828</v>
                </pt>
                <pt idx="64">
                  <v>34.29579411369289</v>
                </pt>
                <pt idx="65">
                  <v>46.37938403458337</v>
                </pt>
                <pt idx="66">
                  <v>38.81282196947117</v>
                </pt>
                <pt idx="67">
                  <v>47.15186311829253</v>
                </pt>
                <pt idx="68">
                  <v>43.35594635084219</v>
                </pt>
                <pt idx="69">
                  <v>59.53493763028656</v>
                </pt>
                <pt idx="70">
                  <v>89.61127747791728</v>
                </pt>
                <pt idx="71">
                  <v>100.7961313991171</v>
                </pt>
                <pt idx="72">
                  <v>115.0822593270056</v>
                </pt>
                <pt idx="73">
                  <v>106.9231820731682</v>
                </pt>
                <pt idx="74">
                  <v>50.01806296126875</v>
                </pt>
                <pt idx="75">
                  <v>41.82584156307518</v>
                </pt>
                <pt idx="76">
                  <v>34.32066034459122</v>
                </pt>
                <pt idx="77">
                  <v>24.31568572006325</v>
                </pt>
                <pt idx="78">
                  <v>59.76694388214769</v>
                </pt>
                <pt idx="79">
                  <v>43.06460478354486</v>
                </pt>
                <pt idx="80">
                  <v>52.94940515380836</v>
                </pt>
                <pt idx="81">
                  <v>78.64573032240668</v>
                </pt>
                <pt idx="82">
                  <v>92.69045487153267</v>
                </pt>
                <pt idx="83">
                  <v>79.63122802208366</v>
                </pt>
              </numCache>
            </numRef>
          </val>
          <smooth val="1"/>
        </ser>
        <dLbls>
          <showLegendKey val="0"/>
          <showVal val="0"/>
          <showCatName val="0"/>
          <showSerName val="0"/>
          <showPercent val="0"/>
          <showBubbleSize val="0"/>
        </dLbls>
        <smooth val="0"/>
        <axId val="10"/>
        <axId val="100"/>
      </lineChart>
      <catAx>
        <axId val="10"/>
        <scaling>
          <orientation val="minMax"/>
        </scaling>
        <delete val="1"/>
        <axPos val="b"/>
        <title>
          <tx>
            <rich>
              <a:bodyPr xmlns:a="http://schemas.openxmlformats.org/drawingml/2006/main"/>
              <a:lstStyle xmlns:a="http://schemas.openxmlformats.org/drawingml/2006/main"/>
              <a:p xmlns:a="http://schemas.openxmlformats.org/drawingml/2006/main">
                <a:pPr>
                  <a:defRPr/>
                </a:pPr>
                <a:r>
                  <a:t>Month</a:t>
                </a:r>
              </a:p>
            </rich>
          </tx>
          <overlay val="1"/>
        </title>
        <majorTickMark val="none"/>
        <minorTickMark val="none"/>
        <tickLblPos val="nextTo"/>
        <crossAx val="100"/>
        <crosses val="autoZero"/>
        <auto val="1"/>
        <lblAlgn val="ctr"/>
        <lblOffset val="100"/>
        <noMultiLvlLbl val="1"/>
      </catAx>
      <valAx>
        <axId val="100"/>
        <scaling>
          <orientation val="minMax"/>
        </scaling>
        <delete val="1"/>
        <axPos val="l"/>
        <majorGridlines/>
        <title>
          <tx>
            <rich>
              <a:bodyPr xmlns:a="http://schemas.openxmlformats.org/drawingml/2006/main"/>
              <a:lstStyle xmlns:a="http://schemas.openxmlformats.org/drawingml/2006/main"/>
              <a:p xmlns:a="http://schemas.openxmlformats.org/drawingml/2006/main">
                <a:pPr>
                  <a:defRPr/>
                </a:pPr>
                <a:r>
                  <a:t>EUR/MWh</a:t>
                </a:r>
              </a:p>
            </rich>
          </tx>
          <overlay val="1"/>
        </title>
        <numFmt formatCode="General" sourceLinked="1"/>
        <majorTickMark val="none"/>
        <minorTickMark val="none"/>
        <tickLblPos val="nextTo"/>
        <crossAx val="10"/>
        <crosses val="autoZero"/>
        <crossBetween val="between"/>
      </valAx>
    </plotArea>
    <legend>
      <legendPos val="r"/>
      <overlay val="1"/>
    </legend>
    <plotVisOnly val="1"/>
    <dispBlanksAs val="gap"/>
  </chart>
</chartSpace>
</file>

<file path=xl/charts/chart128.xml><?xml version="1.0" encoding="utf-8"?>
<chartSpace xmlns="http://schemas.openxmlformats.org/drawingml/2006/chart">
  <chart>
    <title>
      <tx>
        <rich>
          <a:bodyPr xmlns:a="http://schemas.openxmlformats.org/drawingml/2006/main"/>
          <a:lstStyle xmlns:a="http://schemas.openxmlformats.org/drawingml/2006/main"/>
          <a:p xmlns:a="http://schemas.openxmlformats.org/drawingml/2006/main">
            <a:pPr>
              <a:defRPr/>
            </a:pPr>
            <a:r>
              <a:t>Capture Price Ratio - DK1 Primary | DK2 Robustness</a:t>
            </a:r>
          </a:p>
        </rich>
      </tx>
      <overlay val="1"/>
    </title>
    <plotArea>
      <layout/>
      <lineChart>
        <grouping val="standard"/>
        <varyColors val="1"/>
        <ser>
          <idx val="0"/>
          <order val="0"/>
          <tx>
            <strRef>
              <f>'Capture Price Inputs'!$J$1</f>
              <strCache>
                <ptCount val="1"/>
                <pt idx="0">
                  <v>DK1 CPR — Primary</v>
                </pt>
              </strCache>
            </strRef>
          </tx>
          <spPr>
            <a:ln xmlns:a="http://schemas.openxmlformats.org/drawingml/2006/main">
              <a:solidFill>
                <a:srgbClr val="2E75B6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val>
            <numRef>
              <f>'Capture Price Inputs'!$J$2:$J$85</f>
              <numCache>
                <formatCode>General</formatCode>
                <ptCount val="84"/>
                <pt idx="12">
                  <v>1.009148659447442</v>
                </pt>
                <pt idx="13">
                  <v>1.298591168695051</v>
                </pt>
                <pt idx="14">
                  <v>0.8710146939215303</v>
                </pt>
                <pt idx="15">
                  <v>0.7131577255881921</v>
                </pt>
                <pt idx="16">
                  <v>0.9641557693120565</v>
                </pt>
                <pt idx="17">
                  <v>1.039466413731094</v>
                </pt>
                <pt idx="18">
                  <v>1.008618155660831</v>
                </pt>
                <pt idx="19">
                  <v>0.9808226440750074</v>
                </pt>
                <pt idx="20">
                  <v>1.010404486913005</v>
                </pt>
                <pt idx="21">
                  <v>1.236802226812374</v>
                </pt>
                <pt idx="22">
                  <v>1.094777917215692</v>
                </pt>
                <pt idx="23">
                  <v>1.008230164182662</v>
                </pt>
                <pt idx="24">
                  <v>1.103930861568265</v>
                </pt>
                <pt idx="25">
                  <v>1.005947927705425</v>
                </pt>
                <pt idx="26">
                  <v>0.9871758725122356</v>
                </pt>
                <pt idx="27">
                  <v>0.9088464745665017</v>
                </pt>
                <pt idx="28">
                  <v>0.8775180518715436</v>
                </pt>
                <pt idx="29">
                  <v>0.9569142795347317</v>
                </pt>
                <pt idx="30">
                  <v>0.9821132371596978</v>
                </pt>
                <pt idx="31">
                  <v>0.9902714780245057</v>
                </pt>
                <pt idx="32">
                  <v>0.9269044048361358</v>
                </pt>
                <pt idx="33">
                  <v>1.081088507413439</v>
                </pt>
                <pt idx="34">
                  <v>1.133803408504466</v>
                </pt>
                <pt idx="35">
                  <v>1.208676962454928</v>
                </pt>
                <pt idx="36">
                  <v>1.044125730427727</v>
                </pt>
                <pt idx="37">
                  <v>1.04022281700981</v>
                </pt>
                <pt idx="38">
                  <v>0.8120775904420741</v>
                </pt>
                <pt idx="39">
                  <v>0.8903913338467833</v>
                </pt>
                <pt idx="40">
                  <v>0.8694301605049858</v>
                </pt>
                <pt idx="41">
                  <v>0.9080390201234191</v>
                </pt>
                <pt idx="42">
                  <v>0.8704179159294955</v>
                </pt>
                <pt idx="43">
                  <v>0.9190855304670003</v>
                </pt>
                <pt idx="44">
                  <v>0.9063290180568312</v>
                </pt>
                <pt idx="45">
                  <v>0.9161232525396177</v>
                </pt>
                <pt idx="46">
                  <v>0.9427861207466001</v>
                </pt>
                <pt idx="47">
                  <v>1.132810339248927</v>
                </pt>
                <pt idx="48">
                  <v>1.230919869122654</v>
                </pt>
                <pt idx="49">
                  <v>0.93008781340266</v>
                </pt>
                <pt idx="50">
                  <v>0.9461253975959896</v>
                </pt>
                <pt idx="51">
                  <v>0.7920396612038634</v>
                </pt>
                <pt idx="52">
                  <v>0.6833361056151995</v>
                </pt>
                <pt idx="53">
                  <v>0.8096506208621567</v>
                </pt>
                <pt idx="54">
                  <v>0.8038042195326093</v>
                </pt>
                <pt idx="55">
                  <v>0.8628930977720407</v>
                </pt>
                <pt idx="56">
                  <v>0.8038389922187259</v>
                </pt>
                <pt idx="57">
                  <v>0.8408360556054226</v>
                </pt>
                <pt idx="58">
                  <v>1.028656893611996</v>
                </pt>
                <pt idx="59">
                  <v>0.9132560776287663</v>
                </pt>
                <pt idx="60">
                  <v>1.051614630458469</v>
                </pt>
                <pt idx="61">
                  <v>1.014420829179444</v>
                </pt>
                <pt idx="62">
                  <v>0.8373818542217274</v>
                </pt>
                <pt idx="63">
                  <v>0.8346846016164379</v>
                </pt>
                <pt idx="64">
                  <v>0.6133984536650869</v>
                </pt>
                <pt idx="65">
                  <v>0.7378100322386865</v>
                </pt>
                <pt idx="66">
                  <v>0.685499494870618</v>
                </pt>
                <pt idx="67">
                  <v>0.7151267621934952</v>
                </pt>
                <pt idx="68">
                  <v>0.636525223039573</v>
                </pt>
                <pt idx="69">
                  <v>0.7617518807592967</v>
                </pt>
                <pt idx="70">
                  <v>1.017494003861172</v>
                </pt>
                <pt idx="71">
                  <v>1.002567416041121</v>
                </pt>
                <pt idx="72">
                  <v>1.135032584901597</v>
                </pt>
                <pt idx="73">
                  <v>0.9341166514187298</v>
                </pt>
                <pt idx="74">
                  <v>0.6857908168802248</v>
                </pt>
                <pt idx="75">
                  <v>0.609953535618325</v>
                </pt>
                <pt idx="76">
                  <v>0.6237511742318941</v>
                </pt>
                <pt idx="77">
                  <v>0.569764321286333</v>
                </pt>
                <pt idx="78">
                  <v>0.7405896710838001</v>
                </pt>
                <pt idx="79">
                  <v>0.6499711234459455</v>
                </pt>
                <pt idx="80">
                  <v>0.6827347489865859</v>
                </pt>
                <pt idx="81">
                  <v>0.9470151719348058</v>
                </pt>
                <pt idx="82">
                  <v>1.028976430956097</v>
                </pt>
                <pt idx="83">
                  <v>0.9820538861792604</v>
                </pt>
              </numCache>
            </numRef>
          </val>
          <smooth val="1"/>
        </ser>
        <ser>
          <idx val="1"/>
          <order val="1"/>
          <tx>
            <strRef>
              <f>'Capture Price Inputs'!$K$1</f>
              <strCache>
                <ptCount val="1"/>
                <pt idx="0">
                  <v>DK2 CPR — Robustness</v>
                </pt>
              </strCache>
            </strRef>
          </tx>
          <spPr>
            <a:ln xmlns:a="http://schemas.openxmlformats.org/drawingml/2006/main">
              <a:solidFill>
                <a:srgbClr val="9DC3E6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val>
            <numRef>
              <f>'Capture Price Inputs'!$K$2:$K$85</f>
              <numCache>
                <formatCode>General</formatCode>
                <ptCount val="84"/>
                <pt idx="12">
                  <v>1.090446324793763</v>
                </pt>
                <pt idx="13">
                  <v>1.251821301318464</v>
                </pt>
                <pt idx="14">
                  <v>0.8552077585127711</v>
                </pt>
                <pt idx="15">
                  <v>0.763620235478716</v>
                </pt>
                <pt idx="16">
                  <v>0.9763693823354528</v>
                </pt>
                <pt idx="17">
                  <v>1.180647007173951</v>
                </pt>
                <pt idx="18">
                  <v>1.021791049952987</v>
                </pt>
                <pt idx="19">
                  <v>1.077948442472481</v>
                </pt>
                <pt idx="20">
                  <v>1.059189092335807</v>
                </pt>
                <pt idx="21">
                  <v>1.247549053102559</v>
                </pt>
                <pt idx="22">
                  <v>1.057080411727209</v>
                </pt>
                <pt idx="23">
                  <v>1.125691191699302</v>
                </pt>
                <pt idx="24">
                  <v>1.122164979814525</v>
                </pt>
                <pt idx="25">
                  <v>0.9585139857498034</v>
                </pt>
                <pt idx="26">
                  <v>1.014774172650395</v>
                </pt>
                <pt idx="27">
                  <v>0.9590164366476613</v>
                </pt>
                <pt idx="28">
                  <v>0.9103388736117121</v>
                </pt>
                <pt idx="29">
                  <v>0.9440449187481634</v>
                </pt>
                <pt idx="30">
                  <v>0.9569285690465077</v>
                </pt>
                <pt idx="31">
                  <v>1.001768528067071</v>
                </pt>
                <pt idx="32">
                  <v>0.9583833699094481</v>
                </pt>
                <pt idx="33">
                  <v>1.144501265847132</v>
                </pt>
                <pt idx="34">
                  <v>1.126460857141801</v>
                </pt>
                <pt idx="35">
                  <v>1.279578427053047</v>
                </pt>
                <pt idx="36">
                  <v>1.161754652341282</v>
                </pt>
                <pt idx="37">
                  <v>1.084871924613185</v>
                </pt>
                <pt idx="38">
                  <v>0.8162958275837114</v>
                </pt>
                <pt idx="39">
                  <v>0.9391804877392103</v>
                </pt>
                <pt idx="40">
                  <v>0.8991456314331195</v>
                </pt>
                <pt idx="41">
                  <v>0.9015136745747578</v>
                </pt>
                <pt idx="42">
                  <v>0.909562444967756</v>
                </pt>
                <pt idx="43">
                  <v>0.8830756108422062</v>
                </pt>
                <pt idx="44">
                  <v>0.9608536982958826</v>
                </pt>
                <pt idx="45">
                  <v>0.8774354195736861</v>
                </pt>
                <pt idx="46">
                  <v>0.9240447439178995</v>
                </pt>
                <pt idx="47">
                  <v>1.218528056069729</v>
                </pt>
                <pt idx="48">
                  <v>1.21186632363043</v>
                </pt>
                <pt idx="49">
                  <v>1.024478122815962</v>
                </pt>
                <pt idx="50">
                  <v>0.992236312197012</v>
                </pt>
                <pt idx="51">
                  <v>0.8502587347820391</v>
                </pt>
                <pt idx="52">
                  <v>0.7310174827054021</v>
                </pt>
                <pt idx="53">
                  <v>0.7860381991736552</v>
                </pt>
                <pt idx="54">
                  <v>0.7717034871247128</v>
                </pt>
                <pt idx="55">
                  <v>0.8454610410569836</v>
                </pt>
                <pt idx="56">
                  <v>0.7532917330845335</v>
                </pt>
                <pt idx="57">
                  <v>0.837234490334641</v>
                </pt>
                <pt idx="58">
                  <v>1.038705241708771</v>
                </pt>
                <pt idx="59">
                  <v>0.8332670757562848</v>
                </pt>
                <pt idx="60">
                  <v>0.977144875107929</v>
                </pt>
                <pt idx="61">
                  <v>0.9399172603334611</v>
                </pt>
                <pt idx="62">
                  <v>0.8314293202728863</v>
                </pt>
                <pt idx="63">
                  <v>0.7780510745637418</v>
                </pt>
                <pt idx="64">
                  <v>0.5900556342707577</v>
                </pt>
                <pt idx="65">
                  <v>0.6943958569114143</v>
                </pt>
                <pt idx="66">
                  <v>0.6176283845394642</v>
                </pt>
                <pt idx="67">
                  <v>0.6493471479229646</v>
                </pt>
                <pt idx="68">
                  <v>0.6157480113547513</v>
                </pt>
                <pt idx="69">
                  <v>0.7800073506793195</v>
                </pt>
                <pt idx="70">
                  <v>0.9404779955101509</v>
                </pt>
                <pt idx="71">
                  <v>1.087006718547946</v>
                </pt>
                <pt idx="72">
                  <v>1.149400364807902</v>
                </pt>
                <pt idx="73">
                  <v>0.9066238427133391</v>
                </pt>
                <pt idx="74">
                  <v>0.603741164715803</v>
                </pt>
                <pt idx="75">
                  <v>0.5517436798810373</v>
                </pt>
                <pt idx="76">
                  <v>0.544059463307295</v>
                </pt>
                <pt idx="77">
                  <v>0.4307606652121766</v>
                </pt>
                <pt idx="78">
                  <v>0.7474634186196619</v>
                </pt>
                <pt idx="79">
                  <v>0.5717894234335987</v>
                </pt>
                <pt idx="80">
                  <v>0.635731600833678</v>
                </pt>
                <pt idx="81">
                  <v>0.9548084008156305</v>
                </pt>
                <pt idx="82">
                  <v>0.9892725129496999</v>
                </pt>
                <pt idx="83">
                  <v>0.9701479625359415</v>
                </pt>
              </numCache>
            </numRef>
          </val>
          <smooth val="1"/>
        </ser>
        <dLbls>
          <showLegendKey val="0"/>
          <showVal val="0"/>
          <showCatName val="0"/>
          <showSerName val="0"/>
          <showPercent val="0"/>
          <showBubbleSize val="0"/>
        </dLbls>
        <smooth val="0"/>
        <axId val="10"/>
        <axId val="100"/>
      </lineChart>
      <catAx>
        <axId val="10"/>
        <scaling>
          <orientation val="minMax"/>
        </scaling>
        <delete val="1"/>
        <axPos val="b"/>
        <title>
          <tx>
            <rich>
              <a:bodyPr xmlns:a="http://schemas.openxmlformats.org/drawingml/2006/main"/>
              <a:lstStyle xmlns:a="http://schemas.openxmlformats.org/drawingml/2006/main"/>
              <a:p xmlns:a="http://schemas.openxmlformats.org/drawingml/2006/main">
                <a:pPr>
                  <a:defRPr/>
                </a:pPr>
                <a:r>
                  <a:t>Month</a:t>
                </a:r>
              </a:p>
            </rich>
          </tx>
          <overlay val="1"/>
        </title>
        <majorTickMark val="none"/>
        <minorTickMark val="none"/>
        <tickLblPos val="nextTo"/>
        <crossAx val="100"/>
        <crosses val="autoZero"/>
        <auto val="1"/>
        <lblAlgn val="ctr"/>
        <lblOffset val="100"/>
        <noMultiLvlLbl val="1"/>
      </catAx>
      <valAx>
        <axId val="100"/>
        <scaling>
          <orientation val="minMax"/>
        </scaling>
        <delete val="1"/>
        <axPos val="l"/>
        <majorGridlines/>
        <title>
          <tx>
            <rich>
              <a:bodyPr xmlns:a="http://schemas.openxmlformats.org/drawingml/2006/main"/>
              <a:lstStyle xmlns:a="http://schemas.openxmlformats.org/drawingml/2006/main"/>
              <a:p xmlns:a="http://schemas.openxmlformats.org/drawingml/2006/main">
                <a:pPr>
                  <a:defRPr/>
                </a:pPr>
                <a:r>
                  <a:t>CPR</a:t>
                </a:r>
              </a:p>
            </rich>
          </tx>
          <overlay val="1"/>
        </title>
        <numFmt formatCode="General" sourceLinked="1"/>
        <majorTickMark val="none"/>
        <minorTickMark val="none"/>
        <tickLblPos val="nextTo"/>
        <crossAx val="10"/>
        <crosses val="autoZero"/>
        <crossBetween val="between"/>
      </valAx>
    </plotArea>
    <legend>
      <legendPos val="r"/>
      <overlay val="1"/>
    </legend>
    <plotVisOnly val="1"/>
    <dispBlanksAs val="gap"/>
  </chart>
</chartSpace>
</file>

<file path=xl/charts/chart129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Solar Penetration - DK1 Primary | DK2 Robustness</a:t>
            </a:r>
          </a:p>
        </rich>
      </tx>
    </title>
    <plotArea>
      <lineChart>
        <grouping val="standard"/>
        <ser>
          <idx val="0"/>
          <order val="0"/>
          <tx>
            <strRef>
              <f>'Capture Price Inputs'!F1</f>
            </strRef>
          </tx>
          <spPr>
            <a:ln xmlns:a="http://schemas.openxmlformats.org/drawingml/2006/main">
              <a:solidFill>
                <a:srgbClr val="FF8C00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val>
            <numRef>
              <f>'Capture Price Inputs'!$F$2:$F$85</f>
            </numRef>
          </val>
        </ser>
        <ser>
          <idx val="1"/>
          <order val="1"/>
          <tx>
            <strRef>
              <f>'Capture Price Inputs'!G1</f>
            </strRef>
          </tx>
          <spPr>
            <a:ln xmlns:a="http://schemas.openxmlformats.org/drawingml/2006/main">
              <a:solidFill>
                <a:srgbClr val="FFD700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val>
            <numRef>
              <f>'Capture Price Inputs'!$G$2:$G$85</f>
            </numRef>
          </val>
        </ser>
        <axId val="10"/>
        <axId val="100"/>
      </lineChart>
      <catAx>
        <axId val="10"/>
        <scaling>
          <orientation val="minMax"/>
        </scaling>
        <axPos val="l"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Month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Solar Penetration (%)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130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Capture Price - DK1 Primary | DK2 Robustness</a:t>
            </a:r>
          </a:p>
        </rich>
      </tx>
    </title>
    <plotArea>
      <lineChart>
        <grouping val="standard"/>
        <ser>
          <idx val="0"/>
          <order val="0"/>
          <tx>
            <strRef>
              <f>'Capture Price Inputs'!H1</f>
            </strRef>
          </tx>
          <spPr>
            <a:ln xmlns:a="http://schemas.openxmlformats.org/drawingml/2006/main">
              <a:solidFill>
                <a:srgbClr val="2E75B6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val>
            <numRef>
              <f>'Capture Price Inputs'!$H$2:$H$85</f>
            </numRef>
          </val>
        </ser>
        <ser>
          <idx val="1"/>
          <order val="1"/>
          <tx>
            <strRef>
              <f>'Capture Price Inputs'!I1</f>
            </strRef>
          </tx>
          <spPr>
            <a:ln xmlns:a="http://schemas.openxmlformats.org/drawingml/2006/main">
              <a:solidFill>
                <a:srgbClr val="9DC3E6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val>
            <numRef>
              <f>'Capture Price Inputs'!$I$2:$I$85</f>
            </numRef>
          </val>
        </ser>
        <axId val="10"/>
        <axId val="100"/>
      </lineChart>
      <catAx>
        <axId val="10"/>
        <scaling>
          <orientation val="minMax"/>
        </scaling>
        <axPos val="l"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Month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EUR/MWh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131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Capture Price Ratio - DK1 Primary | DK2 Robustness</a:t>
            </a:r>
          </a:p>
        </rich>
      </tx>
    </title>
    <plotArea>
      <lineChart>
        <grouping val="standard"/>
        <ser>
          <idx val="0"/>
          <order val="0"/>
          <tx>
            <strRef>
              <f>'Capture Price Inputs'!J1</f>
            </strRef>
          </tx>
          <spPr>
            <a:ln xmlns:a="http://schemas.openxmlformats.org/drawingml/2006/main">
              <a:solidFill>
                <a:srgbClr val="2E75B6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val>
            <numRef>
              <f>'Capture Price Inputs'!$J$2:$J$85</f>
            </numRef>
          </val>
        </ser>
        <ser>
          <idx val="1"/>
          <order val="1"/>
          <tx>
            <strRef>
              <f>'Capture Price Inputs'!K1</f>
            </strRef>
          </tx>
          <spPr>
            <a:ln xmlns:a="http://schemas.openxmlformats.org/drawingml/2006/main">
              <a:solidFill>
                <a:srgbClr val="9DC3E6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val>
            <numRef>
              <f>'Capture Price Inputs'!$K$2:$K$85</f>
            </numRef>
          </val>
        </ser>
        <axId val="10"/>
        <axId val="100"/>
      </lineChart>
      <catAx>
        <axId val="10"/>
        <scaling>
          <orientation val="minMax"/>
        </scaling>
        <axPos val="l"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Month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CPR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132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Solar Penetration - DK1 Primary | DK2 Robustness</a:t>
            </a:r>
          </a:p>
        </rich>
      </tx>
    </title>
    <plotArea>
      <lineChart>
        <grouping val="standard"/>
        <ser>
          <idx val="0"/>
          <order val="0"/>
          <tx>
            <strRef>
              <f>'Capture Price Inputs'!F1</f>
            </strRef>
          </tx>
          <spPr>
            <a:ln xmlns:a="http://schemas.openxmlformats.org/drawingml/2006/main">
              <a:solidFill>
                <a:srgbClr val="FF8C00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val>
            <numRef>
              <f>'Capture Price Inputs'!$F$2:$F$85</f>
            </numRef>
          </val>
        </ser>
        <ser>
          <idx val="1"/>
          <order val="1"/>
          <tx>
            <strRef>
              <f>'Capture Price Inputs'!G1</f>
            </strRef>
          </tx>
          <spPr>
            <a:ln xmlns:a="http://schemas.openxmlformats.org/drawingml/2006/main">
              <a:solidFill>
                <a:srgbClr val="FFD700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val>
            <numRef>
              <f>'Capture Price Inputs'!$G$2:$G$85</f>
            </numRef>
          </val>
        </ser>
        <axId val="10"/>
        <axId val="100"/>
      </lineChart>
      <catAx>
        <axId val="10"/>
        <scaling>
          <orientation val="minMax"/>
        </scaling>
        <axPos val="l"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Month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Solar Penetration (%)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133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Capture Price - DK1 Primary | DK2 Robustness</a:t>
            </a:r>
          </a:p>
        </rich>
      </tx>
    </title>
    <plotArea>
      <lineChart>
        <grouping val="standard"/>
        <ser>
          <idx val="0"/>
          <order val="0"/>
          <tx>
            <strRef>
              <f>'Capture Price Inputs'!H1</f>
            </strRef>
          </tx>
          <spPr>
            <a:ln xmlns:a="http://schemas.openxmlformats.org/drawingml/2006/main">
              <a:solidFill>
                <a:srgbClr val="2E75B6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val>
            <numRef>
              <f>'Capture Price Inputs'!$H$2:$H$85</f>
            </numRef>
          </val>
        </ser>
        <ser>
          <idx val="1"/>
          <order val="1"/>
          <tx>
            <strRef>
              <f>'Capture Price Inputs'!I1</f>
            </strRef>
          </tx>
          <spPr>
            <a:ln xmlns:a="http://schemas.openxmlformats.org/drawingml/2006/main">
              <a:solidFill>
                <a:srgbClr val="9DC3E6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val>
            <numRef>
              <f>'Capture Price Inputs'!$I$2:$I$85</f>
            </numRef>
          </val>
        </ser>
        <axId val="10"/>
        <axId val="100"/>
      </lineChart>
      <catAx>
        <axId val="10"/>
        <scaling>
          <orientation val="minMax"/>
        </scaling>
        <axPos val="l"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Month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EUR/MWh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134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Capture Price Ratio - DK1 Primary | DK2 Robustness</a:t>
            </a:r>
          </a:p>
        </rich>
      </tx>
    </title>
    <plotArea>
      <lineChart>
        <grouping val="standard"/>
        <ser>
          <idx val="0"/>
          <order val="0"/>
          <tx>
            <strRef>
              <f>'Capture Price Inputs'!J1</f>
            </strRef>
          </tx>
          <spPr>
            <a:ln xmlns:a="http://schemas.openxmlformats.org/drawingml/2006/main">
              <a:solidFill>
                <a:srgbClr val="2E75B6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val>
            <numRef>
              <f>'Capture Price Inputs'!$J$2:$J$85</f>
            </numRef>
          </val>
        </ser>
        <ser>
          <idx val="1"/>
          <order val="1"/>
          <tx>
            <strRef>
              <f>'Capture Price Inputs'!K1</f>
            </strRef>
          </tx>
          <spPr>
            <a:ln xmlns:a="http://schemas.openxmlformats.org/drawingml/2006/main">
              <a:solidFill>
                <a:srgbClr val="9DC3E6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val>
            <numRef>
              <f>'Capture Price Inputs'!$K$2:$K$85</f>
            </numRef>
          </val>
        </ser>
        <axId val="10"/>
        <axId val="100"/>
      </lineChart>
      <catAx>
        <axId val="10"/>
        <scaling>
          <orientation val="minMax"/>
        </scaling>
        <axPos val="l"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Month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CPR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135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Solar Penetration - DK1 Primary | DK2 Robustness</a:t>
            </a:r>
          </a:p>
        </rich>
      </tx>
    </title>
    <plotArea>
      <lineChart>
        <grouping val="standard"/>
        <ser>
          <idx val="0"/>
          <order val="0"/>
          <tx>
            <strRef>
              <f>'Capture Price Inputs'!F1</f>
            </strRef>
          </tx>
          <spPr>
            <a:ln xmlns:a="http://schemas.openxmlformats.org/drawingml/2006/main">
              <a:solidFill>
                <a:srgbClr val="FF8C00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val>
            <numRef>
              <f>'Capture Price Inputs'!$F$2:$F$85</f>
            </numRef>
          </val>
        </ser>
        <ser>
          <idx val="1"/>
          <order val="1"/>
          <tx>
            <strRef>
              <f>'Capture Price Inputs'!G1</f>
            </strRef>
          </tx>
          <spPr>
            <a:ln xmlns:a="http://schemas.openxmlformats.org/drawingml/2006/main">
              <a:solidFill>
                <a:srgbClr val="FFD700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val>
            <numRef>
              <f>'Capture Price Inputs'!$G$2:$G$85</f>
            </numRef>
          </val>
        </ser>
        <axId val="10"/>
        <axId val="100"/>
      </lineChart>
      <catAx>
        <axId val="10"/>
        <scaling>
          <orientation val="minMax"/>
        </scaling>
        <axPos val="l"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Month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Solar Penetration (%)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136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Capture Price - DK1 Primary | DK2 Robustness</a:t>
            </a:r>
          </a:p>
        </rich>
      </tx>
    </title>
    <plotArea>
      <lineChart>
        <grouping val="standard"/>
        <ser>
          <idx val="0"/>
          <order val="0"/>
          <tx>
            <strRef>
              <f>'Capture Price Inputs'!H1</f>
            </strRef>
          </tx>
          <spPr>
            <a:ln xmlns:a="http://schemas.openxmlformats.org/drawingml/2006/main">
              <a:solidFill>
                <a:srgbClr val="2E75B6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val>
            <numRef>
              <f>'Capture Price Inputs'!$H$2:$H$85</f>
            </numRef>
          </val>
        </ser>
        <ser>
          <idx val="1"/>
          <order val="1"/>
          <tx>
            <strRef>
              <f>'Capture Price Inputs'!I1</f>
            </strRef>
          </tx>
          <spPr>
            <a:ln xmlns:a="http://schemas.openxmlformats.org/drawingml/2006/main">
              <a:solidFill>
                <a:srgbClr val="9DC3E6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val>
            <numRef>
              <f>'Capture Price Inputs'!$I$2:$I$85</f>
            </numRef>
          </val>
        </ser>
        <axId val="10"/>
        <axId val="100"/>
      </lineChart>
      <catAx>
        <axId val="10"/>
        <scaling>
          <orientation val="minMax"/>
        </scaling>
        <axPos val="l"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Month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EUR/MWh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137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Capture Price Ratio - DK1 Primary | DK2 Robustness</a:t>
            </a:r>
          </a:p>
        </rich>
      </tx>
    </title>
    <plotArea>
      <lineChart>
        <grouping val="standard"/>
        <ser>
          <idx val="0"/>
          <order val="0"/>
          <tx>
            <strRef>
              <f>'Capture Price Inputs'!J1</f>
            </strRef>
          </tx>
          <spPr>
            <a:ln xmlns:a="http://schemas.openxmlformats.org/drawingml/2006/main">
              <a:solidFill>
                <a:srgbClr val="2E75B6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val>
            <numRef>
              <f>'Capture Price Inputs'!$J$2:$J$85</f>
            </numRef>
          </val>
        </ser>
        <ser>
          <idx val="1"/>
          <order val="1"/>
          <tx>
            <strRef>
              <f>'Capture Price Inputs'!K1</f>
            </strRef>
          </tx>
          <spPr>
            <a:ln xmlns:a="http://schemas.openxmlformats.org/drawingml/2006/main">
              <a:solidFill>
                <a:srgbClr val="9DC3E6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val>
            <numRef>
              <f>'Capture Price Inputs'!$K$2:$K$85</f>
            </numRef>
          </val>
        </ser>
        <axId val="10"/>
        <axId val="100"/>
      </lineChart>
      <catAx>
        <axId val="10"/>
        <scaling>
          <orientation val="minMax"/>
        </scaling>
        <axPos val="l"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Month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CPR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138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Solar Penetration - DK1 Primary | DK2 Robustness</a:t>
            </a:r>
          </a:p>
        </rich>
      </tx>
    </title>
    <plotArea>
      <lineChart>
        <grouping val="standard"/>
        <ser>
          <idx val="0"/>
          <order val="0"/>
          <tx>
            <strRef>
              <f>'Capture Price Inputs'!F1</f>
            </strRef>
          </tx>
          <spPr>
            <a:ln xmlns:a="http://schemas.openxmlformats.org/drawingml/2006/main">
              <a:solidFill>
                <a:srgbClr val="FF8C00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val>
            <numRef>
              <f>'Capture Price Inputs'!$F$2:$F$85</f>
            </numRef>
          </val>
        </ser>
        <ser>
          <idx val="1"/>
          <order val="1"/>
          <tx>
            <strRef>
              <f>'Capture Price Inputs'!G1</f>
            </strRef>
          </tx>
          <spPr>
            <a:ln xmlns:a="http://schemas.openxmlformats.org/drawingml/2006/main">
              <a:solidFill>
                <a:srgbClr val="FFD700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val>
            <numRef>
              <f>'Capture Price Inputs'!$G$2:$G$85</f>
            </numRef>
          </val>
        </ser>
        <axId val="10"/>
        <axId val="100"/>
      </lineChart>
      <catAx>
        <axId val="10"/>
        <scaling>
          <orientation val="minMax"/>
        </scaling>
        <axPos val="l"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Month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Solar Penetration (%)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139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Capture Price - DK1 Primary | DK2 Robustness</a:t>
            </a:r>
          </a:p>
        </rich>
      </tx>
    </title>
    <plotArea>
      <lineChart>
        <grouping val="standard"/>
        <ser>
          <idx val="0"/>
          <order val="0"/>
          <tx>
            <strRef>
              <f>'Capture Price Inputs'!H1</f>
            </strRef>
          </tx>
          <spPr>
            <a:ln xmlns:a="http://schemas.openxmlformats.org/drawingml/2006/main">
              <a:solidFill>
                <a:srgbClr val="2E75B6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val>
            <numRef>
              <f>'Capture Price Inputs'!$H$2:$H$85</f>
            </numRef>
          </val>
        </ser>
        <ser>
          <idx val="1"/>
          <order val="1"/>
          <tx>
            <strRef>
              <f>'Capture Price Inputs'!I1</f>
            </strRef>
          </tx>
          <spPr>
            <a:ln xmlns:a="http://schemas.openxmlformats.org/drawingml/2006/main">
              <a:solidFill>
                <a:srgbClr val="9DC3E6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val>
            <numRef>
              <f>'Capture Price Inputs'!$I$2:$I$85</f>
            </numRef>
          </val>
        </ser>
        <axId val="10"/>
        <axId val="100"/>
      </lineChart>
      <catAx>
        <axId val="10"/>
        <scaling>
          <orientation val="minMax"/>
        </scaling>
        <axPos val="l"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Month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EUR/MWh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140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Capture Price Ratio - DK1 Primary | DK2 Robustness</a:t>
            </a:r>
          </a:p>
        </rich>
      </tx>
    </title>
    <plotArea>
      <lineChart>
        <grouping val="standard"/>
        <ser>
          <idx val="0"/>
          <order val="0"/>
          <tx>
            <strRef>
              <f>'Capture Price Inputs'!J1</f>
            </strRef>
          </tx>
          <spPr>
            <a:ln xmlns:a="http://schemas.openxmlformats.org/drawingml/2006/main">
              <a:solidFill>
                <a:srgbClr val="2E75B6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val>
            <numRef>
              <f>'Capture Price Inputs'!$J$2:$J$85</f>
            </numRef>
          </val>
        </ser>
        <ser>
          <idx val="1"/>
          <order val="1"/>
          <tx>
            <strRef>
              <f>'Capture Price Inputs'!K1</f>
            </strRef>
          </tx>
          <spPr>
            <a:ln xmlns:a="http://schemas.openxmlformats.org/drawingml/2006/main">
              <a:solidFill>
                <a:srgbClr val="9DC3E6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val>
            <numRef>
              <f>'Capture Price Inputs'!$K$2:$K$85</f>
            </numRef>
          </val>
        </ser>
        <axId val="10"/>
        <axId val="100"/>
      </lineChart>
      <catAx>
        <axId val="10"/>
        <scaling>
          <orientation val="minMax"/>
        </scaling>
        <axPos val="l"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Month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CPR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141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Solar Penetration - DK1 Primary | DK2 Robustness</a:t>
            </a:r>
          </a:p>
        </rich>
      </tx>
    </title>
    <plotArea>
      <lineChart>
        <grouping val="standard"/>
        <ser>
          <idx val="0"/>
          <order val="0"/>
          <tx>
            <strRef>
              <f>'Capture Price Inputs'!F1</f>
            </strRef>
          </tx>
          <spPr>
            <a:ln xmlns:a="http://schemas.openxmlformats.org/drawingml/2006/main">
              <a:solidFill>
                <a:srgbClr val="FF8C00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val>
            <numRef>
              <f>'Capture Price Inputs'!$F$2:$F$85</f>
            </numRef>
          </val>
        </ser>
        <ser>
          <idx val="1"/>
          <order val="1"/>
          <tx>
            <strRef>
              <f>'Capture Price Inputs'!G1</f>
            </strRef>
          </tx>
          <spPr>
            <a:ln xmlns:a="http://schemas.openxmlformats.org/drawingml/2006/main">
              <a:solidFill>
                <a:srgbClr val="FFD700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val>
            <numRef>
              <f>'Capture Price Inputs'!$G$2:$G$85</f>
            </numRef>
          </val>
        </ser>
        <axId val="10"/>
        <axId val="100"/>
      </lineChart>
      <catAx>
        <axId val="10"/>
        <scaling>
          <orientation val="minMax"/>
        </scaling>
        <axPos val="l"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Month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Solar Penetration (%)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142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Capture Price - DK1 Primary | DK2 Robustness</a:t>
            </a:r>
          </a:p>
        </rich>
      </tx>
    </title>
    <plotArea>
      <lineChart>
        <grouping val="standard"/>
        <ser>
          <idx val="0"/>
          <order val="0"/>
          <tx>
            <strRef>
              <f>'Capture Price Inputs'!H1</f>
            </strRef>
          </tx>
          <spPr>
            <a:ln xmlns:a="http://schemas.openxmlformats.org/drawingml/2006/main">
              <a:solidFill>
                <a:srgbClr val="2E75B6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val>
            <numRef>
              <f>'Capture Price Inputs'!$H$2:$H$85</f>
            </numRef>
          </val>
        </ser>
        <ser>
          <idx val="1"/>
          <order val="1"/>
          <tx>
            <strRef>
              <f>'Capture Price Inputs'!I1</f>
            </strRef>
          </tx>
          <spPr>
            <a:ln xmlns:a="http://schemas.openxmlformats.org/drawingml/2006/main">
              <a:solidFill>
                <a:srgbClr val="9DC3E6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val>
            <numRef>
              <f>'Capture Price Inputs'!$I$2:$I$85</f>
            </numRef>
          </val>
        </ser>
        <axId val="10"/>
        <axId val="100"/>
      </lineChart>
      <catAx>
        <axId val="10"/>
        <scaling>
          <orientation val="minMax"/>
        </scaling>
        <axPos val="l"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Month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EUR/MWh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143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Capture Price Ratio - DK1 Primary | DK2 Robustness</a:t>
            </a:r>
          </a:p>
        </rich>
      </tx>
    </title>
    <plotArea>
      <lineChart>
        <grouping val="standard"/>
        <ser>
          <idx val="0"/>
          <order val="0"/>
          <tx>
            <strRef>
              <f>'Capture Price Inputs'!J1</f>
            </strRef>
          </tx>
          <spPr>
            <a:ln xmlns:a="http://schemas.openxmlformats.org/drawingml/2006/main">
              <a:solidFill>
                <a:srgbClr val="2E75B6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val>
            <numRef>
              <f>'Capture Price Inputs'!$J$2:$J$85</f>
            </numRef>
          </val>
        </ser>
        <ser>
          <idx val="1"/>
          <order val="1"/>
          <tx>
            <strRef>
              <f>'Capture Price Inputs'!K1</f>
            </strRef>
          </tx>
          <spPr>
            <a:ln xmlns:a="http://schemas.openxmlformats.org/drawingml/2006/main">
              <a:solidFill>
                <a:srgbClr val="9DC3E6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val>
            <numRef>
              <f>'Capture Price Inputs'!$K$2:$K$85</f>
            </numRef>
          </val>
        </ser>
        <axId val="10"/>
        <axId val="100"/>
      </lineChart>
      <catAx>
        <axId val="10"/>
        <scaling>
          <orientation val="minMax"/>
        </scaling>
        <axPos val="l"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Month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CPR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144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Solar Penetration - DK1 Primary | DK2 Robustness</a:t>
            </a:r>
          </a:p>
        </rich>
      </tx>
    </title>
    <plotArea>
      <lineChart>
        <grouping val="standard"/>
        <ser>
          <idx val="0"/>
          <order val="0"/>
          <tx>
            <strRef>
              <f>'Capture Price Inputs'!F1</f>
            </strRef>
          </tx>
          <spPr>
            <a:ln xmlns:a="http://schemas.openxmlformats.org/drawingml/2006/main">
              <a:solidFill>
                <a:srgbClr val="FF8C00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val>
            <numRef>
              <f>'Capture Price Inputs'!$F$2:$F$85</f>
            </numRef>
          </val>
        </ser>
        <ser>
          <idx val="1"/>
          <order val="1"/>
          <tx>
            <strRef>
              <f>'Capture Price Inputs'!G1</f>
            </strRef>
          </tx>
          <spPr>
            <a:ln xmlns:a="http://schemas.openxmlformats.org/drawingml/2006/main">
              <a:solidFill>
                <a:srgbClr val="FFD700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val>
            <numRef>
              <f>'Capture Price Inputs'!$G$2:$G$85</f>
            </numRef>
          </val>
        </ser>
        <axId val="10"/>
        <axId val="100"/>
      </lineChart>
      <catAx>
        <axId val="10"/>
        <scaling>
          <orientation val="minMax"/>
        </scaling>
        <axPos val="l"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Month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Solar Penetration (%)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145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Capture Price - DK1 Primary | DK2 Robustness</a:t>
            </a:r>
          </a:p>
        </rich>
      </tx>
    </title>
    <plotArea>
      <lineChart>
        <grouping val="standard"/>
        <ser>
          <idx val="0"/>
          <order val="0"/>
          <tx>
            <strRef>
              <f>'Capture Price Inputs'!H1</f>
            </strRef>
          </tx>
          <spPr>
            <a:ln xmlns:a="http://schemas.openxmlformats.org/drawingml/2006/main">
              <a:solidFill>
                <a:srgbClr val="2E75B6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val>
            <numRef>
              <f>'Capture Price Inputs'!$H$2:$H$85</f>
            </numRef>
          </val>
        </ser>
        <ser>
          <idx val="1"/>
          <order val="1"/>
          <tx>
            <strRef>
              <f>'Capture Price Inputs'!I1</f>
            </strRef>
          </tx>
          <spPr>
            <a:ln xmlns:a="http://schemas.openxmlformats.org/drawingml/2006/main">
              <a:solidFill>
                <a:srgbClr val="9DC3E6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val>
            <numRef>
              <f>'Capture Price Inputs'!$I$2:$I$85</f>
            </numRef>
          </val>
        </ser>
        <axId val="10"/>
        <axId val="100"/>
      </lineChart>
      <catAx>
        <axId val="10"/>
        <scaling>
          <orientation val="minMax"/>
        </scaling>
        <axPos val="l"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Month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EUR/MWh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146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Capture Price Ratio - DK1 Primary | DK2 Robustness</a:t>
            </a:r>
          </a:p>
        </rich>
      </tx>
    </title>
    <plotArea>
      <lineChart>
        <grouping val="standard"/>
        <ser>
          <idx val="0"/>
          <order val="0"/>
          <tx>
            <strRef>
              <f>'Capture Price Inputs'!J1</f>
            </strRef>
          </tx>
          <spPr>
            <a:ln xmlns:a="http://schemas.openxmlformats.org/drawingml/2006/main">
              <a:solidFill>
                <a:srgbClr val="2E75B6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val>
            <numRef>
              <f>'Capture Price Inputs'!$J$2:$J$85</f>
            </numRef>
          </val>
        </ser>
        <ser>
          <idx val="1"/>
          <order val="1"/>
          <tx>
            <strRef>
              <f>'Capture Price Inputs'!K1</f>
            </strRef>
          </tx>
          <spPr>
            <a:ln xmlns:a="http://schemas.openxmlformats.org/drawingml/2006/main">
              <a:solidFill>
                <a:srgbClr val="9DC3E6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val>
            <numRef>
              <f>'Capture Price Inputs'!$K$2:$K$85</f>
            </numRef>
          </val>
        </ser>
        <axId val="10"/>
        <axId val="100"/>
      </lineChart>
      <catAx>
        <axId val="10"/>
        <scaling>
          <orientation val="minMax"/>
        </scaling>
        <axPos val="l"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Month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CPR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147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Solar Penetration - DK1 Primary | DK2 Robustness</a:t>
            </a:r>
          </a:p>
        </rich>
      </tx>
    </title>
    <plotArea>
      <lineChart>
        <grouping val="standard"/>
        <ser>
          <idx val="0"/>
          <order val="0"/>
          <tx>
            <strRef>
              <f>'Capture Price Inputs'!F1</f>
            </strRef>
          </tx>
          <spPr>
            <a:ln xmlns:a="http://schemas.openxmlformats.org/drawingml/2006/main">
              <a:solidFill>
                <a:srgbClr val="FF8C00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val>
            <numRef>
              <f>'Capture Price Inputs'!$F$2:$F$85</f>
            </numRef>
          </val>
        </ser>
        <ser>
          <idx val="1"/>
          <order val="1"/>
          <tx>
            <strRef>
              <f>'Capture Price Inputs'!G1</f>
            </strRef>
          </tx>
          <spPr>
            <a:ln xmlns:a="http://schemas.openxmlformats.org/drawingml/2006/main">
              <a:solidFill>
                <a:srgbClr val="FFD700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val>
            <numRef>
              <f>'Capture Price Inputs'!$G$2:$G$85</f>
            </numRef>
          </val>
        </ser>
        <axId val="10"/>
        <axId val="100"/>
      </lineChart>
      <catAx>
        <axId val="10"/>
        <scaling>
          <orientation val="minMax"/>
        </scaling>
        <axPos val="l"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Month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Solar Penetration (%)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148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Capture Price - DK1 Primary | DK2 Robustness</a:t>
            </a:r>
          </a:p>
        </rich>
      </tx>
    </title>
    <plotArea>
      <lineChart>
        <grouping val="standard"/>
        <ser>
          <idx val="0"/>
          <order val="0"/>
          <tx>
            <strRef>
              <f>'Capture Price Inputs'!H1</f>
            </strRef>
          </tx>
          <spPr>
            <a:ln xmlns:a="http://schemas.openxmlformats.org/drawingml/2006/main">
              <a:solidFill>
                <a:srgbClr val="2E75B6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val>
            <numRef>
              <f>'Capture Price Inputs'!$H$2:$H$85</f>
            </numRef>
          </val>
        </ser>
        <ser>
          <idx val="1"/>
          <order val="1"/>
          <tx>
            <strRef>
              <f>'Capture Price Inputs'!I1</f>
            </strRef>
          </tx>
          <spPr>
            <a:ln xmlns:a="http://schemas.openxmlformats.org/drawingml/2006/main">
              <a:solidFill>
                <a:srgbClr val="9DC3E6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val>
            <numRef>
              <f>'Capture Price Inputs'!$I$2:$I$85</f>
            </numRef>
          </val>
        </ser>
        <axId val="10"/>
        <axId val="100"/>
      </lineChart>
      <catAx>
        <axId val="10"/>
        <scaling>
          <orientation val="minMax"/>
        </scaling>
        <axPos val="l"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Month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EUR/MWh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149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Capture Price Ratio - DK1 Primary | DK2 Robustness</a:t>
            </a:r>
          </a:p>
        </rich>
      </tx>
    </title>
    <plotArea>
      <lineChart>
        <grouping val="standard"/>
        <ser>
          <idx val="0"/>
          <order val="0"/>
          <tx>
            <strRef>
              <f>'Capture Price Inputs'!J1</f>
            </strRef>
          </tx>
          <spPr>
            <a:ln xmlns:a="http://schemas.openxmlformats.org/drawingml/2006/main">
              <a:solidFill>
                <a:srgbClr val="2E75B6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val>
            <numRef>
              <f>'Capture Price Inputs'!$J$2:$J$85</f>
            </numRef>
          </val>
        </ser>
        <ser>
          <idx val="1"/>
          <order val="1"/>
          <tx>
            <strRef>
              <f>'Capture Price Inputs'!K1</f>
            </strRef>
          </tx>
          <spPr>
            <a:ln xmlns:a="http://schemas.openxmlformats.org/drawingml/2006/main">
              <a:solidFill>
                <a:srgbClr val="9DC3E6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val>
            <numRef>
              <f>'Capture Price Inputs'!$K$2:$K$85</f>
            </numRef>
          </val>
        </ser>
        <axId val="10"/>
        <axId val="100"/>
      </lineChart>
      <catAx>
        <axId val="10"/>
        <scaling>
          <orientation val="minMax"/>
        </scaling>
        <axPos val="l"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Month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CPR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150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Solar Penetration - DK1 Primary | DK2 Robustness</a:t>
            </a:r>
          </a:p>
        </rich>
      </tx>
    </title>
    <plotArea>
      <lineChart>
        <grouping val="standard"/>
        <ser>
          <idx val="0"/>
          <order val="0"/>
          <tx>
            <strRef>
              <f>'Capture Price Inputs'!F1</f>
            </strRef>
          </tx>
          <spPr>
            <a:ln xmlns:a="http://schemas.openxmlformats.org/drawingml/2006/main">
              <a:solidFill>
                <a:srgbClr val="FF8C00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val>
            <numRef>
              <f>'Capture Price Inputs'!$F$2:$F$85</f>
            </numRef>
          </val>
        </ser>
        <ser>
          <idx val="1"/>
          <order val="1"/>
          <tx>
            <strRef>
              <f>'Capture Price Inputs'!G1</f>
            </strRef>
          </tx>
          <spPr>
            <a:ln xmlns:a="http://schemas.openxmlformats.org/drawingml/2006/main">
              <a:solidFill>
                <a:srgbClr val="FFD700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val>
            <numRef>
              <f>'Capture Price Inputs'!$G$2:$G$85</f>
            </numRef>
          </val>
        </ser>
        <axId val="10"/>
        <axId val="100"/>
      </lineChart>
      <catAx>
        <axId val="10"/>
        <scaling>
          <orientation val="minMax"/>
        </scaling>
        <axPos val="l"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Month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Solar Penetration (%)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151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Capture Price - DK1 Primary | DK2 Robustness</a:t>
            </a:r>
          </a:p>
        </rich>
      </tx>
    </title>
    <plotArea>
      <lineChart>
        <grouping val="standard"/>
        <ser>
          <idx val="0"/>
          <order val="0"/>
          <tx>
            <strRef>
              <f>'Capture Price Inputs'!H1</f>
            </strRef>
          </tx>
          <spPr>
            <a:ln xmlns:a="http://schemas.openxmlformats.org/drawingml/2006/main">
              <a:solidFill>
                <a:srgbClr val="2E75B6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val>
            <numRef>
              <f>'Capture Price Inputs'!$H$2:$H$85</f>
            </numRef>
          </val>
        </ser>
        <ser>
          <idx val="1"/>
          <order val="1"/>
          <tx>
            <strRef>
              <f>'Capture Price Inputs'!I1</f>
            </strRef>
          </tx>
          <spPr>
            <a:ln xmlns:a="http://schemas.openxmlformats.org/drawingml/2006/main">
              <a:solidFill>
                <a:srgbClr val="9DC3E6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val>
            <numRef>
              <f>'Capture Price Inputs'!$I$2:$I$85</f>
            </numRef>
          </val>
        </ser>
        <axId val="10"/>
        <axId val="100"/>
      </lineChart>
      <catAx>
        <axId val="10"/>
        <scaling>
          <orientation val="minMax"/>
        </scaling>
        <axPos val="l"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Month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EUR/MWh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152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Capture Price Ratio - DK1 Primary | DK2 Robustness</a:t>
            </a:r>
          </a:p>
        </rich>
      </tx>
    </title>
    <plotArea>
      <lineChart>
        <grouping val="standard"/>
        <ser>
          <idx val="0"/>
          <order val="0"/>
          <tx>
            <strRef>
              <f>'Capture Price Inputs'!J1</f>
            </strRef>
          </tx>
          <spPr>
            <a:ln xmlns:a="http://schemas.openxmlformats.org/drawingml/2006/main">
              <a:solidFill>
                <a:srgbClr val="2E75B6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val>
            <numRef>
              <f>'Capture Price Inputs'!$J$2:$J$85</f>
            </numRef>
          </val>
        </ser>
        <ser>
          <idx val="1"/>
          <order val="1"/>
          <tx>
            <strRef>
              <f>'Capture Price Inputs'!K1</f>
            </strRef>
          </tx>
          <spPr>
            <a:ln xmlns:a="http://schemas.openxmlformats.org/drawingml/2006/main">
              <a:solidFill>
                <a:srgbClr val="9DC3E6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val>
            <numRef>
              <f>'Capture Price Inputs'!$K$2:$K$85</f>
            </numRef>
          </val>
        </ser>
        <axId val="10"/>
        <axId val="100"/>
      </lineChart>
      <catAx>
        <axId val="10"/>
        <scaling>
          <orientation val="minMax"/>
        </scaling>
        <axPos val="l"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Month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CPR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153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Solar Penetration - DK1 Primary | DK2 Robustness</a:t>
            </a:r>
          </a:p>
        </rich>
      </tx>
    </title>
    <plotArea>
      <lineChart>
        <grouping val="standard"/>
        <ser>
          <idx val="0"/>
          <order val="0"/>
          <tx>
            <strRef>
              <f>'Capture Price Inputs'!F1</f>
            </strRef>
          </tx>
          <spPr>
            <a:ln xmlns:a="http://schemas.openxmlformats.org/drawingml/2006/main">
              <a:solidFill>
                <a:srgbClr val="FF8C00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val>
            <numRef>
              <f>'Capture Price Inputs'!$F$2:$F$85</f>
            </numRef>
          </val>
        </ser>
        <ser>
          <idx val="1"/>
          <order val="1"/>
          <tx>
            <strRef>
              <f>'Capture Price Inputs'!G1</f>
            </strRef>
          </tx>
          <spPr>
            <a:ln xmlns:a="http://schemas.openxmlformats.org/drawingml/2006/main">
              <a:solidFill>
                <a:srgbClr val="FFD700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val>
            <numRef>
              <f>'Capture Price Inputs'!$G$2:$G$85</f>
            </numRef>
          </val>
        </ser>
        <axId val="10"/>
        <axId val="100"/>
      </lineChart>
      <catAx>
        <axId val="10"/>
        <scaling>
          <orientation val="minMax"/>
        </scaling>
        <axPos val="l"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Month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Solar Penetration (%)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154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Capture Price - DK1 Primary | DK2 Robustness</a:t>
            </a:r>
          </a:p>
        </rich>
      </tx>
    </title>
    <plotArea>
      <lineChart>
        <grouping val="standard"/>
        <ser>
          <idx val="0"/>
          <order val="0"/>
          <tx>
            <strRef>
              <f>'Capture Price Inputs'!H1</f>
            </strRef>
          </tx>
          <spPr>
            <a:ln xmlns:a="http://schemas.openxmlformats.org/drawingml/2006/main">
              <a:solidFill>
                <a:srgbClr val="2E75B6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val>
            <numRef>
              <f>'Capture Price Inputs'!$H$2:$H$85</f>
            </numRef>
          </val>
        </ser>
        <ser>
          <idx val="1"/>
          <order val="1"/>
          <tx>
            <strRef>
              <f>'Capture Price Inputs'!I1</f>
            </strRef>
          </tx>
          <spPr>
            <a:ln xmlns:a="http://schemas.openxmlformats.org/drawingml/2006/main">
              <a:solidFill>
                <a:srgbClr val="9DC3E6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val>
            <numRef>
              <f>'Capture Price Inputs'!$I$2:$I$85</f>
            </numRef>
          </val>
        </ser>
        <axId val="10"/>
        <axId val="100"/>
      </lineChart>
      <catAx>
        <axId val="10"/>
        <scaling>
          <orientation val="minMax"/>
        </scaling>
        <axPos val="l"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Month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EUR/MWh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155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Capture Price Ratio - DK1 Primary | DK2 Robustness</a:t>
            </a:r>
          </a:p>
        </rich>
      </tx>
    </title>
    <plotArea>
      <lineChart>
        <grouping val="standard"/>
        <ser>
          <idx val="0"/>
          <order val="0"/>
          <tx>
            <strRef>
              <f>'Capture Price Inputs'!J1</f>
            </strRef>
          </tx>
          <spPr>
            <a:ln xmlns:a="http://schemas.openxmlformats.org/drawingml/2006/main">
              <a:solidFill>
                <a:srgbClr val="2E75B6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val>
            <numRef>
              <f>'Capture Price Inputs'!$J$2:$J$85</f>
            </numRef>
          </val>
        </ser>
        <ser>
          <idx val="1"/>
          <order val="1"/>
          <tx>
            <strRef>
              <f>'Capture Price Inputs'!K1</f>
            </strRef>
          </tx>
          <spPr>
            <a:ln xmlns:a="http://schemas.openxmlformats.org/drawingml/2006/main">
              <a:solidFill>
                <a:srgbClr val="9DC3E6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val>
            <numRef>
              <f>'Capture Price Inputs'!$K$2:$K$85</f>
            </numRef>
          </val>
        </ser>
        <axId val="10"/>
        <axId val="100"/>
      </lineChart>
      <catAx>
        <axId val="10"/>
        <scaling>
          <orientation val="minMax"/>
        </scaling>
        <axPos val="l"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Month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CPR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156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Solar Penetration - DK1 Primary | DK2 Robustness</a:t>
            </a:r>
          </a:p>
        </rich>
      </tx>
    </title>
    <plotArea>
      <lineChart>
        <grouping val="standard"/>
        <ser>
          <idx val="0"/>
          <order val="0"/>
          <tx>
            <strRef>
              <f>'Capture Price Inputs'!F1</f>
            </strRef>
          </tx>
          <spPr>
            <a:ln xmlns:a="http://schemas.openxmlformats.org/drawingml/2006/main">
              <a:solidFill>
                <a:srgbClr val="FF8C00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val>
            <numRef>
              <f>'Capture Price Inputs'!$F$2:$F$85</f>
            </numRef>
          </val>
        </ser>
        <ser>
          <idx val="1"/>
          <order val="1"/>
          <tx>
            <strRef>
              <f>'Capture Price Inputs'!G1</f>
            </strRef>
          </tx>
          <spPr>
            <a:ln xmlns:a="http://schemas.openxmlformats.org/drawingml/2006/main">
              <a:solidFill>
                <a:srgbClr val="FFD700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val>
            <numRef>
              <f>'Capture Price Inputs'!$G$2:$G$85</f>
            </numRef>
          </val>
        </ser>
        <axId val="10"/>
        <axId val="100"/>
      </lineChart>
      <catAx>
        <axId val="10"/>
        <scaling>
          <orientation val="minMax"/>
        </scaling>
        <axPos val="l"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Month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Solar Penetration (%)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157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Capture Price - DK1 Primary | DK2 Robustness</a:t>
            </a:r>
          </a:p>
        </rich>
      </tx>
    </title>
    <plotArea>
      <lineChart>
        <grouping val="standard"/>
        <ser>
          <idx val="0"/>
          <order val="0"/>
          <tx>
            <strRef>
              <f>'Capture Price Inputs'!H1</f>
            </strRef>
          </tx>
          <spPr>
            <a:ln xmlns:a="http://schemas.openxmlformats.org/drawingml/2006/main">
              <a:solidFill>
                <a:srgbClr val="2E75B6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val>
            <numRef>
              <f>'Capture Price Inputs'!$H$2:$H$85</f>
            </numRef>
          </val>
        </ser>
        <ser>
          <idx val="1"/>
          <order val="1"/>
          <tx>
            <strRef>
              <f>'Capture Price Inputs'!I1</f>
            </strRef>
          </tx>
          <spPr>
            <a:ln xmlns:a="http://schemas.openxmlformats.org/drawingml/2006/main">
              <a:solidFill>
                <a:srgbClr val="9DC3E6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val>
            <numRef>
              <f>'Capture Price Inputs'!$I$2:$I$85</f>
            </numRef>
          </val>
        </ser>
        <axId val="10"/>
        <axId val="100"/>
      </lineChart>
      <catAx>
        <axId val="10"/>
        <scaling>
          <orientation val="minMax"/>
        </scaling>
        <axPos val="l"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Month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EUR/MWh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158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Capture Price Ratio - DK1 Primary | DK2 Robustness</a:t>
            </a:r>
          </a:p>
        </rich>
      </tx>
    </title>
    <plotArea>
      <lineChart>
        <grouping val="standard"/>
        <ser>
          <idx val="0"/>
          <order val="0"/>
          <tx>
            <strRef>
              <f>'Capture Price Inputs'!J1</f>
            </strRef>
          </tx>
          <spPr>
            <a:ln xmlns:a="http://schemas.openxmlformats.org/drawingml/2006/main">
              <a:solidFill>
                <a:srgbClr val="2E75B6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val>
            <numRef>
              <f>'Capture Price Inputs'!$J$2:$J$85</f>
            </numRef>
          </val>
        </ser>
        <ser>
          <idx val="1"/>
          <order val="1"/>
          <tx>
            <strRef>
              <f>'Capture Price Inputs'!K1</f>
            </strRef>
          </tx>
          <spPr>
            <a:ln xmlns:a="http://schemas.openxmlformats.org/drawingml/2006/main">
              <a:solidFill>
                <a:srgbClr val="9DC3E6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val>
            <numRef>
              <f>'Capture Price Inputs'!$K$2:$K$85</f>
            </numRef>
          </val>
        </ser>
        <axId val="10"/>
        <axId val="100"/>
      </lineChart>
      <catAx>
        <axId val="10"/>
        <scaling>
          <orientation val="minMax"/>
        </scaling>
        <axPos val="l"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Month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CPR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159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Solar Penetration - DK1 Primary | DK2 Robustness</a:t>
            </a:r>
          </a:p>
        </rich>
      </tx>
    </title>
    <plotArea>
      <lineChart>
        <grouping val="standard"/>
        <ser>
          <idx val="0"/>
          <order val="0"/>
          <tx>
            <strRef>
              <f>'Capture Price Inputs'!F1</f>
            </strRef>
          </tx>
          <spPr>
            <a:ln xmlns:a="http://schemas.openxmlformats.org/drawingml/2006/main">
              <a:solidFill>
                <a:srgbClr val="FF8C00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val>
            <numRef>
              <f>'Capture Price Inputs'!$F$2:$F$85</f>
            </numRef>
          </val>
        </ser>
        <ser>
          <idx val="1"/>
          <order val="1"/>
          <tx>
            <strRef>
              <f>'Capture Price Inputs'!G1</f>
            </strRef>
          </tx>
          <spPr>
            <a:ln xmlns:a="http://schemas.openxmlformats.org/drawingml/2006/main">
              <a:solidFill>
                <a:srgbClr val="FFD700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val>
            <numRef>
              <f>'Capture Price Inputs'!$G$2:$G$85</f>
            </numRef>
          </val>
        </ser>
        <axId val="10"/>
        <axId val="100"/>
      </lineChart>
      <catAx>
        <axId val="10"/>
        <scaling>
          <orientation val="minMax"/>
        </scaling>
        <axPos val="l"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Month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Solar Penetration (%)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160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Capture Price - DK1 Primary | DK2 Robustness</a:t>
            </a:r>
          </a:p>
        </rich>
      </tx>
    </title>
    <plotArea>
      <lineChart>
        <grouping val="standard"/>
        <ser>
          <idx val="0"/>
          <order val="0"/>
          <tx>
            <strRef>
              <f>'Capture Price Inputs'!H1</f>
            </strRef>
          </tx>
          <spPr>
            <a:ln xmlns:a="http://schemas.openxmlformats.org/drawingml/2006/main">
              <a:solidFill>
                <a:srgbClr val="2E75B6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val>
            <numRef>
              <f>'Capture Price Inputs'!$H$2:$H$85</f>
            </numRef>
          </val>
        </ser>
        <ser>
          <idx val="1"/>
          <order val="1"/>
          <tx>
            <strRef>
              <f>'Capture Price Inputs'!I1</f>
            </strRef>
          </tx>
          <spPr>
            <a:ln xmlns:a="http://schemas.openxmlformats.org/drawingml/2006/main">
              <a:solidFill>
                <a:srgbClr val="9DC3E6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val>
            <numRef>
              <f>'Capture Price Inputs'!$I$2:$I$85</f>
            </numRef>
          </val>
        </ser>
        <axId val="10"/>
        <axId val="100"/>
      </lineChart>
      <catAx>
        <axId val="10"/>
        <scaling>
          <orientation val="minMax"/>
        </scaling>
        <axPos val="l"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Month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EUR/MWh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161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Capture Price Ratio - DK1 Primary | DK2 Robustness</a:t>
            </a:r>
          </a:p>
        </rich>
      </tx>
    </title>
    <plotArea>
      <lineChart>
        <grouping val="standard"/>
        <ser>
          <idx val="0"/>
          <order val="0"/>
          <tx>
            <strRef>
              <f>'Capture Price Inputs'!J1</f>
            </strRef>
          </tx>
          <spPr>
            <a:ln xmlns:a="http://schemas.openxmlformats.org/drawingml/2006/main">
              <a:solidFill>
                <a:srgbClr val="2E75B6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val>
            <numRef>
              <f>'Capture Price Inputs'!$J$2:$J$85</f>
            </numRef>
          </val>
        </ser>
        <ser>
          <idx val="1"/>
          <order val="1"/>
          <tx>
            <strRef>
              <f>'Capture Price Inputs'!K1</f>
            </strRef>
          </tx>
          <spPr>
            <a:ln xmlns:a="http://schemas.openxmlformats.org/drawingml/2006/main">
              <a:solidFill>
                <a:srgbClr val="9DC3E6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val>
            <numRef>
              <f>'Capture Price Inputs'!$K$2:$K$85</f>
            </numRef>
          </val>
        </ser>
        <axId val="10"/>
        <axId val="100"/>
      </lineChart>
      <catAx>
        <axId val="10"/>
        <scaling>
          <orientation val="minMax"/>
        </scaling>
        <axPos val="l"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Month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CPR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162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Solar Penetration - DK1 Primary | DK2 Robustness</a:t>
            </a:r>
          </a:p>
        </rich>
      </tx>
    </title>
    <plotArea>
      <lineChart>
        <grouping val="standard"/>
        <ser>
          <idx val="0"/>
          <order val="0"/>
          <tx>
            <strRef>
              <f>'Capture Price Inputs'!F1</f>
            </strRef>
          </tx>
          <spPr>
            <a:ln xmlns:a="http://schemas.openxmlformats.org/drawingml/2006/main">
              <a:solidFill>
                <a:srgbClr val="FF8C00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val>
            <numRef>
              <f>'Capture Price Inputs'!$F$2:$F$85</f>
            </numRef>
          </val>
        </ser>
        <ser>
          <idx val="1"/>
          <order val="1"/>
          <tx>
            <strRef>
              <f>'Capture Price Inputs'!G1</f>
            </strRef>
          </tx>
          <spPr>
            <a:ln xmlns:a="http://schemas.openxmlformats.org/drawingml/2006/main">
              <a:solidFill>
                <a:srgbClr val="FFD700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val>
            <numRef>
              <f>'Capture Price Inputs'!$G$2:$G$85</f>
            </numRef>
          </val>
        </ser>
        <axId val="10"/>
        <axId val="100"/>
      </lineChart>
      <catAx>
        <axId val="10"/>
        <scaling>
          <orientation val="minMax"/>
        </scaling>
        <axPos val="l"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Month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Solar Penetration (%)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163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Capture Price - DK1 Primary | DK2 Robustness</a:t>
            </a:r>
          </a:p>
        </rich>
      </tx>
    </title>
    <plotArea>
      <lineChart>
        <grouping val="standard"/>
        <ser>
          <idx val="0"/>
          <order val="0"/>
          <tx>
            <strRef>
              <f>'Capture Price Inputs'!H1</f>
            </strRef>
          </tx>
          <spPr>
            <a:ln xmlns:a="http://schemas.openxmlformats.org/drawingml/2006/main">
              <a:solidFill>
                <a:srgbClr val="2E75B6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val>
            <numRef>
              <f>'Capture Price Inputs'!$H$2:$H$85</f>
            </numRef>
          </val>
        </ser>
        <ser>
          <idx val="1"/>
          <order val="1"/>
          <tx>
            <strRef>
              <f>'Capture Price Inputs'!I1</f>
            </strRef>
          </tx>
          <spPr>
            <a:ln xmlns:a="http://schemas.openxmlformats.org/drawingml/2006/main">
              <a:solidFill>
                <a:srgbClr val="9DC3E6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val>
            <numRef>
              <f>'Capture Price Inputs'!$I$2:$I$85</f>
            </numRef>
          </val>
        </ser>
        <axId val="10"/>
        <axId val="100"/>
      </lineChart>
      <catAx>
        <axId val="10"/>
        <scaling>
          <orientation val="minMax"/>
        </scaling>
        <axPos val="l"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Month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EUR/MWh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164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Capture Price Ratio - DK1 Primary | DK2 Robustness</a:t>
            </a:r>
          </a:p>
        </rich>
      </tx>
    </title>
    <plotArea>
      <lineChart>
        <grouping val="standard"/>
        <ser>
          <idx val="0"/>
          <order val="0"/>
          <tx>
            <strRef>
              <f>'Capture Price Inputs'!J1</f>
            </strRef>
          </tx>
          <spPr>
            <a:ln xmlns:a="http://schemas.openxmlformats.org/drawingml/2006/main">
              <a:solidFill>
                <a:srgbClr val="2E75B6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val>
            <numRef>
              <f>'Capture Price Inputs'!$J$2:$J$85</f>
            </numRef>
          </val>
        </ser>
        <ser>
          <idx val="1"/>
          <order val="1"/>
          <tx>
            <strRef>
              <f>'Capture Price Inputs'!K1</f>
            </strRef>
          </tx>
          <spPr>
            <a:ln xmlns:a="http://schemas.openxmlformats.org/drawingml/2006/main">
              <a:solidFill>
                <a:srgbClr val="9DC3E6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val>
            <numRef>
              <f>'Capture Price Inputs'!$K$2:$K$85</f>
            </numRef>
          </val>
        </ser>
        <axId val="10"/>
        <axId val="100"/>
      </lineChart>
      <catAx>
        <axId val="10"/>
        <scaling>
          <orientation val="minMax"/>
        </scaling>
        <axPos val="l"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Month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CPR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165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Solar Penetration - DK1 Primary | DK2 Robustness</a:t>
            </a:r>
          </a:p>
        </rich>
      </tx>
    </title>
    <plotArea>
      <lineChart>
        <grouping val="standard"/>
        <ser>
          <idx val="0"/>
          <order val="0"/>
          <tx>
            <strRef>
              <f>'Capture Price Inputs'!F1</f>
            </strRef>
          </tx>
          <spPr>
            <a:ln xmlns:a="http://schemas.openxmlformats.org/drawingml/2006/main">
              <a:solidFill>
                <a:srgbClr val="FF8C00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val>
            <numRef>
              <f>'Capture Price Inputs'!$F$2:$F$85</f>
            </numRef>
          </val>
        </ser>
        <ser>
          <idx val="1"/>
          <order val="1"/>
          <tx>
            <strRef>
              <f>'Capture Price Inputs'!G1</f>
            </strRef>
          </tx>
          <spPr>
            <a:ln xmlns:a="http://schemas.openxmlformats.org/drawingml/2006/main">
              <a:solidFill>
                <a:srgbClr val="FFD700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val>
            <numRef>
              <f>'Capture Price Inputs'!$G$2:$G$85</f>
            </numRef>
          </val>
        </ser>
        <axId val="10"/>
        <axId val="100"/>
      </lineChart>
      <catAx>
        <axId val="10"/>
        <scaling>
          <orientation val="minMax"/>
        </scaling>
        <axPos val="l"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Month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Solar Penetration (%)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166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Capture Price - DK1 Primary | DK2 Robustness</a:t>
            </a:r>
          </a:p>
        </rich>
      </tx>
    </title>
    <plotArea>
      <lineChart>
        <grouping val="standard"/>
        <ser>
          <idx val="0"/>
          <order val="0"/>
          <tx>
            <strRef>
              <f>'Capture Price Inputs'!H1</f>
            </strRef>
          </tx>
          <spPr>
            <a:ln xmlns:a="http://schemas.openxmlformats.org/drawingml/2006/main">
              <a:solidFill>
                <a:srgbClr val="2E75B6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val>
            <numRef>
              <f>'Capture Price Inputs'!$H$2:$H$85</f>
            </numRef>
          </val>
        </ser>
        <ser>
          <idx val="1"/>
          <order val="1"/>
          <tx>
            <strRef>
              <f>'Capture Price Inputs'!I1</f>
            </strRef>
          </tx>
          <spPr>
            <a:ln xmlns:a="http://schemas.openxmlformats.org/drawingml/2006/main">
              <a:solidFill>
                <a:srgbClr val="9DC3E6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val>
            <numRef>
              <f>'Capture Price Inputs'!$I$2:$I$85</f>
            </numRef>
          </val>
        </ser>
        <axId val="10"/>
        <axId val="100"/>
      </lineChart>
      <catAx>
        <axId val="10"/>
        <scaling>
          <orientation val="minMax"/>
        </scaling>
        <axPos val="l"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Month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EUR/MWh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167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Capture Price Ratio - DK1 Primary | DK2 Robustness</a:t>
            </a:r>
          </a:p>
        </rich>
      </tx>
    </title>
    <plotArea>
      <lineChart>
        <grouping val="standard"/>
        <ser>
          <idx val="0"/>
          <order val="0"/>
          <tx>
            <strRef>
              <f>'Capture Price Inputs'!J1</f>
            </strRef>
          </tx>
          <spPr>
            <a:ln xmlns:a="http://schemas.openxmlformats.org/drawingml/2006/main">
              <a:solidFill>
                <a:srgbClr val="2E75B6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val>
            <numRef>
              <f>'Capture Price Inputs'!$J$2:$J$85</f>
            </numRef>
          </val>
        </ser>
        <ser>
          <idx val="1"/>
          <order val="1"/>
          <tx>
            <strRef>
              <f>'Capture Price Inputs'!K1</f>
            </strRef>
          </tx>
          <spPr>
            <a:ln xmlns:a="http://schemas.openxmlformats.org/drawingml/2006/main">
              <a:solidFill>
                <a:srgbClr val="9DC3E6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val>
            <numRef>
              <f>'Capture Price Inputs'!$K$2:$K$85</f>
            </numRef>
          </val>
        </ser>
        <axId val="10"/>
        <axId val="100"/>
      </lineChart>
      <catAx>
        <axId val="10"/>
        <scaling>
          <orientation val="minMax"/>
        </scaling>
        <axPos val="l"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Month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CPR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168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Solar Penetration - DK1 Primary | DK2 Robustness</a:t>
            </a:r>
          </a:p>
        </rich>
      </tx>
    </title>
    <plotArea>
      <lineChart>
        <grouping val="standard"/>
        <ser>
          <idx val="0"/>
          <order val="0"/>
          <tx>
            <strRef>
              <f>'Capture Price Inputs'!F1</f>
            </strRef>
          </tx>
          <spPr>
            <a:ln xmlns:a="http://schemas.openxmlformats.org/drawingml/2006/main">
              <a:solidFill>
                <a:srgbClr val="FF8C00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val>
            <numRef>
              <f>'Capture Price Inputs'!$F$2:$F$85</f>
            </numRef>
          </val>
        </ser>
        <ser>
          <idx val="1"/>
          <order val="1"/>
          <tx>
            <strRef>
              <f>'Capture Price Inputs'!G1</f>
            </strRef>
          </tx>
          <spPr>
            <a:ln xmlns:a="http://schemas.openxmlformats.org/drawingml/2006/main">
              <a:solidFill>
                <a:srgbClr val="FFD700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val>
            <numRef>
              <f>'Capture Price Inputs'!$G$2:$G$85</f>
            </numRef>
          </val>
        </ser>
        <axId val="10"/>
        <axId val="100"/>
      </lineChart>
      <catAx>
        <axId val="10"/>
        <scaling>
          <orientation val="minMax"/>
        </scaling>
        <axPos val="l"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Month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Solar Penetration (%)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169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Capture Price - DK1 Primary | DK2 Robustness</a:t>
            </a:r>
          </a:p>
        </rich>
      </tx>
    </title>
    <plotArea>
      <lineChart>
        <grouping val="standard"/>
        <ser>
          <idx val="0"/>
          <order val="0"/>
          <tx>
            <strRef>
              <f>'Capture Price Inputs'!H1</f>
            </strRef>
          </tx>
          <spPr>
            <a:ln xmlns:a="http://schemas.openxmlformats.org/drawingml/2006/main">
              <a:solidFill>
                <a:srgbClr val="2E75B6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val>
            <numRef>
              <f>'Capture Price Inputs'!$H$2:$H$85</f>
            </numRef>
          </val>
        </ser>
        <ser>
          <idx val="1"/>
          <order val="1"/>
          <tx>
            <strRef>
              <f>'Capture Price Inputs'!I1</f>
            </strRef>
          </tx>
          <spPr>
            <a:ln xmlns:a="http://schemas.openxmlformats.org/drawingml/2006/main">
              <a:solidFill>
                <a:srgbClr val="9DC3E6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val>
            <numRef>
              <f>'Capture Price Inputs'!$I$2:$I$85</f>
            </numRef>
          </val>
        </ser>
        <axId val="10"/>
        <axId val="100"/>
      </lineChart>
      <catAx>
        <axId val="10"/>
        <scaling>
          <orientation val="minMax"/>
        </scaling>
        <axPos val="l"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Month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EUR/MWh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170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Capture Price Ratio - DK1 Primary | DK2 Robustness</a:t>
            </a:r>
          </a:p>
        </rich>
      </tx>
    </title>
    <plotArea>
      <lineChart>
        <grouping val="standard"/>
        <ser>
          <idx val="0"/>
          <order val="0"/>
          <tx>
            <strRef>
              <f>'Capture Price Inputs'!J1</f>
            </strRef>
          </tx>
          <spPr>
            <a:ln xmlns:a="http://schemas.openxmlformats.org/drawingml/2006/main">
              <a:solidFill>
                <a:srgbClr val="2E75B6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val>
            <numRef>
              <f>'Capture Price Inputs'!$J$2:$J$85</f>
            </numRef>
          </val>
        </ser>
        <ser>
          <idx val="1"/>
          <order val="1"/>
          <tx>
            <strRef>
              <f>'Capture Price Inputs'!K1</f>
            </strRef>
          </tx>
          <spPr>
            <a:ln xmlns:a="http://schemas.openxmlformats.org/drawingml/2006/main">
              <a:solidFill>
                <a:srgbClr val="9DC3E6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val>
            <numRef>
              <f>'Capture Price Inputs'!$K$2:$K$85</f>
            </numRef>
          </val>
        </ser>
        <axId val="10"/>
        <axId val="100"/>
      </lineChart>
      <catAx>
        <axId val="10"/>
        <scaling>
          <orientation val="minMax"/>
        </scaling>
        <axPos val="l"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Month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CPR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171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Solar Penetration - DK1 Primary | DK2 Robustness</a:t>
            </a:r>
          </a:p>
        </rich>
      </tx>
    </title>
    <plotArea>
      <lineChart>
        <grouping val="standard"/>
        <ser>
          <idx val="0"/>
          <order val="0"/>
          <tx>
            <strRef>
              <f>'Capture Price Inputs'!F1</f>
            </strRef>
          </tx>
          <spPr>
            <a:ln xmlns:a="http://schemas.openxmlformats.org/drawingml/2006/main">
              <a:solidFill>
                <a:srgbClr val="FF8C00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val>
            <numRef>
              <f>'Capture Price Inputs'!$F$2:$F$85</f>
            </numRef>
          </val>
        </ser>
        <ser>
          <idx val="1"/>
          <order val="1"/>
          <tx>
            <strRef>
              <f>'Capture Price Inputs'!G1</f>
            </strRef>
          </tx>
          <spPr>
            <a:ln xmlns:a="http://schemas.openxmlformats.org/drawingml/2006/main">
              <a:solidFill>
                <a:srgbClr val="FFD700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val>
            <numRef>
              <f>'Capture Price Inputs'!$G$2:$G$85</f>
            </numRef>
          </val>
        </ser>
        <axId val="10"/>
        <axId val="100"/>
      </lineChart>
      <catAx>
        <axId val="10"/>
        <scaling>
          <orientation val="minMax"/>
        </scaling>
        <axPos val="l"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Month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Solar Penetration (%)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172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Capture Price - DK1 Primary | DK2 Robustness</a:t>
            </a:r>
          </a:p>
        </rich>
      </tx>
    </title>
    <plotArea>
      <lineChart>
        <grouping val="standard"/>
        <ser>
          <idx val="0"/>
          <order val="0"/>
          <tx>
            <strRef>
              <f>'Capture Price Inputs'!H1</f>
            </strRef>
          </tx>
          <spPr>
            <a:ln xmlns:a="http://schemas.openxmlformats.org/drawingml/2006/main">
              <a:solidFill>
                <a:srgbClr val="2E75B6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val>
            <numRef>
              <f>'Capture Price Inputs'!$H$2:$H$85</f>
            </numRef>
          </val>
        </ser>
        <ser>
          <idx val="1"/>
          <order val="1"/>
          <tx>
            <strRef>
              <f>'Capture Price Inputs'!I1</f>
            </strRef>
          </tx>
          <spPr>
            <a:ln xmlns:a="http://schemas.openxmlformats.org/drawingml/2006/main">
              <a:solidFill>
                <a:srgbClr val="9DC3E6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val>
            <numRef>
              <f>'Capture Price Inputs'!$I$2:$I$85</f>
            </numRef>
          </val>
        </ser>
        <axId val="10"/>
        <axId val="100"/>
      </lineChart>
      <catAx>
        <axId val="10"/>
        <scaling>
          <orientation val="minMax"/>
        </scaling>
        <axPos val="l"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Month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EUR/MWh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173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Capture Price Ratio - DK1 Primary | DK2 Robustness</a:t>
            </a:r>
          </a:p>
        </rich>
      </tx>
    </title>
    <plotArea>
      <lineChart>
        <grouping val="standard"/>
        <ser>
          <idx val="0"/>
          <order val="0"/>
          <tx>
            <strRef>
              <f>'Capture Price Inputs'!J1</f>
            </strRef>
          </tx>
          <spPr>
            <a:ln xmlns:a="http://schemas.openxmlformats.org/drawingml/2006/main">
              <a:solidFill>
                <a:srgbClr val="2E75B6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val>
            <numRef>
              <f>'Capture Price Inputs'!$J$2:$J$85</f>
            </numRef>
          </val>
        </ser>
        <ser>
          <idx val="1"/>
          <order val="1"/>
          <tx>
            <strRef>
              <f>'Capture Price Inputs'!K1</f>
            </strRef>
          </tx>
          <spPr>
            <a:ln xmlns:a="http://schemas.openxmlformats.org/drawingml/2006/main">
              <a:solidFill>
                <a:srgbClr val="9DC3E6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val>
            <numRef>
              <f>'Capture Price Inputs'!$K$2:$K$85</f>
            </numRef>
          </val>
        </ser>
        <axId val="10"/>
        <axId val="100"/>
      </lineChart>
      <catAx>
        <axId val="10"/>
        <scaling>
          <orientation val="minMax"/>
        </scaling>
        <axPos val="l"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Month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CPR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174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Solar Penetration - DK1 Primary | DK2 Robustness</a:t>
            </a:r>
          </a:p>
        </rich>
      </tx>
    </title>
    <plotArea>
      <lineChart>
        <grouping val="standard"/>
        <ser>
          <idx val="0"/>
          <order val="0"/>
          <tx>
            <strRef>
              <f>'Capture Price Inputs'!F1</f>
            </strRef>
          </tx>
          <spPr>
            <a:ln xmlns:a="http://schemas.openxmlformats.org/drawingml/2006/main">
              <a:solidFill>
                <a:srgbClr val="FF8C00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val>
            <numRef>
              <f>'Capture Price Inputs'!$F$2:$F$85</f>
            </numRef>
          </val>
        </ser>
        <ser>
          <idx val="1"/>
          <order val="1"/>
          <tx>
            <strRef>
              <f>'Capture Price Inputs'!G1</f>
            </strRef>
          </tx>
          <spPr>
            <a:ln xmlns:a="http://schemas.openxmlformats.org/drawingml/2006/main">
              <a:solidFill>
                <a:srgbClr val="FFD700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val>
            <numRef>
              <f>'Capture Price Inputs'!$G$2:$G$85</f>
            </numRef>
          </val>
        </ser>
        <axId val="10"/>
        <axId val="100"/>
      </lineChart>
      <catAx>
        <axId val="10"/>
        <scaling>
          <orientation val="minMax"/>
        </scaling>
        <axPos val="l"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Month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Solar Penetration (%)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175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Capture Price - DK1 Primary | DK2 Robustness</a:t>
            </a:r>
          </a:p>
        </rich>
      </tx>
    </title>
    <plotArea>
      <lineChart>
        <grouping val="standard"/>
        <ser>
          <idx val="0"/>
          <order val="0"/>
          <tx>
            <strRef>
              <f>'Capture Price Inputs'!H1</f>
            </strRef>
          </tx>
          <spPr>
            <a:ln xmlns:a="http://schemas.openxmlformats.org/drawingml/2006/main">
              <a:solidFill>
                <a:srgbClr val="2E75B6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val>
            <numRef>
              <f>'Capture Price Inputs'!$H$2:$H$85</f>
            </numRef>
          </val>
        </ser>
        <ser>
          <idx val="1"/>
          <order val="1"/>
          <tx>
            <strRef>
              <f>'Capture Price Inputs'!I1</f>
            </strRef>
          </tx>
          <spPr>
            <a:ln xmlns:a="http://schemas.openxmlformats.org/drawingml/2006/main">
              <a:solidFill>
                <a:srgbClr val="9DC3E6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val>
            <numRef>
              <f>'Capture Price Inputs'!$I$2:$I$85</f>
            </numRef>
          </val>
        </ser>
        <axId val="10"/>
        <axId val="100"/>
      </lineChart>
      <catAx>
        <axId val="10"/>
        <scaling>
          <orientation val="minMax"/>
        </scaling>
        <axPos val="l"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Month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EUR/MWh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176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Capture Price Ratio - DK1 Primary | DK2 Robustness</a:t>
            </a:r>
          </a:p>
        </rich>
      </tx>
    </title>
    <plotArea>
      <lineChart>
        <grouping val="standard"/>
        <ser>
          <idx val="0"/>
          <order val="0"/>
          <tx>
            <strRef>
              <f>'Capture Price Inputs'!J1</f>
            </strRef>
          </tx>
          <spPr>
            <a:ln xmlns:a="http://schemas.openxmlformats.org/drawingml/2006/main">
              <a:solidFill>
                <a:srgbClr val="2E75B6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val>
            <numRef>
              <f>'Capture Price Inputs'!$J$2:$J$85</f>
            </numRef>
          </val>
        </ser>
        <ser>
          <idx val="1"/>
          <order val="1"/>
          <tx>
            <strRef>
              <f>'Capture Price Inputs'!K1</f>
            </strRef>
          </tx>
          <spPr>
            <a:ln xmlns:a="http://schemas.openxmlformats.org/drawingml/2006/main">
              <a:solidFill>
                <a:srgbClr val="9DC3E6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val>
            <numRef>
              <f>'Capture Price Inputs'!$K$2:$K$85</f>
            </numRef>
          </val>
        </ser>
        <axId val="10"/>
        <axId val="100"/>
      </lineChart>
      <catAx>
        <axId val="10"/>
        <scaling>
          <orientation val="minMax"/>
        </scaling>
        <axPos val="l"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Month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CPR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177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Solar Penetration - DK1 Primary | DK2 Robustness</a:t>
            </a:r>
          </a:p>
        </rich>
      </tx>
    </title>
    <plotArea>
      <lineChart>
        <grouping val="standard"/>
        <ser>
          <idx val="0"/>
          <order val="0"/>
          <tx>
            <strRef>
              <f>'Capture Price Inputs'!F1</f>
            </strRef>
          </tx>
          <spPr>
            <a:ln xmlns:a="http://schemas.openxmlformats.org/drawingml/2006/main">
              <a:solidFill>
                <a:srgbClr val="FF8C00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val>
            <numRef>
              <f>'Capture Price Inputs'!$F$2:$F$85</f>
            </numRef>
          </val>
        </ser>
        <ser>
          <idx val="1"/>
          <order val="1"/>
          <tx>
            <strRef>
              <f>'Capture Price Inputs'!G1</f>
            </strRef>
          </tx>
          <spPr>
            <a:ln xmlns:a="http://schemas.openxmlformats.org/drawingml/2006/main">
              <a:solidFill>
                <a:srgbClr val="FFD700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val>
            <numRef>
              <f>'Capture Price Inputs'!$G$2:$G$85</f>
            </numRef>
          </val>
        </ser>
        <axId val="10"/>
        <axId val="100"/>
      </lineChart>
      <catAx>
        <axId val="10"/>
        <scaling>
          <orientation val="minMax"/>
        </scaling>
        <axPos val="l"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Month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Solar Penetration (%)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178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Capture Price - DK1 Primary | DK2 Robustness</a:t>
            </a:r>
          </a:p>
        </rich>
      </tx>
    </title>
    <plotArea>
      <lineChart>
        <grouping val="standard"/>
        <ser>
          <idx val="0"/>
          <order val="0"/>
          <tx>
            <strRef>
              <f>'Capture Price Inputs'!H1</f>
            </strRef>
          </tx>
          <spPr>
            <a:ln xmlns:a="http://schemas.openxmlformats.org/drawingml/2006/main">
              <a:solidFill>
                <a:srgbClr val="2E75B6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val>
            <numRef>
              <f>'Capture Price Inputs'!$H$2:$H$85</f>
            </numRef>
          </val>
        </ser>
        <ser>
          <idx val="1"/>
          <order val="1"/>
          <tx>
            <strRef>
              <f>'Capture Price Inputs'!I1</f>
            </strRef>
          </tx>
          <spPr>
            <a:ln xmlns:a="http://schemas.openxmlformats.org/drawingml/2006/main">
              <a:solidFill>
                <a:srgbClr val="9DC3E6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val>
            <numRef>
              <f>'Capture Price Inputs'!$I$2:$I$85</f>
            </numRef>
          </val>
        </ser>
        <axId val="10"/>
        <axId val="100"/>
      </lineChart>
      <catAx>
        <axId val="10"/>
        <scaling>
          <orientation val="minMax"/>
        </scaling>
        <axPos val="l"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Month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EUR/MWh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179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Capture Price Ratio - DK1 Primary | DK2 Robustness</a:t>
            </a:r>
          </a:p>
        </rich>
      </tx>
    </title>
    <plotArea>
      <lineChart>
        <grouping val="standard"/>
        <ser>
          <idx val="0"/>
          <order val="0"/>
          <tx>
            <strRef>
              <f>'Capture Price Inputs'!J1</f>
            </strRef>
          </tx>
          <spPr>
            <a:ln xmlns:a="http://schemas.openxmlformats.org/drawingml/2006/main">
              <a:solidFill>
                <a:srgbClr val="2E75B6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val>
            <numRef>
              <f>'Capture Price Inputs'!$J$2:$J$85</f>
            </numRef>
          </val>
        </ser>
        <ser>
          <idx val="1"/>
          <order val="1"/>
          <tx>
            <strRef>
              <f>'Capture Price Inputs'!K1</f>
            </strRef>
          </tx>
          <spPr>
            <a:ln xmlns:a="http://schemas.openxmlformats.org/drawingml/2006/main">
              <a:solidFill>
                <a:srgbClr val="9DC3E6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val>
            <numRef>
              <f>'Capture Price Inputs'!$K$2:$K$85</f>
            </numRef>
          </val>
        </ser>
        <axId val="10"/>
        <axId val="100"/>
      </lineChart>
      <catAx>
        <axId val="10"/>
        <scaling>
          <orientation val="minMax"/>
        </scaling>
        <axPos val="l"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Month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CPR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180.xml><?xml version="1.0" encoding="utf-8"?>
<chartSpace xmlns="http://schemas.openxmlformats.org/drawingml/2006/chart">
  <chart>
    <title>
      <tx>
        <rich>
          <a:bodyPr xmlns:a="http://schemas.openxmlformats.org/drawingml/2006/main"/>
          <a:lstStyle xmlns:a="http://schemas.openxmlformats.org/drawingml/2006/main"/>
          <a:p xmlns:a="http://schemas.openxmlformats.org/drawingml/2006/main">
            <a:pPr>
              <a:defRPr/>
            </a:pPr>
            <a:r>
              <a:rPr lang="en-GB"/>
              <a:t>DK1 ADF t-statistics by Number of Lags</a:t>
            </a:r>
          </a:p>
        </rich>
      </tx>
      <overlay val="1"/>
    </title>
    <plotArea>
      <layout/>
      <lineChart>
        <grouping val="standard"/>
        <varyColors val="1"/>
        <ser>
          <idx val="0"/>
          <order val="0"/>
          <tx>
            <strRef>
              <f>Calibration!$H$1</f>
              <strCache>
                <ptCount val="1"/>
                <pt idx="0">
                  <v>DK1 Full</v>
                </pt>
              </strCache>
            </strRef>
          </tx>
          <spPr>
            <a:ln xmlns:a="http://schemas.openxmlformats.org/drawingml/2006/main">
              <a:solidFill>
                <a:srgbClr val="2E75B6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val>
            <numRef>
              <f>Calibration!$H$2:$H$6</f>
              <numCache>
                <formatCode>General</formatCode>
                <ptCount val="5"/>
                <pt idx="0">
                  <v>-2.7049</v>
                </pt>
                <pt idx="1">
                  <v>-2.5651</v>
                </pt>
                <pt idx="2">
                  <v>-1.782</v>
                </pt>
                <pt idx="3">
                  <v>-1.6911</v>
                </pt>
                <pt idx="4">
                  <v>-1.6501</v>
                </pt>
              </numCache>
            </numRef>
          </val>
          <smooth val="1"/>
        </ser>
        <ser>
          <idx val="1"/>
          <order val="1"/>
          <tx>
            <strRef>
              <f>Calibration!$I$1</f>
              <strCache>
                <ptCount val="1"/>
                <pt idx="0">
                  <v>DK1 ex-2022</v>
                </pt>
              </strCache>
            </strRef>
          </tx>
          <spPr>
            <a:ln xmlns:a="http://schemas.openxmlformats.org/drawingml/2006/main">
              <a:solidFill>
                <a:srgbClr val="FF8C00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val>
            <numRef>
              <f>Calibration!$I$2:$I$6</f>
              <numCache>
                <formatCode>General</formatCode>
                <ptCount val="5"/>
                <pt idx="0">
                  <v>-2.7732</v>
                </pt>
                <pt idx="1">
                  <v>-2.3519</v>
                </pt>
                <pt idx="2">
                  <v>-1.8495</v>
                </pt>
                <pt idx="3">
                  <v>-1.8987</v>
                </pt>
                <pt idx="4">
                  <v>-1.8872</v>
                </pt>
              </numCache>
            </numRef>
          </val>
          <smooth val="1"/>
        </ser>
        <ser>
          <idx val="2"/>
          <order val="2"/>
          <tx>
            <strRef>
              <f>Calibration!$J$1</f>
              <strCache>
                <ptCount val="1"/>
                <pt idx="0">
                  <v>DK1 post-crisis</v>
                </pt>
              </strCache>
            </strRef>
          </tx>
          <spPr>
            <a:ln xmlns:a="http://schemas.openxmlformats.org/drawingml/2006/main">
              <a:solidFill>
                <a:srgbClr val="70AD47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val>
            <numRef>
              <f>Calibration!$J$2:$J$6</f>
              <numCache>
                <formatCode>General</formatCode>
                <ptCount val="5"/>
                <pt idx="0">
                  <v>-3.435</v>
                </pt>
                <pt idx="1">
                  <v>-3.4777</v>
                </pt>
                <pt idx="2">
                  <v>-2.6639</v>
                </pt>
                <pt idx="3">
                  <v>-3.0968</v>
                </pt>
                <pt idx="4">
                  <v>-2.9904</v>
                </pt>
              </numCache>
            </numRef>
          </val>
          <smooth val="1"/>
        </ser>
        <ser>
          <idx val="3"/>
          <order val="3"/>
          <tx>
            <strRef>
              <f>Calibration!$K$1</f>
              <strCache>
                <ptCount val="1"/>
                <pt idx="0">
                  <v>CV 5%</v>
                </pt>
              </strCache>
            </strRef>
          </tx>
          <spPr>
            <a:ln xmlns:a="http://schemas.openxmlformats.org/drawingml/2006/main">
              <a:solidFill>
                <a:srgbClr val="C00000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val>
            <numRef>
              <f>Calibration!$K$2:$K$6</f>
              <numCache>
                <formatCode>General</formatCode>
                <ptCount val="5"/>
                <pt idx="0">
                  <v>-2.89</v>
                </pt>
                <pt idx="1">
                  <v>-2.89</v>
                </pt>
                <pt idx="2">
                  <v>-2.89</v>
                </pt>
                <pt idx="3">
                  <v>-2.89</v>
                </pt>
                <pt idx="4">
                  <v>-2.89</v>
                </pt>
              </numCache>
            </numRef>
          </val>
          <smooth val="1"/>
        </ser>
        <dLbls>
          <showLegendKey val="0"/>
          <showVal val="0"/>
          <showCatName val="0"/>
          <showSerName val="0"/>
          <showPercent val="0"/>
          <showBubbleSize val="0"/>
        </dLbls>
        <smooth val="0"/>
        <axId val="10"/>
        <axId val="100"/>
      </lineChart>
      <catAx>
        <axId val="10"/>
        <scaling>
          <orientation val="minMax"/>
        </scaling>
        <delete val="1"/>
        <axPos val="b"/>
        <title>
          <tx>
            <rich>
              <a:bodyPr xmlns:a="http://schemas.openxmlformats.org/drawingml/2006/main"/>
              <a:lstStyle xmlns:a="http://schemas.openxmlformats.org/drawingml/2006/main"/>
              <a:p xmlns:a="http://schemas.openxmlformats.org/drawingml/2006/main">
                <a:pPr>
                  <a:defRPr/>
                </a:pPr>
                <a:r>
                  <a:rPr lang="en-GB"/>
                  <a:t>Lags</a:t>
                </a:r>
              </a:p>
            </rich>
          </tx>
          <overlay val="1"/>
        </title>
        <majorTickMark val="none"/>
        <minorTickMark val="none"/>
        <tickLblPos val="nextTo"/>
        <crossAx val="100"/>
        <crosses val="autoZero"/>
        <auto val="1"/>
        <lblAlgn val="ctr"/>
        <lblOffset val="100"/>
        <noMultiLvlLbl val="1"/>
      </catAx>
      <valAx>
        <axId val="100"/>
        <scaling>
          <orientation val="minMax"/>
        </scaling>
        <delete val="1"/>
        <axPos val="l"/>
        <majorGridlines/>
        <title>
          <tx>
            <rich>
              <a:bodyPr xmlns:a="http://schemas.openxmlformats.org/drawingml/2006/main"/>
              <a:lstStyle xmlns:a="http://schemas.openxmlformats.org/drawingml/2006/main"/>
              <a:p xmlns:a="http://schemas.openxmlformats.org/drawingml/2006/main">
                <a:pPr>
                  <a:defRPr/>
                </a:pPr>
                <a:r>
                  <a:rPr lang="en-GB"/>
                  <a:t>ADF t-statistic</a:t>
                </a:r>
              </a:p>
            </rich>
          </tx>
          <overlay val="1"/>
        </title>
        <numFmt formatCode="General" sourceLinked="1"/>
        <majorTickMark val="none"/>
        <minorTickMark val="none"/>
        <tickLblPos val="nextTo"/>
        <crossAx val="10"/>
        <crosses val="autoZero"/>
        <crossBetween val="between"/>
      </valAx>
    </plotArea>
    <legend>
      <legendPos val="r"/>
      <overlay val="1"/>
    </legend>
    <plotVisOnly val="1"/>
    <dispBlanksAs val="gap"/>
  </chart>
</chartSpace>
</file>

<file path=xl/charts/chart181.xml><?xml version="1.0" encoding="utf-8"?>
<chartSpace xmlns="http://schemas.openxmlformats.org/drawingml/2006/chart">
  <chart>
    <title>
      <tx>
        <rich>
          <a:bodyPr xmlns:a="http://schemas.openxmlformats.org/drawingml/2006/main"/>
          <a:lstStyle xmlns:a="http://schemas.openxmlformats.org/drawingml/2006/main"/>
          <a:p xmlns:a="http://schemas.openxmlformats.org/drawingml/2006/main">
            <a:pPr>
              <a:defRPr/>
            </a:pPr>
            <a:r>
              <a:rPr lang="en-GB"/>
              <a:t>DK1 ADF t-statistics by Number of Lags</a:t>
            </a:r>
          </a:p>
        </rich>
      </tx>
      <overlay val="1"/>
    </title>
    <plotArea>
      <layout/>
      <lineChart>
        <grouping val="standard"/>
        <varyColors val="1"/>
        <ser>
          <idx val="0"/>
          <order val="0"/>
          <tx>
            <strRef>
              <f>Calibration!$H$1</f>
              <strCache>
                <ptCount val="1"/>
                <pt idx="0">
                  <v>DK1 Full</v>
                </pt>
              </strCache>
            </strRef>
          </tx>
          <spPr>
            <a:ln xmlns:a="http://schemas.openxmlformats.org/drawingml/2006/main">
              <a:solidFill>
                <a:srgbClr val="2E75B6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val>
            <numRef>
              <f>Calibration!$H$2:$H$6</f>
              <numCache>
                <formatCode>General</formatCode>
                <ptCount val="5"/>
                <pt idx="0">
                  <v>-2.7049</v>
                </pt>
                <pt idx="1">
                  <v>-2.5651</v>
                </pt>
                <pt idx="2">
                  <v>-1.782</v>
                </pt>
                <pt idx="3">
                  <v>-1.6911</v>
                </pt>
                <pt idx="4">
                  <v>-1.6501</v>
                </pt>
              </numCache>
            </numRef>
          </val>
          <smooth val="1"/>
        </ser>
        <ser>
          <idx val="1"/>
          <order val="1"/>
          <tx>
            <strRef>
              <f>Calibration!$I$1</f>
              <strCache>
                <ptCount val="1"/>
                <pt idx="0">
                  <v>DK1 ex-2022</v>
                </pt>
              </strCache>
            </strRef>
          </tx>
          <spPr>
            <a:ln xmlns:a="http://schemas.openxmlformats.org/drawingml/2006/main">
              <a:solidFill>
                <a:srgbClr val="FF8C00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val>
            <numRef>
              <f>Calibration!$I$2:$I$6</f>
              <numCache>
                <formatCode>General</formatCode>
                <ptCount val="5"/>
                <pt idx="0">
                  <v>-2.7732</v>
                </pt>
                <pt idx="1">
                  <v>-2.3519</v>
                </pt>
                <pt idx="2">
                  <v>-1.8495</v>
                </pt>
                <pt idx="3">
                  <v>-1.8987</v>
                </pt>
                <pt idx="4">
                  <v>-1.8872</v>
                </pt>
              </numCache>
            </numRef>
          </val>
          <smooth val="1"/>
        </ser>
        <ser>
          <idx val="2"/>
          <order val="2"/>
          <tx>
            <strRef>
              <f>Calibration!$J$1</f>
              <strCache>
                <ptCount val="1"/>
                <pt idx="0">
                  <v>DK1 post-crisis</v>
                </pt>
              </strCache>
            </strRef>
          </tx>
          <spPr>
            <a:ln xmlns:a="http://schemas.openxmlformats.org/drawingml/2006/main">
              <a:solidFill>
                <a:srgbClr val="70AD47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val>
            <numRef>
              <f>Calibration!$J$2:$J$6</f>
              <numCache>
                <formatCode>General</formatCode>
                <ptCount val="5"/>
                <pt idx="0">
                  <v>-3.435</v>
                </pt>
                <pt idx="1">
                  <v>-3.4777</v>
                </pt>
                <pt idx="2">
                  <v>-2.6639</v>
                </pt>
                <pt idx="3">
                  <v>-3.0968</v>
                </pt>
                <pt idx="4">
                  <v>-2.9904</v>
                </pt>
              </numCache>
            </numRef>
          </val>
          <smooth val="1"/>
        </ser>
        <ser>
          <idx val="3"/>
          <order val="3"/>
          <tx>
            <strRef>
              <f>Calibration!$K$1</f>
              <strCache>
                <ptCount val="1"/>
                <pt idx="0">
                  <v>CV 5%</v>
                </pt>
              </strCache>
            </strRef>
          </tx>
          <spPr>
            <a:ln xmlns:a="http://schemas.openxmlformats.org/drawingml/2006/main">
              <a:solidFill>
                <a:srgbClr val="C00000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val>
            <numRef>
              <f>Calibration!$K$2:$K$6</f>
              <numCache>
                <formatCode>General</formatCode>
                <ptCount val="5"/>
                <pt idx="0">
                  <v>-2.89</v>
                </pt>
                <pt idx="1">
                  <v>-2.89</v>
                </pt>
                <pt idx="2">
                  <v>-2.89</v>
                </pt>
                <pt idx="3">
                  <v>-2.89</v>
                </pt>
                <pt idx="4">
                  <v>-2.89</v>
                </pt>
              </numCache>
            </numRef>
          </val>
          <smooth val="1"/>
        </ser>
        <dLbls>
          <showLegendKey val="0"/>
          <showVal val="0"/>
          <showCatName val="0"/>
          <showSerName val="0"/>
          <showPercent val="0"/>
          <showBubbleSize val="0"/>
        </dLbls>
        <smooth val="0"/>
        <axId val="10"/>
        <axId val="100"/>
      </lineChart>
      <catAx>
        <axId val="10"/>
        <scaling>
          <orientation val="minMax"/>
        </scaling>
        <delete val="1"/>
        <axPos val="b"/>
        <title>
          <tx>
            <rich>
              <a:bodyPr xmlns:a="http://schemas.openxmlformats.org/drawingml/2006/main"/>
              <a:lstStyle xmlns:a="http://schemas.openxmlformats.org/drawingml/2006/main"/>
              <a:p xmlns:a="http://schemas.openxmlformats.org/drawingml/2006/main">
                <a:pPr>
                  <a:defRPr/>
                </a:pPr>
                <a:r>
                  <a:rPr lang="en-GB"/>
                  <a:t>Lags</a:t>
                </a:r>
              </a:p>
            </rich>
          </tx>
          <overlay val="1"/>
        </title>
        <majorTickMark val="none"/>
        <minorTickMark val="none"/>
        <tickLblPos val="nextTo"/>
        <crossAx val="100"/>
        <crosses val="autoZero"/>
        <auto val="1"/>
        <lblAlgn val="ctr"/>
        <lblOffset val="100"/>
        <noMultiLvlLbl val="1"/>
      </catAx>
      <valAx>
        <axId val="100"/>
        <scaling>
          <orientation val="minMax"/>
        </scaling>
        <delete val="1"/>
        <axPos val="l"/>
        <majorGridlines/>
        <title>
          <tx>
            <rich>
              <a:bodyPr xmlns:a="http://schemas.openxmlformats.org/drawingml/2006/main"/>
              <a:lstStyle xmlns:a="http://schemas.openxmlformats.org/drawingml/2006/main"/>
              <a:p xmlns:a="http://schemas.openxmlformats.org/drawingml/2006/main">
                <a:pPr>
                  <a:defRPr/>
                </a:pPr>
                <a:r>
                  <a:rPr lang="en-GB"/>
                  <a:t>ADF t-statistic</a:t>
                </a:r>
              </a:p>
            </rich>
          </tx>
          <overlay val="1"/>
        </title>
        <numFmt formatCode="General" sourceLinked="1"/>
        <majorTickMark val="none"/>
        <minorTickMark val="none"/>
        <tickLblPos val="nextTo"/>
        <crossAx val="10"/>
        <crosses val="autoZero"/>
        <crossBetween val="between"/>
      </valAx>
    </plotArea>
    <legend>
      <legendPos val="r"/>
      <overlay val="1"/>
    </legend>
    <plotVisOnly val="1"/>
    <dispBlanksAs val="gap"/>
  </chart>
</chartSpace>
</file>

<file path=xl/charts/chart182.xml><?xml version="1.0" encoding="utf-8"?>
<chartSpace xmlns="http://schemas.openxmlformats.org/drawingml/2006/chart">
  <chart>
    <title>
      <tx>
        <rich>
          <a:bodyPr xmlns:a="http://schemas.openxmlformats.org/drawingml/2006/main"/>
          <a:lstStyle xmlns:a="http://schemas.openxmlformats.org/drawingml/2006/main"/>
          <a:p xmlns:a="http://schemas.openxmlformats.org/drawingml/2006/main">
            <a:pPr>
              <a:defRPr/>
            </a:pPr>
            <a:r>
              <a:rPr lang="en-GB"/>
              <a:t>DK1 ADF t-statistics by Number of Lags</a:t>
            </a:r>
          </a:p>
        </rich>
      </tx>
      <overlay val="1"/>
    </title>
    <plotArea>
      <layout/>
      <lineChart>
        <grouping val="standard"/>
        <varyColors val="1"/>
        <ser>
          <idx val="0"/>
          <order val="0"/>
          <tx>
            <strRef>
              <f>Calibration!$H$1</f>
              <strCache>
                <ptCount val="1"/>
                <pt idx="0">
                  <v>DK1 Full</v>
                </pt>
              </strCache>
            </strRef>
          </tx>
          <spPr>
            <a:ln xmlns:a="http://schemas.openxmlformats.org/drawingml/2006/main">
              <a:solidFill>
                <a:srgbClr val="2E75B6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val>
            <numRef>
              <f>Calibration!$H$2:$H$6</f>
              <numCache>
                <formatCode>General</formatCode>
                <ptCount val="5"/>
                <pt idx="0">
                  <v>-2.7049</v>
                </pt>
                <pt idx="1">
                  <v>-2.5651</v>
                </pt>
                <pt idx="2">
                  <v>-1.782</v>
                </pt>
                <pt idx="3">
                  <v>-1.6911</v>
                </pt>
                <pt idx="4">
                  <v>-1.6501</v>
                </pt>
              </numCache>
            </numRef>
          </val>
          <smooth val="1"/>
        </ser>
        <ser>
          <idx val="1"/>
          <order val="1"/>
          <tx>
            <strRef>
              <f>Calibration!$I$1</f>
              <strCache>
                <ptCount val="1"/>
                <pt idx="0">
                  <v>DK1 ex-2022</v>
                </pt>
              </strCache>
            </strRef>
          </tx>
          <spPr>
            <a:ln xmlns:a="http://schemas.openxmlformats.org/drawingml/2006/main">
              <a:solidFill>
                <a:srgbClr val="FF8C00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val>
            <numRef>
              <f>Calibration!$I$2:$I$6</f>
              <numCache>
                <formatCode>General</formatCode>
                <ptCount val="5"/>
                <pt idx="0">
                  <v>-2.7732</v>
                </pt>
                <pt idx="1">
                  <v>-2.3519</v>
                </pt>
                <pt idx="2">
                  <v>-1.8495</v>
                </pt>
                <pt idx="3">
                  <v>-1.8987</v>
                </pt>
                <pt idx="4">
                  <v>-1.8872</v>
                </pt>
              </numCache>
            </numRef>
          </val>
          <smooth val="1"/>
        </ser>
        <ser>
          <idx val="2"/>
          <order val="2"/>
          <tx>
            <strRef>
              <f>Calibration!$J$1</f>
              <strCache>
                <ptCount val="1"/>
                <pt idx="0">
                  <v>DK1 post-crisis</v>
                </pt>
              </strCache>
            </strRef>
          </tx>
          <spPr>
            <a:ln xmlns:a="http://schemas.openxmlformats.org/drawingml/2006/main">
              <a:solidFill>
                <a:srgbClr val="70AD47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val>
            <numRef>
              <f>Calibration!$J$2:$J$6</f>
              <numCache>
                <formatCode>General</formatCode>
                <ptCount val="5"/>
                <pt idx="0">
                  <v>-3.435</v>
                </pt>
                <pt idx="1">
                  <v>-3.4777</v>
                </pt>
                <pt idx="2">
                  <v>-2.6639</v>
                </pt>
                <pt idx="3">
                  <v>-3.0968</v>
                </pt>
                <pt idx="4">
                  <v>-2.9904</v>
                </pt>
              </numCache>
            </numRef>
          </val>
          <smooth val="1"/>
        </ser>
        <ser>
          <idx val="3"/>
          <order val="3"/>
          <tx>
            <strRef>
              <f>Calibration!$K$1</f>
              <strCache>
                <ptCount val="1"/>
                <pt idx="0">
                  <v>CV 5%</v>
                </pt>
              </strCache>
            </strRef>
          </tx>
          <spPr>
            <a:ln xmlns:a="http://schemas.openxmlformats.org/drawingml/2006/main">
              <a:solidFill>
                <a:srgbClr val="C00000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val>
            <numRef>
              <f>Calibration!$K$2:$K$6</f>
              <numCache>
                <formatCode>General</formatCode>
                <ptCount val="5"/>
                <pt idx="0">
                  <v>-2.89</v>
                </pt>
                <pt idx="1">
                  <v>-2.89</v>
                </pt>
                <pt idx="2">
                  <v>-2.89</v>
                </pt>
                <pt idx="3">
                  <v>-2.89</v>
                </pt>
                <pt idx="4">
                  <v>-2.89</v>
                </pt>
              </numCache>
            </numRef>
          </val>
          <smooth val="1"/>
        </ser>
        <dLbls>
          <showLegendKey val="0"/>
          <showVal val="0"/>
          <showCatName val="0"/>
          <showSerName val="0"/>
          <showPercent val="0"/>
          <showBubbleSize val="0"/>
        </dLbls>
        <smooth val="0"/>
        <axId val="10"/>
        <axId val="100"/>
      </lineChart>
      <catAx>
        <axId val="10"/>
        <scaling>
          <orientation val="minMax"/>
        </scaling>
        <delete val="1"/>
        <axPos val="b"/>
        <title>
          <tx>
            <rich>
              <a:bodyPr xmlns:a="http://schemas.openxmlformats.org/drawingml/2006/main"/>
              <a:lstStyle xmlns:a="http://schemas.openxmlformats.org/drawingml/2006/main"/>
              <a:p xmlns:a="http://schemas.openxmlformats.org/drawingml/2006/main">
                <a:pPr>
                  <a:defRPr/>
                </a:pPr>
                <a:r>
                  <a:rPr lang="en-GB"/>
                  <a:t>Lags</a:t>
                </a:r>
              </a:p>
            </rich>
          </tx>
          <overlay val="1"/>
        </title>
        <majorTickMark val="none"/>
        <minorTickMark val="none"/>
        <tickLblPos val="nextTo"/>
        <crossAx val="100"/>
        <crosses val="autoZero"/>
        <auto val="1"/>
        <lblAlgn val="ctr"/>
        <lblOffset val="100"/>
        <noMultiLvlLbl val="1"/>
      </catAx>
      <valAx>
        <axId val="100"/>
        <scaling>
          <orientation val="minMax"/>
        </scaling>
        <delete val="1"/>
        <axPos val="l"/>
        <majorGridlines/>
        <title>
          <tx>
            <rich>
              <a:bodyPr xmlns:a="http://schemas.openxmlformats.org/drawingml/2006/main"/>
              <a:lstStyle xmlns:a="http://schemas.openxmlformats.org/drawingml/2006/main"/>
              <a:p xmlns:a="http://schemas.openxmlformats.org/drawingml/2006/main">
                <a:pPr>
                  <a:defRPr/>
                </a:pPr>
                <a:r>
                  <a:rPr lang="en-GB"/>
                  <a:t>ADF t-statistic</a:t>
                </a:r>
              </a:p>
            </rich>
          </tx>
          <overlay val="1"/>
        </title>
        <numFmt formatCode="General" sourceLinked="1"/>
        <majorTickMark val="none"/>
        <minorTickMark val="none"/>
        <tickLblPos val="nextTo"/>
        <crossAx val="10"/>
        <crosses val="autoZero"/>
        <crossBetween val="between"/>
      </valAx>
    </plotArea>
    <legend>
      <legendPos val="r"/>
      <overlay val="1"/>
    </legend>
    <plotVisOnly val="1"/>
    <dispBlanksAs val="gap"/>
  </chart>
</chartSpace>
</file>

<file path=xl/charts/chart183.xml><?xml version="1.0" encoding="utf-8"?>
<chartSpace xmlns="http://schemas.openxmlformats.org/drawingml/2006/chart">
  <chart>
    <title>
      <tx>
        <rich>
          <a:bodyPr xmlns:a="http://schemas.openxmlformats.org/drawingml/2006/main"/>
          <a:lstStyle xmlns:a="http://schemas.openxmlformats.org/drawingml/2006/main"/>
          <a:p xmlns:a="http://schemas.openxmlformats.org/drawingml/2006/main">
            <a:pPr>
              <a:defRPr/>
            </a:pPr>
            <a:r>
              <a:rPr lang="en-GB"/>
              <a:t>DK1 ADF t-statistics by Number of Lags</a:t>
            </a:r>
          </a:p>
        </rich>
      </tx>
      <overlay val="1"/>
    </title>
    <plotArea>
      <layout/>
      <lineChart>
        <grouping val="standard"/>
        <varyColors val="1"/>
        <ser>
          <idx val="0"/>
          <order val="0"/>
          <tx>
            <strRef>
              <f>Calibration!$H$1</f>
              <strCache>
                <ptCount val="1"/>
                <pt idx="0">
                  <v>DK1 Full</v>
                </pt>
              </strCache>
            </strRef>
          </tx>
          <spPr>
            <a:ln xmlns:a="http://schemas.openxmlformats.org/drawingml/2006/main">
              <a:solidFill>
                <a:srgbClr val="2E75B6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val>
            <numRef>
              <f>Calibration!$H$2:$H$6</f>
              <numCache>
                <formatCode>General</formatCode>
                <ptCount val="5"/>
                <pt idx="0">
                  <v>-2.7049</v>
                </pt>
                <pt idx="1">
                  <v>-2.5651</v>
                </pt>
                <pt idx="2">
                  <v>-1.782</v>
                </pt>
                <pt idx="3">
                  <v>-1.6911</v>
                </pt>
                <pt idx="4">
                  <v>-1.6501</v>
                </pt>
              </numCache>
            </numRef>
          </val>
          <smooth val="1"/>
        </ser>
        <ser>
          <idx val="1"/>
          <order val="1"/>
          <tx>
            <strRef>
              <f>Calibration!$I$1</f>
              <strCache>
                <ptCount val="1"/>
                <pt idx="0">
                  <v>DK1 ex-2022</v>
                </pt>
              </strCache>
            </strRef>
          </tx>
          <spPr>
            <a:ln xmlns:a="http://schemas.openxmlformats.org/drawingml/2006/main">
              <a:solidFill>
                <a:srgbClr val="FF8C00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val>
            <numRef>
              <f>Calibration!$I$2:$I$6</f>
              <numCache>
                <formatCode>General</formatCode>
                <ptCount val="5"/>
                <pt idx="0">
                  <v>-2.7732</v>
                </pt>
                <pt idx="1">
                  <v>-2.3519</v>
                </pt>
                <pt idx="2">
                  <v>-1.8495</v>
                </pt>
                <pt idx="3">
                  <v>-1.8987</v>
                </pt>
                <pt idx="4">
                  <v>-1.8872</v>
                </pt>
              </numCache>
            </numRef>
          </val>
          <smooth val="1"/>
        </ser>
        <ser>
          <idx val="2"/>
          <order val="2"/>
          <tx>
            <strRef>
              <f>Calibration!$J$1</f>
              <strCache>
                <ptCount val="1"/>
                <pt idx="0">
                  <v>DK1 post-crisis</v>
                </pt>
              </strCache>
            </strRef>
          </tx>
          <spPr>
            <a:ln xmlns:a="http://schemas.openxmlformats.org/drawingml/2006/main">
              <a:solidFill>
                <a:srgbClr val="70AD47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val>
            <numRef>
              <f>Calibration!$J$2:$J$6</f>
              <numCache>
                <formatCode>General</formatCode>
                <ptCount val="5"/>
                <pt idx="0">
                  <v>-3.435</v>
                </pt>
                <pt idx="1">
                  <v>-3.4777</v>
                </pt>
                <pt idx="2">
                  <v>-2.6639</v>
                </pt>
                <pt idx="3">
                  <v>-3.0968</v>
                </pt>
                <pt idx="4">
                  <v>-2.9904</v>
                </pt>
              </numCache>
            </numRef>
          </val>
          <smooth val="1"/>
        </ser>
        <ser>
          <idx val="3"/>
          <order val="3"/>
          <tx>
            <strRef>
              <f>Calibration!$K$1</f>
              <strCache>
                <ptCount val="1"/>
                <pt idx="0">
                  <v>CV 5%</v>
                </pt>
              </strCache>
            </strRef>
          </tx>
          <spPr>
            <a:ln xmlns:a="http://schemas.openxmlformats.org/drawingml/2006/main">
              <a:solidFill>
                <a:srgbClr val="C00000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val>
            <numRef>
              <f>Calibration!$K$2:$K$6</f>
              <numCache>
                <formatCode>General</formatCode>
                <ptCount val="5"/>
                <pt idx="0">
                  <v>-2.89</v>
                </pt>
                <pt idx="1">
                  <v>-2.89</v>
                </pt>
                <pt idx="2">
                  <v>-2.89</v>
                </pt>
                <pt idx="3">
                  <v>-2.89</v>
                </pt>
                <pt idx="4">
                  <v>-2.89</v>
                </pt>
              </numCache>
            </numRef>
          </val>
          <smooth val="1"/>
        </ser>
        <dLbls>
          <showLegendKey val="0"/>
          <showVal val="0"/>
          <showCatName val="0"/>
          <showSerName val="0"/>
          <showPercent val="0"/>
          <showBubbleSize val="0"/>
        </dLbls>
        <smooth val="0"/>
        <axId val="10"/>
        <axId val="100"/>
      </lineChart>
      <catAx>
        <axId val="10"/>
        <scaling>
          <orientation val="minMax"/>
        </scaling>
        <delete val="1"/>
        <axPos val="b"/>
        <title>
          <tx>
            <rich>
              <a:bodyPr xmlns:a="http://schemas.openxmlformats.org/drawingml/2006/main"/>
              <a:lstStyle xmlns:a="http://schemas.openxmlformats.org/drawingml/2006/main"/>
              <a:p xmlns:a="http://schemas.openxmlformats.org/drawingml/2006/main">
                <a:pPr>
                  <a:defRPr/>
                </a:pPr>
                <a:r>
                  <a:rPr lang="en-GB"/>
                  <a:t>Lags</a:t>
                </a:r>
              </a:p>
            </rich>
          </tx>
          <overlay val="1"/>
        </title>
        <majorTickMark val="none"/>
        <minorTickMark val="none"/>
        <tickLblPos val="nextTo"/>
        <crossAx val="100"/>
        <crosses val="autoZero"/>
        <auto val="1"/>
        <lblAlgn val="ctr"/>
        <lblOffset val="100"/>
        <noMultiLvlLbl val="1"/>
      </catAx>
      <valAx>
        <axId val="100"/>
        <scaling>
          <orientation val="minMax"/>
        </scaling>
        <delete val="1"/>
        <axPos val="l"/>
        <majorGridlines/>
        <title>
          <tx>
            <rich>
              <a:bodyPr xmlns:a="http://schemas.openxmlformats.org/drawingml/2006/main"/>
              <a:lstStyle xmlns:a="http://schemas.openxmlformats.org/drawingml/2006/main"/>
              <a:p xmlns:a="http://schemas.openxmlformats.org/drawingml/2006/main">
                <a:pPr>
                  <a:defRPr/>
                </a:pPr>
                <a:r>
                  <a:rPr lang="en-GB"/>
                  <a:t>ADF t-statistic</a:t>
                </a:r>
              </a:p>
            </rich>
          </tx>
          <overlay val="1"/>
        </title>
        <numFmt formatCode="General" sourceLinked="1"/>
        <majorTickMark val="none"/>
        <minorTickMark val="none"/>
        <tickLblPos val="nextTo"/>
        <crossAx val="10"/>
        <crosses val="autoZero"/>
        <crossBetween val="between"/>
      </valAx>
    </plotArea>
    <legend>
      <legendPos val="r"/>
      <overlay val="1"/>
    </legend>
    <plotVisOnly val="1"/>
    <dispBlanksAs val="gap"/>
  </chart>
</chartSpace>
</file>

<file path=xl/charts/chart184.xml><?xml version="1.0" encoding="utf-8"?>
<chartSpace xmlns="http://schemas.openxmlformats.org/drawingml/2006/chart">
  <chart>
    <title>
      <tx>
        <rich>
          <a:bodyPr xmlns:a="http://schemas.openxmlformats.org/drawingml/2006/main"/>
          <a:lstStyle xmlns:a="http://schemas.openxmlformats.org/drawingml/2006/main"/>
          <a:p xmlns:a="http://schemas.openxmlformats.org/drawingml/2006/main">
            <a:pPr>
              <a:defRPr/>
            </a:pPr>
            <a:r>
              <a:rPr lang="en-GB"/>
              <a:t>DK1 ADF t-statistics by Number of Lags</a:t>
            </a:r>
          </a:p>
        </rich>
      </tx>
      <overlay val="1"/>
    </title>
    <plotArea>
      <layout/>
      <lineChart>
        <grouping val="standard"/>
        <varyColors val="1"/>
        <ser>
          <idx val="0"/>
          <order val="0"/>
          <tx>
            <strRef>
              <f>Calibration!$H$1</f>
              <strCache>
                <ptCount val="1"/>
                <pt idx="0">
                  <v>DK1 Full</v>
                </pt>
              </strCache>
            </strRef>
          </tx>
          <spPr>
            <a:ln xmlns:a="http://schemas.openxmlformats.org/drawingml/2006/main">
              <a:solidFill>
                <a:srgbClr val="2E75B6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val>
            <numRef>
              <f>Calibration!$H$2:$H$6</f>
              <numCache>
                <formatCode>General</formatCode>
                <ptCount val="5"/>
                <pt idx="0">
                  <v>-2.7049</v>
                </pt>
                <pt idx="1">
                  <v>-2.5651</v>
                </pt>
                <pt idx="2">
                  <v>-1.782</v>
                </pt>
                <pt idx="3">
                  <v>-1.6911</v>
                </pt>
                <pt idx="4">
                  <v>-1.6501</v>
                </pt>
              </numCache>
            </numRef>
          </val>
          <smooth val="1"/>
        </ser>
        <ser>
          <idx val="1"/>
          <order val="1"/>
          <tx>
            <strRef>
              <f>Calibration!$I$1</f>
              <strCache>
                <ptCount val="1"/>
                <pt idx="0">
                  <v>DK1 ex-2022</v>
                </pt>
              </strCache>
            </strRef>
          </tx>
          <spPr>
            <a:ln xmlns:a="http://schemas.openxmlformats.org/drawingml/2006/main">
              <a:solidFill>
                <a:srgbClr val="FF8C00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val>
            <numRef>
              <f>Calibration!$I$2:$I$6</f>
              <numCache>
                <formatCode>General</formatCode>
                <ptCount val="5"/>
                <pt idx="0">
                  <v>-2.7732</v>
                </pt>
                <pt idx="1">
                  <v>-2.3519</v>
                </pt>
                <pt idx="2">
                  <v>-1.8495</v>
                </pt>
                <pt idx="3">
                  <v>-1.8987</v>
                </pt>
                <pt idx="4">
                  <v>-1.8872</v>
                </pt>
              </numCache>
            </numRef>
          </val>
          <smooth val="1"/>
        </ser>
        <ser>
          <idx val="2"/>
          <order val="2"/>
          <tx>
            <strRef>
              <f>Calibration!$J$1</f>
              <strCache>
                <ptCount val="1"/>
                <pt idx="0">
                  <v>DK1 post-crisis</v>
                </pt>
              </strCache>
            </strRef>
          </tx>
          <spPr>
            <a:ln xmlns:a="http://schemas.openxmlformats.org/drawingml/2006/main">
              <a:solidFill>
                <a:srgbClr val="70AD47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val>
            <numRef>
              <f>Calibration!$J$2:$J$6</f>
              <numCache>
                <formatCode>General</formatCode>
                <ptCount val="5"/>
                <pt idx="0">
                  <v>-3.435</v>
                </pt>
                <pt idx="1">
                  <v>-3.4777</v>
                </pt>
                <pt idx="2">
                  <v>-2.6639</v>
                </pt>
                <pt idx="3">
                  <v>-3.0968</v>
                </pt>
                <pt idx="4">
                  <v>-2.9904</v>
                </pt>
              </numCache>
            </numRef>
          </val>
          <smooth val="1"/>
        </ser>
        <ser>
          <idx val="3"/>
          <order val="3"/>
          <tx>
            <strRef>
              <f>Calibration!$K$1</f>
              <strCache>
                <ptCount val="1"/>
                <pt idx="0">
                  <v>CV 5%</v>
                </pt>
              </strCache>
            </strRef>
          </tx>
          <spPr>
            <a:ln xmlns:a="http://schemas.openxmlformats.org/drawingml/2006/main">
              <a:solidFill>
                <a:srgbClr val="C00000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val>
            <numRef>
              <f>Calibration!$K$2:$K$6</f>
              <numCache>
                <formatCode>General</formatCode>
                <ptCount val="5"/>
                <pt idx="0">
                  <v>-2.89</v>
                </pt>
                <pt idx="1">
                  <v>-2.89</v>
                </pt>
                <pt idx="2">
                  <v>-2.89</v>
                </pt>
                <pt idx="3">
                  <v>-2.89</v>
                </pt>
                <pt idx="4">
                  <v>-2.89</v>
                </pt>
              </numCache>
            </numRef>
          </val>
          <smooth val="1"/>
        </ser>
        <dLbls>
          <showLegendKey val="0"/>
          <showVal val="0"/>
          <showCatName val="0"/>
          <showSerName val="0"/>
          <showPercent val="0"/>
          <showBubbleSize val="0"/>
        </dLbls>
        <smooth val="0"/>
        <axId val="10"/>
        <axId val="100"/>
      </lineChart>
      <catAx>
        <axId val="10"/>
        <scaling>
          <orientation val="minMax"/>
        </scaling>
        <delete val="1"/>
        <axPos val="b"/>
        <title>
          <tx>
            <rich>
              <a:bodyPr xmlns:a="http://schemas.openxmlformats.org/drawingml/2006/main"/>
              <a:lstStyle xmlns:a="http://schemas.openxmlformats.org/drawingml/2006/main"/>
              <a:p xmlns:a="http://schemas.openxmlformats.org/drawingml/2006/main">
                <a:pPr>
                  <a:defRPr/>
                </a:pPr>
                <a:r>
                  <a:rPr lang="en-GB"/>
                  <a:t>Lags</a:t>
                </a:r>
              </a:p>
            </rich>
          </tx>
          <overlay val="1"/>
        </title>
        <majorTickMark val="none"/>
        <minorTickMark val="none"/>
        <tickLblPos val="nextTo"/>
        <crossAx val="100"/>
        <crosses val="autoZero"/>
        <auto val="1"/>
        <lblAlgn val="ctr"/>
        <lblOffset val="100"/>
        <noMultiLvlLbl val="1"/>
      </catAx>
      <valAx>
        <axId val="100"/>
        <scaling>
          <orientation val="minMax"/>
        </scaling>
        <delete val="1"/>
        <axPos val="l"/>
        <majorGridlines/>
        <title>
          <tx>
            <rich>
              <a:bodyPr xmlns:a="http://schemas.openxmlformats.org/drawingml/2006/main"/>
              <a:lstStyle xmlns:a="http://schemas.openxmlformats.org/drawingml/2006/main"/>
              <a:p xmlns:a="http://schemas.openxmlformats.org/drawingml/2006/main">
                <a:pPr>
                  <a:defRPr/>
                </a:pPr>
                <a:r>
                  <a:rPr lang="en-GB"/>
                  <a:t>ADF t-statistic</a:t>
                </a:r>
              </a:p>
            </rich>
          </tx>
          <overlay val="1"/>
        </title>
        <numFmt formatCode="General" sourceLinked="1"/>
        <majorTickMark val="none"/>
        <minorTickMark val="none"/>
        <tickLblPos val="nextTo"/>
        <crossAx val="10"/>
        <crosses val="autoZero"/>
        <crossBetween val="between"/>
      </valAx>
    </plotArea>
    <legend>
      <legendPos val="r"/>
      <overlay val="1"/>
    </legend>
    <plotVisOnly val="1"/>
    <dispBlanksAs val="gap"/>
  </chart>
</chartSpace>
</file>

<file path=xl/charts/chart185.xml><?xml version="1.0" encoding="utf-8"?>
<chartSpace xmlns="http://schemas.openxmlformats.org/drawingml/2006/chart">
  <chart>
    <title>
      <tx>
        <rich>
          <a:bodyPr xmlns:a="http://schemas.openxmlformats.org/drawingml/2006/main"/>
          <a:lstStyle xmlns:a="http://schemas.openxmlformats.org/drawingml/2006/main"/>
          <a:p xmlns:a="http://schemas.openxmlformats.org/drawingml/2006/main">
            <a:pPr>
              <a:defRPr/>
            </a:pPr>
            <a:r>
              <a:rPr lang="en-GB"/>
              <a:t>DK1 ADF t-statistics by Number of Lags</a:t>
            </a:r>
          </a:p>
        </rich>
      </tx>
      <overlay val="1"/>
    </title>
    <plotArea>
      <layout/>
      <lineChart>
        <grouping val="standard"/>
        <varyColors val="1"/>
        <ser>
          <idx val="0"/>
          <order val="0"/>
          <tx>
            <strRef>
              <f>Calibration!$H$1</f>
              <strCache>
                <ptCount val="1"/>
                <pt idx="0">
                  <v>DK1 Full</v>
                </pt>
              </strCache>
            </strRef>
          </tx>
          <spPr>
            <a:ln xmlns:a="http://schemas.openxmlformats.org/drawingml/2006/main">
              <a:solidFill>
                <a:srgbClr val="2E75B6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val>
            <numRef>
              <f>Calibration!$H$2:$H$6</f>
              <numCache>
                <formatCode>General</formatCode>
                <ptCount val="5"/>
                <pt idx="0">
                  <v>-2.7049</v>
                </pt>
                <pt idx="1">
                  <v>-2.5651</v>
                </pt>
                <pt idx="2">
                  <v>-1.782</v>
                </pt>
                <pt idx="3">
                  <v>-1.6911</v>
                </pt>
                <pt idx="4">
                  <v>-1.6501</v>
                </pt>
              </numCache>
            </numRef>
          </val>
          <smooth val="1"/>
        </ser>
        <ser>
          <idx val="1"/>
          <order val="1"/>
          <tx>
            <strRef>
              <f>Calibration!$I$1</f>
              <strCache>
                <ptCount val="1"/>
                <pt idx="0">
                  <v>DK1 ex-2022</v>
                </pt>
              </strCache>
            </strRef>
          </tx>
          <spPr>
            <a:ln xmlns:a="http://schemas.openxmlformats.org/drawingml/2006/main">
              <a:solidFill>
                <a:srgbClr val="FF8C00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val>
            <numRef>
              <f>Calibration!$I$2:$I$6</f>
              <numCache>
                <formatCode>General</formatCode>
                <ptCount val="5"/>
                <pt idx="0">
                  <v>-2.7732</v>
                </pt>
                <pt idx="1">
                  <v>-2.3519</v>
                </pt>
                <pt idx="2">
                  <v>-1.8495</v>
                </pt>
                <pt idx="3">
                  <v>-1.8987</v>
                </pt>
                <pt idx="4">
                  <v>-1.8872</v>
                </pt>
              </numCache>
            </numRef>
          </val>
          <smooth val="1"/>
        </ser>
        <ser>
          <idx val="2"/>
          <order val="2"/>
          <tx>
            <strRef>
              <f>Calibration!$J$1</f>
              <strCache>
                <ptCount val="1"/>
                <pt idx="0">
                  <v>DK1 post-crisis</v>
                </pt>
              </strCache>
            </strRef>
          </tx>
          <spPr>
            <a:ln xmlns:a="http://schemas.openxmlformats.org/drawingml/2006/main">
              <a:solidFill>
                <a:srgbClr val="70AD47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val>
            <numRef>
              <f>Calibration!$J$2:$J$6</f>
              <numCache>
                <formatCode>General</formatCode>
                <ptCount val="5"/>
                <pt idx="0">
                  <v>-3.435</v>
                </pt>
                <pt idx="1">
                  <v>-3.4777</v>
                </pt>
                <pt idx="2">
                  <v>-2.6639</v>
                </pt>
                <pt idx="3">
                  <v>-3.0968</v>
                </pt>
                <pt idx="4">
                  <v>-2.9904</v>
                </pt>
              </numCache>
            </numRef>
          </val>
          <smooth val="1"/>
        </ser>
        <ser>
          <idx val="3"/>
          <order val="3"/>
          <tx>
            <strRef>
              <f>Calibration!$K$1</f>
              <strCache>
                <ptCount val="1"/>
                <pt idx="0">
                  <v>CV 5%</v>
                </pt>
              </strCache>
            </strRef>
          </tx>
          <spPr>
            <a:ln xmlns:a="http://schemas.openxmlformats.org/drawingml/2006/main">
              <a:solidFill>
                <a:srgbClr val="C00000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val>
            <numRef>
              <f>Calibration!$K$2:$K$6</f>
              <numCache>
                <formatCode>General</formatCode>
                <ptCount val="5"/>
                <pt idx="0">
                  <v>-2.89</v>
                </pt>
                <pt idx="1">
                  <v>-2.89</v>
                </pt>
                <pt idx="2">
                  <v>-2.89</v>
                </pt>
                <pt idx="3">
                  <v>-2.89</v>
                </pt>
                <pt idx="4">
                  <v>-2.89</v>
                </pt>
              </numCache>
            </numRef>
          </val>
          <smooth val="1"/>
        </ser>
        <dLbls>
          <showLegendKey val="0"/>
          <showVal val="0"/>
          <showCatName val="0"/>
          <showSerName val="0"/>
          <showPercent val="0"/>
          <showBubbleSize val="0"/>
        </dLbls>
        <smooth val="0"/>
        <axId val="10"/>
        <axId val="100"/>
      </lineChart>
      <catAx>
        <axId val="10"/>
        <scaling>
          <orientation val="minMax"/>
        </scaling>
        <delete val="1"/>
        <axPos val="b"/>
        <title>
          <tx>
            <rich>
              <a:bodyPr xmlns:a="http://schemas.openxmlformats.org/drawingml/2006/main"/>
              <a:lstStyle xmlns:a="http://schemas.openxmlformats.org/drawingml/2006/main"/>
              <a:p xmlns:a="http://schemas.openxmlformats.org/drawingml/2006/main">
                <a:pPr>
                  <a:defRPr/>
                </a:pPr>
                <a:r>
                  <a:rPr lang="en-GB"/>
                  <a:t>Lags</a:t>
                </a:r>
              </a:p>
            </rich>
          </tx>
          <overlay val="1"/>
        </title>
        <majorTickMark val="none"/>
        <minorTickMark val="none"/>
        <tickLblPos val="nextTo"/>
        <crossAx val="100"/>
        <crosses val="autoZero"/>
        <auto val="1"/>
        <lblAlgn val="ctr"/>
        <lblOffset val="100"/>
        <noMultiLvlLbl val="1"/>
      </catAx>
      <valAx>
        <axId val="100"/>
        <scaling>
          <orientation val="minMax"/>
        </scaling>
        <delete val="1"/>
        <axPos val="l"/>
        <majorGridlines/>
        <title>
          <tx>
            <rich>
              <a:bodyPr xmlns:a="http://schemas.openxmlformats.org/drawingml/2006/main"/>
              <a:lstStyle xmlns:a="http://schemas.openxmlformats.org/drawingml/2006/main"/>
              <a:p xmlns:a="http://schemas.openxmlformats.org/drawingml/2006/main">
                <a:pPr>
                  <a:defRPr/>
                </a:pPr>
                <a:r>
                  <a:rPr lang="en-GB"/>
                  <a:t>ADF t-statistic</a:t>
                </a:r>
              </a:p>
            </rich>
          </tx>
          <overlay val="1"/>
        </title>
        <numFmt formatCode="General" sourceLinked="1"/>
        <majorTickMark val="none"/>
        <minorTickMark val="none"/>
        <tickLblPos val="nextTo"/>
        <crossAx val="10"/>
        <crosses val="autoZero"/>
        <crossBetween val="between"/>
      </valAx>
    </plotArea>
    <legend>
      <legendPos val="r"/>
      <overlay val="1"/>
    </legend>
    <plotVisOnly val="1"/>
    <dispBlanksAs val="gap"/>
  </chart>
</chartSpace>
</file>

<file path=xl/charts/chart186.xml><?xml version="1.0" encoding="utf-8"?>
<chartSpace xmlns="http://schemas.openxmlformats.org/drawingml/2006/chart">
  <chart>
    <title>
      <tx>
        <rich>
          <a:bodyPr xmlns:a="http://schemas.openxmlformats.org/drawingml/2006/main"/>
          <a:lstStyle xmlns:a="http://schemas.openxmlformats.org/drawingml/2006/main"/>
          <a:p xmlns:a="http://schemas.openxmlformats.org/drawingml/2006/main">
            <a:pPr>
              <a:defRPr/>
            </a:pPr>
            <a:r>
              <a:rPr lang="en-GB"/>
              <a:t>DK1 ADF t-statistics by Number of Lags</a:t>
            </a:r>
          </a:p>
        </rich>
      </tx>
      <overlay val="1"/>
    </title>
    <plotArea>
      <layout/>
      <lineChart>
        <grouping val="standard"/>
        <varyColors val="1"/>
        <ser>
          <idx val="0"/>
          <order val="0"/>
          <tx>
            <strRef>
              <f>Calibration!$H$1</f>
              <strCache>
                <ptCount val="1"/>
                <pt idx="0">
                  <v>DK1 Full</v>
                </pt>
              </strCache>
            </strRef>
          </tx>
          <spPr>
            <a:ln xmlns:a="http://schemas.openxmlformats.org/drawingml/2006/main">
              <a:solidFill>
                <a:srgbClr val="2E75B6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val>
            <numRef>
              <f>Calibration!$H$2:$H$6</f>
              <numCache>
                <formatCode>General</formatCode>
                <ptCount val="5"/>
                <pt idx="0">
                  <v>-2.7049</v>
                </pt>
                <pt idx="1">
                  <v>-2.5651</v>
                </pt>
                <pt idx="2">
                  <v>-1.782</v>
                </pt>
                <pt idx="3">
                  <v>-1.6911</v>
                </pt>
                <pt idx="4">
                  <v>-1.6501</v>
                </pt>
              </numCache>
            </numRef>
          </val>
          <smooth val="1"/>
        </ser>
        <ser>
          <idx val="1"/>
          <order val="1"/>
          <tx>
            <strRef>
              <f>Calibration!$I$1</f>
              <strCache>
                <ptCount val="1"/>
                <pt idx="0">
                  <v>DK1 ex-2022</v>
                </pt>
              </strCache>
            </strRef>
          </tx>
          <spPr>
            <a:ln xmlns:a="http://schemas.openxmlformats.org/drawingml/2006/main">
              <a:solidFill>
                <a:srgbClr val="FF8C00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val>
            <numRef>
              <f>Calibration!$I$2:$I$6</f>
              <numCache>
                <formatCode>General</formatCode>
                <ptCount val="5"/>
                <pt idx="0">
                  <v>-2.7732</v>
                </pt>
                <pt idx="1">
                  <v>-2.3519</v>
                </pt>
                <pt idx="2">
                  <v>-1.8495</v>
                </pt>
                <pt idx="3">
                  <v>-1.8987</v>
                </pt>
                <pt idx="4">
                  <v>-1.8872</v>
                </pt>
              </numCache>
            </numRef>
          </val>
          <smooth val="1"/>
        </ser>
        <ser>
          <idx val="2"/>
          <order val="2"/>
          <tx>
            <strRef>
              <f>Calibration!$J$1</f>
              <strCache>
                <ptCount val="1"/>
                <pt idx="0">
                  <v>DK1 post-crisis</v>
                </pt>
              </strCache>
            </strRef>
          </tx>
          <spPr>
            <a:ln xmlns:a="http://schemas.openxmlformats.org/drawingml/2006/main">
              <a:solidFill>
                <a:srgbClr val="70AD47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val>
            <numRef>
              <f>Calibration!$J$2:$J$6</f>
              <numCache>
                <formatCode>General</formatCode>
                <ptCount val="5"/>
                <pt idx="0">
                  <v>-3.435</v>
                </pt>
                <pt idx="1">
                  <v>-3.4777</v>
                </pt>
                <pt idx="2">
                  <v>-2.6639</v>
                </pt>
                <pt idx="3">
                  <v>-3.0968</v>
                </pt>
                <pt idx="4">
                  <v>-2.9904</v>
                </pt>
              </numCache>
            </numRef>
          </val>
          <smooth val="1"/>
        </ser>
        <ser>
          <idx val="3"/>
          <order val="3"/>
          <tx>
            <strRef>
              <f>Calibration!$K$1</f>
              <strCache>
                <ptCount val="1"/>
                <pt idx="0">
                  <v>CV 5%</v>
                </pt>
              </strCache>
            </strRef>
          </tx>
          <spPr>
            <a:ln xmlns:a="http://schemas.openxmlformats.org/drawingml/2006/main">
              <a:solidFill>
                <a:srgbClr val="C00000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val>
            <numRef>
              <f>Calibration!$K$2:$K$6</f>
              <numCache>
                <formatCode>General</formatCode>
                <ptCount val="5"/>
                <pt idx="0">
                  <v>-2.89</v>
                </pt>
                <pt idx="1">
                  <v>-2.89</v>
                </pt>
                <pt idx="2">
                  <v>-2.89</v>
                </pt>
                <pt idx="3">
                  <v>-2.89</v>
                </pt>
                <pt idx="4">
                  <v>-2.89</v>
                </pt>
              </numCache>
            </numRef>
          </val>
          <smooth val="1"/>
        </ser>
        <dLbls>
          <showLegendKey val="0"/>
          <showVal val="0"/>
          <showCatName val="0"/>
          <showSerName val="0"/>
          <showPercent val="0"/>
          <showBubbleSize val="0"/>
        </dLbls>
        <smooth val="0"/>
        <axId val="10"/>
        <axId val="100"/>
      </lineChart>
      <catAx>
        <axId val="10"/>
        <scaling>
          <orientation val="minMax"/>
        </scaling>
        <delete val="1"/>
        <axPos val="b"/>
        <title>
          <tx>
            <rich>
              <a:bodyPr xmlns:a="http://schemas.openxmlformats.org/drawingml/2006/main"/>
              <a:lstStyle xmlns:a="http://schemas.openxmlformats.org/drawingml/2006/main"/>
              <a:p xmlns:a="http://schemas.openxmlformats.org/drawingml/2006/main">
                <a:pPr>
                  <a:defRPr/>
                </a:pPr>
                <a:r>
                  <a:rPr lang="en-GB"/>
                  <a:t>Lags</a:t>
                </a:r>
              </a:p>
            </rich>
          </tx>
          <overlay val="1"/>
        </title>
        <majorTickMark val="none"/>
        <minorTickMark val="none"/>
        <tickLblPos val="nextTo"/>
        <crossAx val="100"/>
        <crosses val="autoZero"/>
        <auto val="1"/>
        <lblAlgn val="ctr"/>
        <lblOffset val="100"/>
        <noMultiLvlLbl val="1"/>
      </catAx>
      <valAx>
        <axId val="100"/>
        <scaling>
          <orientation val="minMax"/>
        </scaling>
        <delete val="1"/>
        <axPos val="l"/>
        <majorGridlines/>
        <title>
          <tx>
            <rich>
              <a:bodyPr xmlns:a="http://schemas.openxmlformats.org/drawingml/2006/main"/>
              <a:lstStyle xmlns:a="http://schemas.openxmlformats.org/drawingml/2006/main"/>
              <a:p xmlns:a="http://schemas.openxmlformats.org/drawingml/2006/main">
                <a:pPr>
                  <a:defRPr/>
                </a:pPr>
                <a:r>
                  <a:rPr lang="en-GB"/>
                  <a:t>ADF t-statistic</a:t>
                </a:r>
              </a:p>
            </rich>
          </tx>
          <overlay val="1"/>
        </title>
        <numFmt formatCode="General" sourceLinked="1"/>
        <majorTickMark val="none"/>
        <minorTickMark val="none"/>
        <tickLblPos val="nextTo"/>
        <crossAx val="10"/>
        <crosses val="autoZero"/>
        <crossBetween val="between"/>
      </valAx>
    </plotArea>
    <legend>
      <legendPos val="r"/>
      <overlay val="1"/>
    </legend>
    <plotVisOnly val="1"/>
    <dispBlanksAs val="gap"/>
  </chart>
</chartSpace>
</file>

<file path=xl/charts/chart187.xml><?xml version="1.0" encoding="utf-8"?>
<chartSpace xmlns="http://schemas.openxmlformats.org/drawingml/2006/chart">
  <chart>
    <title>
      <tx>
        <rich>
          <a:bodyPr xmlns:a="http://schemas.openxmlformats.org/drawingml/2006/main"/>
          <a:lstStyle xmlns:a="http://schemas.openxmlformats.org/drawingml/2006/main"/>
          <a:p xmlns:a="http://schemas.openxmlformats.org/drawingml/2006/main">
            <a:pPr>
              <a:defRPr/>
            </a:pPr>
            <a:r>
              <a:rPr lang="en-GB"/>
              <a:t>DK1 ADF t-statistics by Number of Lags</a:t>
            </a:r>
          </a:p>
        </rich>
      </tx>
      <overlay val="1"/>
    </title>
    <plotArea>
      <layout/>
      <lineChart>
        <grouping val="standard"/>
        <varyColors val="1"/>
        <ser>
          <idx val="0"/>
          <order val="0"/>
          <tx>
            <strRef>
              <f>Calibration!$H$1</f>
              <strCache>
                <ptCount val="1"/>
                <pt idx="0">
                  <v>DK1 Full</v>
                </pt>
              </strCache>
            </strRef>
          </tx>
          <spPr>
            <a:ln xmlns:a="http://schemas.openxmlformats.org/drawingml/2006/main">
              <a:solidFill>
                <a:srgbClr val="2E75B6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val>
            <numRef>
              <f>Calibration!$H$2:$H$6</f>
              <numCache>
                <formatCode>General</formatCode>
                <ptCount val="5"/>
                <pt idx="0">
                  <v>-2.7049</v>
                </pt>
                <pt idx="1">
                  <v>-2.5651</v>
                </pt>
                <pt idx="2">
                  <v>-1.782</v>
                </pt>
                <pt idx="3">
                  <v>-1.6911</v>
                </pt>
                <pt idx="4">
                  <v>-1.6501</v>
                </pt>
              </numCache>
            </numRef>
          </val>
          <smooth val="1"/>
        </ser>
        <ser>
          <idx val="1"/>
          <order val="1"/>
          <tx>
            <strRef>
              <f>Calibration!$I$1</f>
              <strCache>
                <ptCount val="1"/>
                <pt idx="0">
                  <v>DK1 ex-2022</v>
                </pt>
              </strCache>
            </strRef>
          </tx>
          <spPr>
            <a:ln xmlns:a="http://schemas.openxmlformats.org/drawingml/2006/main">
              <a:solidFill>
                <a:srgbClr val="FF8C00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val>
            <numRef>
              <f>Calibration!$I$2:$I$6</f>
              <numCache>
                <formatCode>General</formatCode>
                <ptCount val="5"/>
                <pt idx="0">
                  <v>-2.7732</v>
                </pt>
                <pt idx="1">
                  <v>-2.3519</v>
                </pt>
                <pt idx="2">
                  <v>-1.8495</v>
                </pt>
                <pt idx="3">
                  <v>-1.8987</v>
                </pt>
                <pt idx="4">
                  <v>-1.8872</v>
                </pt>
              </numCache>
            </numRef>
          </val>
          <smooth val="1"/>
        </ser>
        <ser>
          <idx val="2"/>
          <order val="2"/>
          <tx>
            <strRef>
              <f>Calibration!$J$1</f>
              <strCache>
                <ptCount val="1"/>
                <pt idx="0">
                  <v>DK1 post-crisis</v>
                </pt>
              </strCache>
            </strRef>
          </tx>
          <spPr>
            <a:ln xmlns:a="http://schemas.openxmlformats.org/drawingml/2006/main">
              <a:solidFill>
                <a:srgbClr val="70AD47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val>
            <numRef>
              <f>Calibration!$J$2:$J$6</f>
              <numCache>
                <formatCode>General</formatCode>
                <ptCount val="5"/>
                <pt idx="0">
                  <v>-3.435</v>
                </pt>
                <pt idx="1">
                  <v>-3.4777</v>
                </pt>
                <pt idx="2">
                  <v>-2.6639</v>
                </pt>
                <pt idx="3">
                  <v>-3.0968</v>
                </pt>
                <pt idx="4">
                  <v>-2.9904</v>
                </pt>
              </numCache>
            </numRef>
          </val>
          <smooth val="1"/>
        </ser>
        <ser>
          <idx val="3"/>
          <order val="3"/>
          <tx>
            <strRef>
              <f>Calibration!$K$1</f>
              <strCache>
                <ptCount val="1"/>
                <pt idx="0">
                  <v>CV 5%</v>
                </pt>
              </strCache>
            </strRef>
          </tx>
          <spPr>
            <a:ln xmlns:a="http://schemas.openxmlformats.org/drawingml/2006/main">
              <a:solidFill>
                <a:srgbClr val="C00000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val>
            <numRef>
              <f>Calibration!$K$2:$K$6</f>
              <numCache>
                <formatCode>General</formatCode>
                <ptCount val="5"/>
                <pt idx="0">
                  <v>-2.89</v>
                </pt>
                <pt idx="1">
                  <v>-2.89</v>
                </pt>
                <pt idx="2">
                  <v>-2.89</v>
                </pt>
                <pt idx="3">
                  <v>-2.89</v>
                </pt>
                <pt idx="4">
                  <v>-2.89</v>
                </pt>
              </numCache>
            </numRef>
          </val>
          <smooth val="1"/>
        </ser>
        <dLbls>
          <showLegendKey val="0"/>
          <showVal val="0"/>
          <showCatName val="0"/>
          <showSerName val="0"/>
          <showPercent val="0"/>
          <showBubbleSize val="0"/>
        </dLbls>
        <smooth val="0"/>
        <axId val="10"/>
        <axId val="100"/>
      </lineChart>
      <catAx>
        <axId val="10"/>
        <scaling>
          <orientation val="minMax"/>
        </scaling>
        <delete val="1"/>
        <axPos val="b"/>
        <title>
          <tx>
            <rich>
              <a:bodyPr xmlns:a="http://schemas.openxmlformats.org/drawingml/2006/main"/>
              <a:lstStyle xmlns:a="http://schemas.openxmlformats.org/drawingml/2006/main"/>
              <a:p xmlns:a="http://schemas.openxmlformats.org/drawingml/2006/main">
                <a:pPr>
                  <a:defRPr/>
                </a:pPr>
                <a:r>
                  <a:rPr lang="en-GB"/>
                  <a:t>Lags</a:t>
                </a:r>
              </a:p>
            </rich>
          </tx>
          <overlay val="1"/>
        </title>
        <majorTickMark val="none"/>
        <minorTickMark val="none"/>
        <tickLblPos val="nextTo"/>
        <crossAx val="100"/>
        <crosses val="autoZero"/>
        <auto val="1"/>
        <lblAlgn val="ctr"/>
        <lblOffset val="100"/>
        <noMultiLvlLbl val="1"/>
      </catAx>
      <valAx>
        <axId val="100"/>
        <scaling>
          <orientation val="minMax"/>
        </scaling>
        <delete val="1"/>
        <axPos val="l"/>
        <majorGridlines/>
        <title>
          <tx>
            <rich>
              <a:bodyPr xmlns:a="http://schemas.openxmlformats.org/drawingml/2006/main"/>
              <a:lstStyle xmlns:a="http://schemas.openxmlformats.org/drawingml/2006/main"/>
              <a:p xmlns:a="http://schemas.openxmlformats.org/drawingml/2006/main">
                <a:pPr>
                  <a:defRPr/>
                </a:pPr>
                <a:r>
                  <a:rPr lang="en-GB"/>
                  <a:t>ADF t-statistic</a:t>
                </a:r>
              </a:p>
            </rich>
          </tx>
          <overlay val="1"/>
        </title>
        <numFmt formatCode="General" sourceLinked="1"/>
        <majorTickMark val="none"/>
        <minorTickMark val="none"/>
        <tickLblPos val="nextTo"/>
        <crossAx val="10"/>
        <crosses val="autoZero"/>
        <crossBetween val="between"/>
      </valAx>
    </plotArea>
    <legend>
      <legendPos val="r"/>
      <overlay val="1"/>
    </legend>
    <plotVisOnly val="1"/>
    <dispBlanksAs val="gap"/>
  </chart>
</chartSpace>
</file>

<file path=xl/charts/chart188.xml><?xml version="1.0" encoding="utf-8"?>
<chartSpace xmlns="http://schemas.openxmlformats.org/drawingml/2006/chart">
  <chart>
    <title>
      <tx>
        <rich>
          <a:bodyPr xmlns:a="http://schemas.openxmlformats.org/drawingml/2006/main"/>
          <a:lstStyle xmlns:a="http://schemas.openxmlformats.org/drawingml/2006/main"/>
          <a:p xmlns:a="http://schemas.openxmlformats.org/drawingml/2006/main">
            <a:pPr>
              <a:defRPr/>
            </a:pPr>
            <a:r>
              <a:rPr lang="en-GB"/>
              <a:t>DK1 ADF t-statistics by Number of Lags</a:t>
            </a:r>
          </a:p>
        </rich>
      </tx>
      <overlay val="1"/>
    </title>
    <plotArea>
      <layout/>
      <lineChart>
        <grouping val="standard"/>
        <varyColors val="1"/>
        <ser>
          <idx val="0"/>
          <order val="0"/>
          <tx>
            <strRef>
              <f>Calibration!$H$1</f>
              <strCache>
                <ptCount val="1"/>
                <pt idx="0">
                  <v>DK1 Full</v>
                </pt>
              </strCache>
            </strRef>
          </tx>
          <spPr>
            <a:ln xmlns:a="http://schemas.openxmlformats.org/drawingml/2006/main">
              <a:solidFill>
                <a:srgbClr val="2E75B6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val>
            <numRef>
              <f>Calibration!$H$2:$H$6</f>
              <numCache>
                <formatCode>General</formatCode>
                <ptCount val="5"/>
                <pt idx="0">
                  <v>-2.7049</v>
                </pt>
                <pt idx="1">
                  <v>-2.5651</v>
                </pt>
                <pt idx="2">
                  <v>-1.782</v>
                </pt>
                <pt idx="3">
                  <v>-1.6911</v>
                </pt>
                <pt idx="4">
                  <v>-1.6501</v>
                </pt>
              </numCache>
            </numRef>
          </val>
          <smooth val="1"/>
        </ser>
        <ser>
          <idx val="1"/>
          <order val="1"/>
          <tx>
            <strRef>
              <f>Calibration!$I$1</f>
              <strCache>
                <ptCount val="1"/>
                <pt idx="0">
                  <v>DK1 ex-2022</v>
                </pt>
              </strCache>
            </strRef>
          </tx>
          <spPr>
            <a:ln xmlns:a="http://schemas.openxmlformats.org/drawingml/2006/main">
              <a:solidFill>
                <a:srgbClr val="FF8C00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val>
            <numRef>
              <f>Calibration!$I$2:$I$6</f>
              <numCache>
                <formatCode>General</formatCode>
                <ptCount val="5"/>
                <pt idx="0">
                  <v>-2.7732</v>
                </pt>
                <pt idx="1">
                  <v>-2.3519</v>
                </pt>
                <pt idx="2">
                  <v>-1.8495</v>
                </pt>
                <pt idx="3">
                  <v>-1.8987</v>
                </pt>
                <pt idx="4">
                  <v>-1.8872</v>
                </pt>
              </numCache>
            </numRef>
          </val>
          <smooth val="1"/>
        </ser>
        <ser>
          <idx val="2"/>
          <order val="2"/>
          <tx>
            <strRef>
              <f>Calibration!$J$1</f>
              <strCache>
                <ptCount val="1"/>
                <pt idx="0">
                  <v>DK1 post-crisis</v>
                </pt>
              </strCache>
            </strRef>
          </tx>
          <spPr>
            <a:ln xmlns:a="http://schemas.openxmlformats.org/drawingml/2006/main">
              <a:solidFill>
                <a:srgbClr val="70AD47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val>
            <numRef>
              <f>Calibration!$J$2:$J$6</f>
              <numCache>
                <formatCode>General</formatCode>
                <ptCount val="5"/>
                <pt idx="0">
                  <v>-3.435</v>
                </pt>
                <pt idx="1">
                  <v>-3.4777</v>
                </pt>
                <pt idx="2">
                  <v>-2.6639</v>
                </pt>
                <pt idx="3">
                  <v>-3.0968</v>
                </pt>
                <pt idx="4">
                  <v>-2.9904</v>
                </pt>
              </numCache>
            </numRef>
          </val>
          <smooth val="1"/>
        </ser>
        <ser>
          <idx val="3"/>
          <order val="3"/>
          <tx>
            <strRef>
              <f>Calibration!$K$1</f>
              <strCache>
                <ptCount val="1"/>
                <pt idx="0">
                  <v>CV 5%</v>
                </pt>
              </strCache>
            </strRef>
          </tx>
          <spPr>
            <a:ln xmlns:a="http://schemas.openxmlformats.org/drawingml/2006/main">
              <a:solidFill>
                <a:srgbClr val="C00000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val>
            <numRef>
              <f>Calibration!$K$2:$K$6</f>
              <numCache>
                <formatCode>General</formatCode>
                <ptCount val="5"/>
                <pt idx="0">
                  <v>-2.89</v>
                </pt>
                <pt idx="1">
                  <v>-2.89</v>
                </pt>
                <pt idx="2">
                  <v>-2.89</v>
                </pt>
                <pt idx="3">
                  <v>-2.89</v>
                </pt>
                <pt idx="4">
                  <v>-2.89</v>
                </pt>
              </numCache>
            </numRef>
          </val>
          <smooth val="1"/>
        </ser>
        <dLbls>
          <showLegendKey val="0"/>
          <showVal val="0"/>
          <showCatName val="0"/>
          <showSerName val="0"/>
          <showPercent val="0"/>
          <showBubbleSize val="0"/>
        </dLbls>
        <smooth val="0"/>
        <axId val="10"/>
        <axId val="100"/>
      </lineChart>
      <catAx>
        <axId val="10"/>
        <scaling>
          <orientation val="minMax"/>
        </scaling>
        <delete val="1"/>
        <axPos val="b"/>
        <title>
          <tx>
            <rich>
              <a:bodyPr xmlns:a="http://schemas.openxmlformats.org/drawingml/2006/main"/>
              <a:lstStyle xmlns:a="http://schemas.openxmlformats.org/drawingml/2006/main"/>
              <a:p xmlns:a="http://schemas.openxmlformats.org/drawingml/2006/main">
                <a:pPr>
                  <a:defRPr/>
                </a:pPr>
                <a:r>
                  <a:rPr lang="en-GB"/>
                  <a:t>Lags</a:t>
                </a:r>
              </a:p>
            </rich>
          </tx>
          <overlay val="1"/>
        </title>
        <majorTickMark val="none"/>
        <minorTickMark val="none"/>
        <tickLblPos val="nextTo"/>
        <crossAx val="100"/>
        <crosses val="autoZero"/>
        <auto val="1"/>
        <lblAlgn val="ctr"/>
        <lblOffset val="100"/>
        <noMultiLvlLbl val="1"/>
      </catAx>
      <valAx>
        <axId val="100"/>
        <scaling>
          <orientation val="minMax"/>
        </scaling>
        <delete val="1"/>
        <axPos val="l"/>
        <majorGridlines/>
        <title>
          <tx>
            <rich>
              <a:bodyPr xmlns:a="http://schemas.openxmlformats.org/drawingml/2006/main"/>
              <a:lstStyle xmlns:a="http://schemas.openxmlformats.org/drawingml/2006/main"/>
              <a:p xmlns:a="http://schemas.openxmlformats.org/drawingml/2006/main">
                <a:pPr>
                  <a:defRPr/>
                </a:pPr>
                <a:r>
                  <a:rPr lang="en-GB"/>
                  <a:t>ADF t-statistic</a:t>
                </a:r>
              </a:p>
            </rich>
          </tx>
          <overlay val="1"/>
        </title>
        <numFmt formatCode="General" sourceLinked="1"/>
        <majorTickMark val="none"/>
        <minorTickMark val="none"/>
        <tickLblPos val="nextTo"/>
        <crossAx val="10"/>
        <crosses val="autoZero"/>
        <crossBetween val="between"/>
      </valAx>
    </plotArea>
    <legend>
      <legendPos val="r"/>
      <overlay val="1"/>
    </legend>
    <plotVisOnly val="1"/>
    <dispBlanksAs val="gap"/>
  </chart>
</chartSpace>
</file>

<file path=xl/charts/chart189.xml><?xml version="1.0" encoding="utf-8"?>
<chartSpace xmlns="http://schemas.openxmlformats.org/drawingml/2006/chart">
  <chart>
    <title>
      <tx>
        <rich>
          <a:bodyPr xmlns:a="http://schemas.openxmlformats.org/drawingml/2006/main"/>
          <a:lstStyle xmlns:a="http://schemas.openxmlformats.org/drawingml/2006/main"/>
          <a:p xmlns:a="http://schemas.openxmlformats.org/drawingml/2006/main">
            <a:pPr>
              <a:defRPr/>
            </a:pPr>
            <a:r>
              <a:rPr lang="en-GB"/>
              <a:t>DK1 ADF t-statistics by Number of Lags</a:t>
            </a:r>
          </a:p>
        </rich>
      </tx>
      <overlay val="1"/>
    </title>
    <plotArea>
      <layout/>
      <lineChart>
        <grouping val="standard"/>
        <varyColors val="1"/>
        <ser>
          <idx val="0"/>
          <order val="0"/>
          <tx>
            <strRef>
              <f>Calibration!$H$1</f>
              <strCache>
                <ptCount val="1"/>
                <pt idx="0">
                  <v>DK1 Full</v>
                </pt>
              </strCache>
            </strRef>
          </tx>
          <spPr>
            <a:ln xmlns:a="http://schemas.openxmlformats.org/drawingml/2006/main">
              <a:solidFill>
                <a:srgbClr val="2E75B6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val>
            <numRef>
              <f>Calibration!$H$2:$H$6</f>
              <numCache>
                <formatCode>General</formatCode>
                <ptCount val="5"/>
                <pt idx="0">
                  <v>-2.7049</v>
                </pt>
                <pt idx="1">
                  <v>-2.5651</v>
                </pt>
                <pt idx="2">
                  <v>-1.782</v>
                </pt>
                <pt idx="3">
                  <v>-1.6911</v>
                </pt>
                <pt idx="4">
                  <v>-1.6501</v>
                </pt>
              </numCache>
            </numRef>
          </val>
          <smooth val="1"/>
        </ser>
        <ser>
          <idx val="1"/>
          <order val="1"/>
          <tx>
            <strRef>
              <f>Calibration!$I$1</f>
              <strCache>
                <ptCount val="1"/>
                <pt idx="0">
                  <v>DK1 ex-2022</v>
                </pt>
              </strCache>
            </strRef>
          </tx>
          <spPr>
            <a:ln xmlns:a="http://schemas.openxmlformats.org/drawingml/2006/main">
              <a:solidFill>
                <a:srgbClr val="FF8C00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val>
            <numRef>
              <f>Calibration!$I$2:$I$6</f>
              <numCache>
                <formatCode>General</formatCode>
                <ptCount val="5"/>
                <pt idx="0">
                  <v>-2.7732</v>
                </pt>
                <pt idx="1">
                  <v>-2.3519</v>
                </pt>
                <pt idx="2">
                  <v>-1.8495</v>
                </pt>
                <pt idx="3">
                  <v>-1.8987</v>
                </pt>
                <pt idx="4">
                  <v>-1.8872</v>
                </pt>
              </numCache>
            </numRef>
          </val>
          <smooth val="1"/>
        </ser>
        <ser>
          <idx val="2"/>
          <order val="2"/>
          <tx>
            <strRef>
              <f>Calibration!$J$1</f>
              <strCache>
                <ptCount val="1"/>
                <pt idx="0">
                  <v>DK1 post-crisis</v>
                </pt>
              </strCache>
            </strRef>
          </tx>
          <spPr>
            <a:ln xmlns:a="http://schemas.openxmlformats.org/drawingml/2006/main">
              <a:solidFill>
                <a:srgbClr val="70AD47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val>
            <numRef>
              <f>Calibration!$J$2:$J$6</f>
              <numCache>
                <formatCode>General</formatCode>
                <ptCount val="5"/>
                <pt idx="0">
                  <v>-3.435</v>
                </pt>
                <pt idx="1">
                  <v>-3.4777</v>
                </pt>
                <pt idx="2">
                  <v>-2.6639</v>
                </pt>
                <pt idx="3">
                  <v>-3.0968</v>
                </pt>
                <pt idx="4">
                  <v>-2.9904</v>
                </pt>
              </numCache>
            </numRef>
          </val>
          <smooth val="1"/>
        </ser>
        <ser>
          <idx val="3"/>
          <order val="3"/>
          <tx>
            <strRef>
              <f>Calibration!$K$1</f>
              <strCache>
                <ptCount val="1"/>
                <pt idx="0">
                  <v>CV 5%</v>
                </pt>
              </strCache>
            </strRef>
          </tx>
          <spPr>
            <a:ln xmlns:a="http://schemas.openxmlformats.org/drawingml/2006/main">
              <a:solidFill>
                <a:srgbClr val="C00000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val>
            <numRef>
              <f>Calibration!$K$2:$K$6</f>
              <numCache>
                <formatCode>General</formatCode>
                <ptCount val="5"/>
                <pt idx="0">
                  <v>-2.89</v>
                </pt>
                <pt idx="1">
                  <v>-2.89</v>
                </pt>
                <pt idx="2">
                  <v>-2.89</v>
                </pt>
                <pt idx="3">
                  <v>-2.89</v>
                </pt>
                <pt idx="4">
                  <v>-2.89</v>
                </pt>
              </numCache>
            </numRef>
          </val>
          <smooth val="1"/>
        </ser>
        <dLbls>
          <showLegendKey val="0"/>
          <showVal val="0"/>
          <showCatName val="0"/>
          <showSerName val="0"/>
          <showPercent val="0"/>
          <showBubbleSize val="0"/>
        </dLbls>
        <smooth val="0"/>
        <axId val="10"/>
        <axId val="100"/>
      </lineChart>
      <catAx>
        <axId val="10"/>
        <scaling>
          <orientation val="minMax"/>
        </scaling>
        <delete val="1"/>
        <axPos val="b"/>
        <title>
          <tx>
            <rich>
              <a:bodyPr xmlns:a="http://schemas.openxmlformats.org/drawingml/2006/main"/>
              <a:lstStyle xmlns:a="http://schemas.openxmlformats.org/drawingml/2006/main"/>
              <a:p xmlns:a="http://schemas.openxmlformats.org/drawingml/2006/main">
                <a:pPr>
                  <a:defRPr/>
                </a:pPr>
                <a:r>
                  <a:rPr lang="en-GB"/>
                  <a:t>Lags</a:t>
                </a:r>
              </a:p>
            </rich>
          </tx>
          <overlay val="1"/>
        </title>
        <majorTickMark val="none"/>
        <minorTickMark val="none"/>
        <tickLblPos val="nextTo"/>
        <crossAx val="100"/>
        <crosses val="autoZero"/>
        <auto val="1"/>
        <lblAlgn val="ctr"/>
        <lblOffset val="100"/>
        <noMultiLvlLbl val="1"/>
      </catAx>
      <valAx>
        <axId val="100"/>
        <scaling>
          <orientation val="minMax"/>
        </scaling>
        <delete val="1"/>
        <axPos val="l"/>
        <majorGridlines/>
        <title>
          <tx>
            <rich>
              <a:bodyPr xmlns:a="http://schemas.openxmlformats.org/drawingml/2006/main"/>
              <a:lstStyle xmlns:a="http://schemas.openxmlformats.org/drawingml/2006/main"/>
              <a:p xmlns:a="http://schemas.openxmlformats.org/drawingml/2006/main">
                <a:pPr>
                  <a:defRPr/>
                </a:pPr>
                <a:r>
                  <a:rPr lang="en-GB"/>
                  <a:t>ADF t-statistic</a:t>
                </a:r>
              </a:p>
            </rich>
          </tx>
          <overlay val="1"/>
        </title>
        <numFmt formatCode="General" sourceLinked="1"/>
        <majorTickMark val="none"/>
        <minorTickMark val="none"/>
        <tickLblPos val="nextTo"/>
        <crossAx val="10"/>
        <crosses val="autoZero"/>
        <crossBetween val="between"/>
      </valAx>
    </plotArea>
    <legend>
      <legendPos val="r"/>
      <overlay val="1"/>
    </legend>
    <plotVisOnly val="1"/>
    <dispBlanksAs val="gap"/>
  </chart>
</chartSpace>
</file>

<file path=xl/charts/chart190.xml><?xml version="1.0" encoding="utf-8"?>
<chartSpace xmlns="http://schemas.openxmlformats.org/drawingml/2006/chart">
  <chart>
    <title>
      <tx>
        <rich>
          <a:bodyPr xmlns:a="http://schemas.openxmlformats.org/drawingml/2006/main"/>
          <a:lstStyle xmlns:a="http://schemas.openxmlformats.org/drawingml/2006/main"/>
          <a:p xmlns:a="http://schemas.openxmlformats.org/drawingml/2006/main">
            <a:pPr>
              <a:defRPr/>
            </a:pPr>
            <a:r>
              <a:rPr lang="en-GB"/>
              <a:t>DK1 ADF t-statistics by Number of Lags</a:t>
            </a:r>
          </a:p>
        </rich>
      </tx>
      <overlay val="1"/>
    </title>
    <plotArea>
      <layout/>
      <lineChart>
        <grouping val="standard"/>
        <varyColors val="1"/>
        <ser>
          <idx val="0"/>
          <order val="0"/>
          <tx>
            <strRef>
              <f>Calibration!$H$1</f>
              <strCache>
                <ptCount val="1"/>
                <pt idx="0">
                  <v>DK1 Full</v>
                </pt>
              </strCache>
            </strRef>
          </tx>
          <spPr>
            <a:ln xmlns:a="http://schemas.openxmlformats.org/drawingml/2006/main">
              <a:solidFill>
                <a:srgbClr val="2E75B6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val>
            <numRef>
              <f>Calibration!$H$2:$H$6</f>
              <numCache>
                <formatCode>General</formatCode>
                <ptCount val="5"/>
                <pt idx="0">
                  <v>-2.7049</v>
                </pt>
                <pt idx="1">
                  <v>-2.5651</v>
                </pt>
                <pt idx="2">
                  <v>-1.782</v>
                </pt>
                <pt idx="3">
                  <v>-1.6911</v>
                </pt>
                <pt idx="4">
                  <v>-1.6501</v>
                </pt>
              </numCache>
            </numRef>
          </val>
          <smooth val="1"/>
        </ser>
        <ser>
          <idx val="1"/>
          <order val="1"/>
          <tx>
            <strRef>
              <f>Calibration!$I$1</f>
              <strCache>
                <ptCount val="1"/>
                <pt idx="0">
                  <v>DK1 ex-2022</v>
                </pt>
              </strCache>
            </strRef>
          </tx>
          <spPr>
            <a:ln xmlns:a="http://schemas.openxmlformats.org/drawingml/2006/main">
              <a:solidFill>
                <a:srgbClr val="FF8C00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val>
            <numRef>
              <f>Calibration!$I$2:$I$6</f>
              <numCache>
                <formatCode>General</formatCode>
                <ptCount val="5"/>
                <pt idx="0">
                  <v>-2.7732</v>
                </pt>
                <pt idx="1">
                  <v>-2.3519</v>
                </pt>
                <pt idx="2">
                  <v>-1.8495</v>
                </pt>
                <pt idx="3">
                  <v>-1.8987</v>
                </pt>
                <pt idx="4">
                  <v>-1.8872</v>
                </pt>
              </numCache>
            </numRef>
          </val>
          <smooth val="1"/>
        </ser>
        <ser>
          <idx val="2"/>
          <order val="2"/>
          <tx>
            <strRef>
              <f>Calibration!$J$1</f>
              <strCache>
                <ptCount val="1"/>
                <pt idx="0">
                  <v>DK1 post-crisis</v>
                </pt>
              </strCache>
            </strRef>
          </tx>
          <spPr>
            <a:ln xmlns:a="http://schemas.openxmlformats.org/drawingml/2006/main">
              <a:solidFill>
                <a:srgbClr val="70AD47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val>
            <numRef>
              <f>Calibration!$J$2:$J$6</f>
              <numCache>
                <formatCode>General</formatCode>
                <ptCount val="5"/>
                <pt idx="0">
                  <v>-3.435</v>
                </pt>
                <pt idx="1">
                  <v>-3.4777</v>
                </pt>
                <pt idx="2">
                  <v>-2.6639</v>
                </pt>
                <pt idx="3">
                  <v>-3.0968</v>
                </pt>
                <pt idx="4">
                  <v>-2.9904</v>
                </pt>
              </numCache>
            </numRef>
          </val>
          <smooth val="1"/>
        </ser>
        <ser>
          <idx val="3"/>
          <order val="3"/>
          <tx>
            <strRef>
              <f>Calibration!$K$1</f>
              <strCache>
                <ptCount val="1"/>
                <pt idx="0">
                  <v>CV 5%</v>
                </pt>
              </strCache>
            </strRef>
          </tx>
          <spPr>
            <a:ln xmlns:a="http://schemas.openxmlformats.org/drawingml/2006/main">
              <a:solidFill>
                <a:srgbClr val="C00000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val>
            <numRef>
              <f>Calibration!$K$2:$K$6</f>
              <numCache>
                <formatCode>General</formatCode>
                <ptCount val="5"/>
                <pt idx="0">
                  <v>-2.89</v>
                </pt>
                <pt idx="1">
                  <v>-2.89</v>
                </pt>
                <pt idx="2">
                  <v>-2.89</v>
                </pt>
                <pt idx="3">
                  <v>-2.89</v>
                </pt>
                <pt idx="4">
                  <v>-2.89</v>
                </pt>
              </numCache>
            </numRef>
          </val>
          <smooth val="1"/>
        </ser>
        <dLbls>
          <showLegendKey val="0"/>
          <showVal val="0"/>
          <showCatName val="0"/>
          <showSerName val="0"/>
          <showPercent val="0"/>
          <showBubbleSize val="0"/>
        </dLbls>
        <smooth val="0"/>
        <axId val="10"/>
        <axId val="100"/>
      </lineChart>
      <catAx>
        <axId val="10"/>
        <scaling>
          <orientation val="minMax"/>
        </scaling>
        <delete val="1"/>
        <axPos val="b"/>
        <title>
          <tx>
            <rich>
              <a:bodyPr xmlns:a="http://schemas.openxmlformats.org/drawingml/2006/main"/>
              <a:lstStyle xmlns:a="http://schemas.openxmlformats.org/drawingml/2006/main"/>
              <a:p xmlns:a="http://schemas.openxmlformats.org/drawingml/2006/main">
                <a:pPr>
                  <a:defRPr/>
                </a:pPr>
                <a:r>
                  <a:rPr lang="en-GB"/>
                  <a:t>Lags</a:t>
                </a:r>
              </a:p>
            </rich>
          </tx>
          <overlay val="1"/>
        </title>
        <majorTickMark val="none"/>
        <minorTickMark val="none"/>
        <tickLblPos val="nextTo"/>
        <crossAx val="100"/>
        <crosses val="autoZero"/>
        <auto val="1"/>
        <lblAlgn val="ctr"/>
        <lblOffset val="100"/>
        <noMultiLvlLbl val="1"/>
      </catAx>
      <valAx>
        <axId val="100"/>
        <scaling>
          <orientation val="minMax"/>
        </scaling>
        <delete val="1"/>
        <axPos val="l"/>
        <majorGridlines/>
        <title>
          <tx>
            <rich>
              <a:bodyPr xmlns:a="http://schemas.openxmlformats.org/drawingml/2006/main"/>
              <a:lstStyle xmlns:a="http://schemas.openxmlformats.org/drawingml/2006/main"/>
              <a:p xmlns:a="http://schemas.openxmlformats.org/drawingml/2006/main">
                <a:pPr>
                  <a:defRPr/>
                </a:pPr>
                <a:r>
                  <a:rPr lang="en-GB"/>
                  <a:t>ADF t-statistic</a:t>
                </a:r>
              </a:p>
            </rich>
          </tx>
          <overlay val="1"/>
        </title>
        <numFmt formatCode="General" sourceLinked="1"/>
        <majorTickMark val="none"/>
        <minorTickMark val="none"/>
        <tickLblPos val="nextTo"/>
        <crossAx val="10"/>
        <crosses val="autoZero"/>
        <crossBetween val="between"/>
      </valAx>
    </plotArea>
    <legend>
      <legendPos val="r"/>
      <overlay val="1"/>
    </legend>
    <plotVisOnly val="1"/>
    <dispBlanksAs val="gap"/>
  </chart>
</chartSpace>
</file>

<file path=xl/charts/chart191.xml><?xml version="1.0" encoding="utf-8"?>
<chartSpace xmlns="http://schemas.openxmlformats.org/drawingml/2006/chart">
  <chart>
    <title>
      <tx>
        <rich>
          <a:bodyPr xmlns:a="http://schemas.openxmlformats.org/drawingml/2006/main"/>
          <a:lstStyle xmlns:a="http://schemas.openxmlformats.org/drawingml/2006/main"/>
          <a:p xmlns:a="http://schemas.openxmlformats.org/drawingml/2006/main">
            <a:pPr>
              <a:defRPr/>
            </a:pPr>
            <a:r>
              <a:rPr lang="en-GB"/>
              <a:t>DK1 ADF t-statistics by Number of Lags</a:t>
            </a:r>
          </a:p>
        </rich>
      </tx>
      <overlay val="1"/>
    </title>
    <plotArea>
      <layout/>
      <lineChart>
        <grouping val="standard"/>
        <varyColors val="1"/>
        <ser>
          <idx val="0"/>
          <order val="0"/>
          <tx>
            <strRef>
              <f>Calibration!$H$1</f>
              <strCache>
                <ptCount val="1"/>
                <pt idx="0">
                  <v>DK1 Full</v>
                </pt>
              </strCache>
            </strRef>
          </tx>
          <spPr>
            <a:ln xmlns:a="http://schemas.openxmlformats.org/drawingml/2006/main">
              <a:solidFill>
                <a:srgbClr val="2E75B6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val>
            <numRef>
              <f>Calibration!$H$2:$H$6</f>
              <numCache>
                <formatCode>General</formatCode>
                <ptCount val="5"/>
                <pt idx="0">
                  <v>-2.7049</v>
                </pt>
                <pt idx="1">
                  <v>-2.5651</v>
                </pt>
                <pt idx="2">
                  <v>-1.782</v>
                </pt>
                <pt idx="3">
                  <v>-1.6911</v>
                </pt>
                <pt idx="4">
                  <v>-1.6501</v>
                </pt>
              </numCache>
            </numRef>
          </val>
          <smooth val="1"/>
        </ser>
        <ser>
          <idx val="1"/>
          <order val="1"/>
          <tx>
            <strRef>
              <f>Calibration!$I$1</f>
              <strCache>
                <ptCount val="1"/>
                <pt idx="0">
                  <v>DK1 ex-2022</v>
                </pt>
              </strCache>
            </strRef>
          </tx>
          <spPr>
            <a:ln xmlns:a="http://schemas.openxmlformats.org/drawingml/2006/main">
              <a:solidFill>
                <a:srgbClr val="FF8C00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val>
            <numRef>
              <f>Calibration!$I$2:$I$6</f>
              <numCache>
                <formatCode>General</formatCode>
                <ptCount val="5"/>
                <pt idx="0">
                  <v>-2.7732</v>
                </pt>
                <pt idx="1">
                  <v>-2.3519</v>
                </pt>
                <pt idx="2">
                  <v>-1.8495</v>
                </pt>
                <pt idx="3">
                  <v>-1.8987</v>
                </pt>
                <pt idx="4">
                  <v>-1.8872</v>
                </pt>
              </numCache>
            </numRef>
          </val>
          <smooth val="1"/>
        </ser>
        <ser>
          <idx val="2"/>
          <order val="2"/>
          <tx>
            <strRef>
              <f>Calibration!$J$1</f>
              <strCache>
                <ptCount val="1"/>
                <pt idx="0">
                  <v>DK1 post-crisis</v>
                </pt>
              </strCache>
            </strRef>
          </tx>
          <spPr>
            <a:ln xmlns:a="http://schemas.openxmlformats.org/drawingml/2006/main">
              <a:solidFill>
                <a:srgbClr val="70AD47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val>
            <numRef>
              <f>Calibration!$J$2:$J$6</f>
              <numCache>
                <formatCode>General</formatCode>
                <ptCount val="5"/>
                <pt idx="0">
                  <v>-3.435</v>
                </pt>
                <pt idx="1">
                  <v>-3.4777</v>
                </pt>
                <pt idx="2">
                  <v>-2.6639</v>
                </pt>
                <pt idx="3">
                  <v>-3.0968</v>
                </pt>
                <pt idx="4">
                  <v>-2.9904</v>
                </pt>
              </numCache>
            </numRef>
          </val>
          <smooth val="1"/>
        </ser>
        <ser>
          <idx val="3"/>
          <order val="3"/>
          <tx>
            <strRef>
              <f>Calibration!$K$1</f>
              <strCache>
                <ptCount val="1"/>
                <pt idx="0">
                  <v>CV 5%</v>
                </pt>
              </strCache>
            </strRef>
          </tx>
          <spPr>
            <a:ln xmlns:a="http://schemas.openxmlformats.org/drawingml/2006/main">
              <a:solidFill>
                <a:srgbClr val="C00000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val>
            <numRef>
              <f>Calibration!$K$2:$K$6</f>
              <numCache>
                <formatCode>General</formatCode>
                <ptCount val="5"/>
                <pt idx="0">
                  <v>-2.89</v>
                </pt>
                <pt idx="1">
                  <v>-2.89</v>
                </pt>
                <pt idx="2">
                  <v>-2.89</v>
                </pt>
                <pt idx="3">
                  <v>-2.89</v>
                </pt>
                <pt idx="4">
                  <v>-2.89</v>
                </pt>
              </numCache>
            </numRef>
          </val>
          <smooth val="1"/>
        </ser>
        <dLbls>
          <showLegendKey val="0"/>
          <showVal val="0"/>
          <showCatName val="0"/>
          <showSerName val="0"/>
          <showPercent val="0"/>
          <showBubbleSize val="0"/>
        </dLbls>
        <smooth val="0"/>
        <axId val="10"/>
        <axId val="100"/>
      </lineChart>
      <catAx>
        <axId val="10"/>
        <scaling>
          <orientation val="minMax"/>
        </scaling>
        <delete val="1"/>
        <axPos val="b"/>
        <title>
          <tx>
            <rich>
              <a:bodyPr xmlns:a="http://schemas.openxmlformats.org/drawingml/2006/main"/>
              <a:lstStyle xmlns:a="http://schemas.openxmlformats.org/drawingml/2006/main"/>
              <a:p xmlns:a="http://schemas.openxmlformats.org/drawingml/2006/main">
                <a:pPr>
                  <a:defRPr/>
                </a:pPr>
                <a:r>
                  <a:rPr lang="en-GB"/>
                  <a:t>Lags</a:t>
                </a:r>
              </a:p>
            </rich>
          </tx>
          <overlay val="1"/>
        </title>
        <majorTickMark val="none"/>
        <minorTickMark val="none"/>
        <tickLblPos val="nextTo"/>
        <crossAx val="100"/>
        <crosses val="autoZero"/>
        <auto val="1"/>
        <lblAlgn val="ctr"/>
        <lblOffset val="100"/>
        <noMultiLvlLbl val="1"/>
      </catAx>
      <valAx>
        <axId val="100"/>
        <scaling>
          <orientation val="minMax"/>
        </scaling>
        <delete val="1"/>
        <axPos val="l"/>
        <majorGridlines/>
        <title>
          <tx>
            <rich>
              <a:bodyPr xmlns:a="http://schemas.openxmlformats.org/drawingml/2006/main"/>
              <a:lstStyle xmlns:a="http://schemas.openxmlformats.org/drawingml/2006/main"/>
              <a:p xmlns:a="http://schemas.openxmlformats.org/drawingml/2006/main">
                <a:pPr>
                  <a:defRPr/>
                </a:pPr>
                <a:r>
                  <a:rPr lang="en-GB"/>
                  <a:t>ADF t-statistic</a:t>
                </a:r>
              </a:p>
            </rich>
          </tx>
          <overlay val="1"/>
        </title>
        <numFmt formatCode="General" sourceLinked="1"/>
        <majorTickMark val="none"/>
        <minorTickMark val="none"/>
        <tickLblPos val="nextTo"/>
        <crossAx val="10"/>
        <crosses val="autoZero"/>
        <crossBetween val="between"/>
      </valAx>
    </plotArea>
    <legend>
      <legendPos val="r"/>
      <overlay val="1"/>
    </legend>
    <plotVisOnly val="1"/>
    <dispBlanksAs val="gap"/>
  </chart>
</chartSpace>
</file>

<file path=xl/charts/chart192.xml><?xml version="1.0" encoding="utf-8"?>
<chartSpace xmlns="http://schemas.openxmlformats.org/drawingml/2006/chart">
  <chart>
    <title>
      <tx>
        <rich>
          <a:bodyPr xmlns:a="http://schemas.openxmlformats.org/drawingml/2006/main"/>
          <a:lstStyle xmlns:a="http://schemas.openxmlformats.org/drawingml/2006/main"/>
          <a:p xmlns:a="http://schemas.openxmlformats.org/drawingml/2006/main">
            <a:pPr>
              <a:defRPr/>
            </a:pPr>
            <a:r>
              <a:rPr lang="en-GB"/>
              <a:t>DK1 ADF t-statistics by Number of Lags</a:t>
            </a:r>
          </a:p>
        </rich>
      </tx>
      <overlay val="1"/>
    </title>
    <plotArea>
      <layout/>
      <lineChart>
        <grouping val="standard"/>
        <varyColors val="1"/>
        <ser>
          <idx val="0"/>
          <order val="0"/>
          <tx>
            <strRef>
              <f>Calibration!$H$1</f>
              <strCache>
                <ptCount val="1"/>
                <pt idx="0">
                  <v>DK1 Full</v>
                </pt>
              </strCache>
            </strRef>
          </tx>
          <spPr>
            <a:ln xmlns:a="http://schemas.openxmlformats.org/drawingml/2006/main">
              <a:solidFill>
                <a:srgbClr val="2E75B6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val>
            <numRef>
              <f>Calibration!$H$2:$H$6</f>
              <numCache>
                <formatCode>General</formatCode>
                <ptCount val="5"/>
                <pt idx="0">
                  <v>-2.7049</v>
                </pt>
                <pt idx="1">
                  <v>-2.5651</v>
                </pt>
                <pt idx="2">
                  <v>-1.782</v>
                </pt>
                <pt idx="3">
                  <v>-1.6911</v>
                </pt>
                <pt idx="4">
                  <v>-1.6501</v>
                </pt>
              </numCache>
            </numRef>
          </val>
          <smooth val="1"/>
        </ser>
        <ser>
          <idx val="1"/>
          <order val="1"/>
          <tx>
            <strRef>
              <f>Calibration!$I$1</f>
              <strCache>
                <ptCount val="1"/>
                <pt idx="0">
                  <v>DK1 ex-2022</v>
                </pt>
              </strCache>
            </strRef>
          </tx>
          <spPr>
            <a:ln xmlns:a="http://schemas.openxmlformats.org/drawingml/2006/main">
              <a:solidFill>
                <a:srgbClr val="FF8C00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val>
            <numRef>
              <f>Calibration!$I$2:$I$6</f>
              <numCache>
                <formatCode>General</formatCode>
                <ptCount val="5"/>
                <pt idx="0">
                  <v>-2.7732</v>
                </pt>
                <pt idx="1">
                  <v>-2.3519</v>
                </pt>
                <pt idx="2">
                  <v>-1.8495</v>
                </pt>
                <pt idx="3">
                  <v>-1.8987</v>
                </pt>
                <pt idx="4">
                  <v>-1.8872</v>
                </pt>
              </numCache>
            </numRef>
          </val>
          <smooth val="1"/>
        </ser>
        <ser>
          <idx val="2"/>
          <order val="2"/>
          <tx>
            <strRef>
              <f>Calibration!$J$1</f>
              <strCache>
                <ptCount val="1"/>
                <pt idx="0">
                  <v>DK1 post-crisis</v>
                </pt>
              </strCache>
            </strRef>
          </tx>
          <spPr>
            <a:ln xmlns:a="http://schemas.openxmlformats.org/drawingml/2006/main">
              <a:solidFill>
                <a:srgbClr val="70AD47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val>
            <numRef>
              <f>Calibration!$J$2:$J$6</f>
              <numCache>
                <formatCode>General</formatCode>
                <ptCount val="5"/>
                <pt idx="0">
                  <v>-3.435</v>
                </pt>
                <pt idx="1">
                  <v>-3.4777</v>
                </pt>
                <pt idx="2">
                  <v>-2.6639</v>
                </pt>
                <pt idx="3">
                  <v>-3.0968</v>
                </pt>
                <pt idx="4">
                  <v>-2.9904</v>
                </pt>
              </numCache>
            </numRef>
          </val>
          <smooth val="1"/>
        </ser>
        <ser>
          <idx val="3"/>
          <order val="3"/>
          <tx>
            <strRef>
              <f>Calibration!$K$1</f>
              <strCache>
                <ptCount val="1"/>
                <pt idx="0">
                  <v>CV 5%</v>
                </pt>
              </strCache>
            </strRef>
          </tx>
          <spPr>
            <a:ln xmlns:a="http://schemas.openxmlformats.org/drawingml/2006/main">
              <a:solidFill>
                <a:srgbClr val="C00000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val>
            <numRef>
              <f>Calibration!$K$2:$K$6</f>
              <numCache>
                <formatCode>General</formatCode>
                <ptCount val="5"/>
                <pt idx="0">
                  <v>-2.89</v>
                </pt>
                <pt idx="1">
                  <v>-2.89</v>
                </pt>
                <pt idx="2">
                  <v>-2.89</v>
                </pt>
                <pt idx="3">
                  <v>-2.89</v>
                </pt>
                <pt idx="4">
                  <v>-2.89</v>
                </pt>
              </numCache>
            </numRef>
          </val>
          <smooth val="1"/>
        </ser>
        <dLbls>
          <showLegendKey val="0"/>
          <showVal val="0"/>
          <showCatName val="0"/>
          <showSerName val="0"/>
          <showPercent val="0"/>
          <showBubbleSize val="0"/>
        </dLbls>
        <smooth val="0"/>
        <axId val="10"/>
        <axId val="100"/>
      </lineChart>
      <catAx>
        <axId val="10"/>
        <scaling>
          <orientation val="minMax"/>
        </scaling>
        <delete val="1"/>
        <axPos val="b"/>
        <title>
          <tx>
            <rich>
              <a:bodyPr xmlns:a="http://schemas.openxmlformats.org/drawingml/2006/main"/>
              <a:lstStyle xmlns:a="http://schemas.openxmlformats.org/drawingml/2006/main"/>
              <a:p xmlns:a="http://schemas.openxmlformats.org/drawingml/2006/main">
                <a:pPr>
                  <a:defRPr/>
                </a:pPr>
                <a:r>
                  <a:rPr lang="en-GB"/>
                  <a:t>Lags</a:t>
                </a:r>
              </a:p>
            </rich>
          </tx>
          <overlay val="1"/>
        </title>
        <majorTickMark val="none"/>
        <minorTickMark val="none"/>
        <tickLblPos val="nextTo"/>
        <crossAx val="100"/>
        <crosses val="autoZero"/>
        <auto val="1"/>
        <lblAlgn val="ctr"/>
        <lblOffset val="100"/>
        <noMultiLvlLbl val="1"/>
      </catAx>
      <valAx>
        <axId val="100"/>
        <scaling>
          <orientation val="minMax"/>
        </scaling>
        <delete val="1"/>
        <axPos val="l"/>
        <majorGridlines/>
        <title>
          <tx>
            <rich>
              <a:bodyPr xmlns:a="http://schemas.openxmlformats.org/drawingml/2006/main"/>
              <a:lstStyle xmlns:a="http://schemas.openxmlformats.org/drawingml/2006/main"/>
              <a:p xmlns:a="http://schemas.openxmlformats.org/drawingml/2006/main">
                <a:pPr>
                  <a:defRPr/>
                </a:pPr>
                <a:r>
                  <a:rPr lang="en-GB"/>
                  <a:t>ADF t-statistic</a:t>
                </a:r>
              </a:p>
            </rich>
          </tx>
          <overlay val="1"/>
        </title>
        <numFmt formatCode="General" sourceLinked="1"/>
        <majorTickMark val="none"/>
        <minorTickMark val="none"/>
        <tickLblPos val="nextTo"/>
        <crossAx val="10"/>
        <crosses val="autoZero"/>
        <crossBetween val="between"/>
      </valAx>
    </plotArea>
    <legend>
      <legendPos val="r"/>
      <overlay val="1"/>
    </legend>
    <plotVisOnly val="1"/>
    <dispBlanksAs val="gap"/>
  </chart>
</chartSpace>
</file>

<file path=xl/charts/chart193.xml><?xml version="1.0" encoding="utf-8"?>
<chartSpace xmlns="http://schemas.openxmlformats.org/drawingml/2006/chart">
  <chart>
    <title>
      <tx>
        <rich>
          <a:bodyPr xmlns:a="http://schemas.openxmlformats.org/drawingml/2006/main"/>
          <a:lstStyle xmlns:a="http://schemas.openxmlformats.org/drawingml/2006/main"/>
          <a:p xmlns:a="http://schemas.openxmlformats.org/drawingml/2006/main">
            <a:pPr>
              <a:defRPr/>
            </a:pPr>
            <a:r>
              <a:rPr lang="en-GB"/>
              <a:t>DK1 ADF t-statistics by Number of Lags</a:t>
            </a:r>
          </a:p>
        </rich>
      </tx>
      <overlay val="1"/>
    </title>
    <plotArea>
      <layout/>
      <lineChart>
        <grouping val="standard"/>
        <varyColors val="1"/>
        <ser>
          <idx val="0"/>
          <order val="0"/>
          <tx>
            <strRef>
              <f>Calibration!$H$1</f>
              <strCache>
                <ptCount val="1"/>
                <pt idx="0">
                  <v>DK1 Full</v>
                </pt>
              </strCache>
            </strRef>
          </tx>
          <spPr>
            <a:ln xmlns:a="http://schemas.openxmlformats.org/drawingml/2006/main">
              <a:solidFill>
                <a:srgbClr val="2E75B6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val>
            <numRef>
              <f>Calibration!$H$2:$H$6</f>
              <numCache>
                <formatCode>General</formatCode>
                <ptCount val="5"/>
                <pt idx="0">
                  <v>-2.7049</v>
                </pt>
                <pt idx="1">
                  <v>-2.5651</v>
                </pt>
                <pt idx="2">
                  <v>-1.782</v>
                </pt>
                <pt idx="3">
                  <v>-1.6911</v>
                </pt>
                <pt idx="4">
                  <v>-1.6501</v>
                </pt>
              </numCache>
            </numRef>
          </val>
          <smooth val="1"/>
        </ser>
        <ser>
          <idx val="1"/>
          <order val="1"/>
          <tx>
            <strRef>
              <f>Calibration!$I$1</f>
              <strCache>
                <ptCount val="1"/>
                <pt idx="0">
                  <v>DK1 ex-2022</v>
                </pt>
              </strCache>
            </strRef>
          </tx>
          <spPr>
            <a:ln xmlns:a="http://schemas.openxmlformats.org/drawingml/2006/main">
              <a:solidFill>
                <a:srgbClr val="FF8C00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val>
            <numRef>
              <f>Calibration!$I$2:$I$6</f>
              <numCache>
                <formatCode>General</formatCode>
                <ptCount val="5"/>
                <pt idx="0">
                  <v>-2.7732</v>
                </pt>
                <pt idx="1">
                  <v>-2.3519</v>
                </pt>
                <pt idx="2">
                  <v>-1.8495</v>
                </pt>
                <pt idx="3">
                  <v>-1.8987</v>
                </pt>
                <pt idx="4">
                  <v>-1.8872</v>
                </pt>
              </numCache>
            </numRef>
          </val>
          <smooth val="1"/>
        </ser>
        <ser>
          <idx val="2"/>
          <order val="2"/>
          <tx>
            <strRef>
              <f>Calibration!$J$1</f>
              <strCache>
                <ptCount val="1"/>
                <pt idx="0">
                  <v>DK1 post-crisis</v>
                </pt>
              </strCache>
            </strRef>
          </tx>
          <spPr>
            <a:ln xmlns:a="http://schemas.openxmlformats.org/drawingml/2006/main">
              <a:solidFill>
                <a:srgbClr val="70AD47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val>
            <numRef>
              <f>Calibration!$J$2:$J$6</f>
              <numCache>
                <formatCode>General</formatCode>
                <ptCount val="5"/>
                <pt idx="0">
                  <v>-3.435</v>
                </pt>
                <pt idx="1">
                  <v>-3.4777</v>
                </pt>
                <pt idx="2">
                  <v>-2.6639</v>
                </pt>
                <pt idx="3">
                  <v>-3.0968</v>
                </pt>
                <pt idx="4">
                  <v>-2.9904</v>
                </pt>
              </numCache>
            </numRef>
          </val>
          <smooth val="1"/>
        </ser>
        <ser>
          <idx val="3"/>
          <order val="3"/>
          <tx>
            <strRef>
              <f>Calibration!$K$1</f>
              <strCache>
                <ptCount val="1"/>
                <pt idx="0">
                  <v>CV 5%</v>
                </pt>
              </strCache>
            </strRef>
          </tx>
          <spPr>
            <a:ln xmlns:a="http://schemas.openxmlformats.org/drawingml/2006/main">
              <a:solidFill>
                <a:srgbClr val="C00000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val>
            <numRef>
              <f>Calibration!$K$2:$K$6</f>
              <numCache>
                <formatCode>General</formatCode>
                <ptCount val="5"/>
                <pt idx="0">
                  <v>-2.89</v>
                </pt>
                <pt idx="1">
                  <v>-2.89</v>
                </pt>
                <pt idx="2">
                  <v>-2.89</v>
                </pt>
                <pt idx="3">
                  <v>-2.89</v>
                </pt>
                <pt idx="4">
                  <v>-2.89</v>
                </pt>
              </numCache>
            </numRef>
          </val>
          <smooth val="1"/>
        </ser>
        <dLbls>
          <showLegendKey val="0"/>
          <showVal val="0"/>
          <showCatName val="0"/>
          <showSerName val="0"/>
          <showPercent val="0"/>
          <showBubbleSize val="0"/>
        </dLbls>
        <smooth val="0"/>
        <axId val="10"/>
        <axId val="100"/>
      </lineChart>
      <catAx>
        <axId val="10"/>
        <scaling>
          <orientation val="minMax"/>
        </scaling>
        <delete val="1"/>
        <axPos val="b"/>
        <title>
          <tx>
            <rich>
              <a:bodyPr xmlns:a="http://schemas.openxmlformats.org/drawingml/2006/main"/>
              <a:lstStyle xmlns:a="http://schemas.openxmlformats.org/drawingml/2006/main"/>
              <a:p xmlns:a="http://schemas.openxmlformats.org/drawingml/2006/main">
                <a:pPr>
                  <a:defRPr/>
                </a:pPr>
                <a:r>
                  <a:rPr lang="en-GB"/>
                  <a:t>Lags</a:t>
                </a:r>
              </a:p>
            </rich>
          </tx>
          <overlay val="1"/>
        </title>
        <majorTickMark val="none"/>
        <minorTickMark val="none"/>
        <tickLblPos val="nextTo"/>
        <crossAx val="100"/>
        <crosses val="autoZero"/>
        <auto val="1"/>
        <lblAlgn val="ctr"/>
        <lblOffset val="100"/>
        <noMultiLvlLbl val="1"/>
      </catAx>
      <valAx>
        <axId val="100"/>
        <scaling>
          <orientation val="minMax"/>
        </scaling>
        <delete val="1"/>
        <axPos val="l"/>
        <majorGridlines/>
        <title>
          <tx>
            <rich>
              <a:bodyPr xmlns:a="http://schemas.openxmlformats.org/drawingml/2006/main"/>
              <a:lstStyle xmlns:a="http://schemas.openxmlformats.org/drawingml/2006/main"/>
              <a:p xmlns:a="http://schemas.openxmlformats.org/drawingml/2006/main">
                <a:pPr>
                  <a:defRPr/>
                </a:pPr>
                <a:r>
                  <a:rPr lang="en-GB"/>
                  <a:t>ADF t-statistic</a:t>
                </a:r>
              </a:p>
            </rich>
          </tx>
          <overlay val="1"/>
        </title>
        <numFmt formatCode="General" sourceLinked="1"/>
        <majorTickMark val="none"/>
        <minorTickMark val="none"/>
        <tickLblPos val="nextTo"/>
        <crossAx val="10"/>
        <crosses val="autoZero"/>
        <crossBetween val="between"/>
      </valAx>
    </plotArea>
    <legend>
      <legendPos val="r"/>
      <overlay val="1"/>
    </legend>
    <plotVisOnly val="1"/>
    <dispBlanksAs val="gap"/>
  </chart>
</chartSpace>
</file>

<file path=xl/charts/chart194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DK1 ADF t-statistics by Number of Lags</a:t>
            </a:r>
          </a:p>
        </rich>
      </tx>
    </title>
    <plotArea>
      <lineChart>
        <grouping val="standard"/>
        <ser>
          <idx val="0"/>
          <order val="0"/>
          <tx>
            <strRef>
              <f>'Calibration'!H1</f>
            </strRef>
          </tx>
          <spPr>
            <a:ln xmlns:a="http://schemas.openxmlformats.org/drawingml/2006/main">
              <a:solidFill>
                <a:srgbClr val="2E75B6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val>
            <numRef>
              <f>'Calibration'!$H$2:$H$6</f>
            </numRef>
          </val>
        </ser>
        <ser>
          <idx val="1"/>
          <order val="1"/>
          <tx>
            <strRef>
              <f>'Calibration'!I1</f>
            </strRef>
          </tx>
          <spPr>
            <a:ln xmlns:a="http://schemas.openxmlformats.org/drawingml/2006/main">
              <a:solidFill>
                <a:srgbClr val="FF8C00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val>
            <numRef>
              <f>'Calibration'!$I$2:$I$6</f>
            </numRef>
          </val>
        </ser>
        <ser>
          <idx val="2"/>
          <order val="2"/>
          <tx>
            <strRef>
              <f>'Calibration'!J1</f>
            </strRef>
          </tx>
          <spPr>
            <a:ln xmlns:a="http://schemas.openxmlformats.org/drawingml/2006/main">
              <a:solidFill>
                <a:srgbClr val="70AD47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val>
            <numRef>
              <f>'Calibration'!$J$2:$J$6</f>
            </numRef>
          </val>
        </ser>
        <ser>
          <idx val="3"/>
          <order val="3"/>
          <tx>
            <strRef>
              <f>'Calibration'!K1</f>
            </strRef>
          </tx>
          <spPr>
            <a:ln xmlns:a="http://schemas.openxmlformats.org/drawingml/2006/main">
              <a:solidFill>
                <a:srgbClr val="C00000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val>
            <numRef>
              <f>'Calibration'!$K$2:$K$6</f>
            </numRef>
          </val>
        </ser>
        <axId val="10"/>
        <axId val="100"/>
      </lineChart>
      <catAx>
        <axId val="10"/>
        <scaling>
          <orientation val="minMax"/>
        </scaling>
        <axPos val="l"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Lags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ADF t-statistic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195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DK1 ADF t-statistics by Number of Lags</a:t>
            </a:r>
          </a:p>
        </rich>
      </tx>
    </title>
    <plotArea>
      <lineChart>
        <grouping val="standard"/>
        <ser>
          <idx val="0"/>
          <order val="0"/>
          <tx>
            <strRef>
              <f>'Calibration'!H1</f>
            </strRef>
          </tx>
          <spPr>
            <a:ln xmlns:a="http://schemas.openxmlformats.org/drawingml/2006/main">
              <a:solidFill>
                <a:srgbClr val="2E75B6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val>
            <numRef>
              <f>'Calibration'!$H$2:$H$6</f>
            </numRef>
          </val>
        </ser>
        <ser>
          <idx val="1"/>
          <order val="1"/>
          <tx>
            <strRef>
              <f>'Calibration'!I1</f>
            </strRef>
          </tx>
          <spPr>
            <a:ln xmlns:a="http://schemas.openxmlformats.org/drawingml/2006/main">
              <a:solidFill>
                <a:srgbClr val="FF8C00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val>
            <numRef>
              <f>'Calibration'!$I$2:$I$6</f>
            </numRef>
          </val>
        </ser>
        <ser>
          <idx val="2"/>
          <order val="2"/>
          <tx>
            <strRef>
              <f>'Calibration'!J1</f>
            </strRef>
          </tx>
          <spPr>
            <a:ln xmlns:a="http://schemas.openxmlformats.org/drawingml/2006/main">
              <a:solidFill>
                <a:srgbClr val="70AD47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val>
            <numRef>
              <f>'Calibration'!$J$2:$J$6</f>
            </numRef>
          </val>
        </ser>
        <ser>
          <idx val="3"/>
          <order val="3"/>
          <tx>
            <strRef>
              <f>'Calibration'!K1</f>
            </strRef>
          </tx>
          <spPr>
            <a:ln xmlns:a="http://schemas.openxmlformats.org/drawingml/2006/main">
              <a:solidFill>
                <a:srgbClr val="C00000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val>
            <numRef>
              <f>'Calibration'!$K$2:$K$6</f>
            </numRef>
          </val>
        </ser>
        <axId val="10"/>
        <axId val="100"/>
      </lineChart>
      <catAx>
        <axId val="10"/>
        <scaling>
          <orientation val="minMax"/>
        </scaling>
        <axPos val="l"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Lags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ADF t-statistic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196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DK1 ADF t-statistics by Number of Lags</a:t>
            </a:r>
          </a:p>
        </rich>
      </tx>
    </title>
    <plotArea>
      <lineChart>
        <grouping val="standard"/>
        <ser>
          <idx val="0"/>
          <order val="0"/>
          <tx>
            <strRef>
              <f>'Calibration'!H1</f>
            </strRef>
          </tx>
          <spPr>
            <a:ln xmlns:a="http://schemas.openxmlformats.org/drawingml/2006/main">
              <a:solidFill>
                <a:srgbClr val="2E75B6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val>
            <numRef>
              <f>'Calibration'!$H$2:$H$6</f>
            </numRef>
          </val>
        </ser>
        <ser>
          <idx val="1"/>
          <order val="1"/>
          <tx>
            <strRef>
              <f>'Calibration'!I1</f>
            </strRef>
          </tx>
          <spPr>
            <a:ln xmlns:a="http://schemas.openxmlformats.org/drawingml/2006/main">
              <a:solidFill>
                <a:srgbClr val="FF8C00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val>
            <numRef>
              <f>'Calibration'!$I$2:$I$6</f>
            </numRef>
          </val>
        </ser>
        <ser>
          <idx val="2"/>
          <order val="2"/>
          <tx>
            <strRef>
              <f>'Calibration'!J1</f>
            </strRef>
          </tx>
          <spPr>
            <a:ln xmlns:a="http://schemas.openxmlformats.org/drawingml/2006/main">
              <a:solidFill>
                <a:srgbClr val="70AD47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val>
            <numRef>
              <f>'Calibration'!$J$2:$J$6</f>
            </numRef>
          </val>
        </ser>
        <ser>
          <idx val="3"/>
          <order val="3"/>
          <tx>
            <strRef>
              <f>'Calibration'!K1</f>
            </strRef>
          </tx>
          <spPr>
            <a:ln xmlns:a="http://schemas.openxmlformats.org/drawingml/2006/main">
              <a:solidFill>
                <a:srgbClr val="C00000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val>
            <numRef>
              <f>'Calibration'!$K$2:$K$6</f>
            </numRef>
          </val>
        </ser>
        <axId val="10"/>
        <axId val="100"/>
      </lineChart>
      <catAx>
        <axId val="10"/>
        <scaling>
          <orientation val="minMax"/>
        </scaling>
        <axPos val="l"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Lags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ADF t-statistic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197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DK1 ADF t-statistics by Number of Lags</a:t>
            </a:r>
          </a:p>
        </rich>
      </tx>
    </title>
    <plotArea>
      <lineChart>
        <grouping val="standard"/>
        <ser>
          <idx val="0"/>
          <order val="0"/>
          <tx>
            <strRef>
              <f>'Calibration'!H1</f>
            </strRef>
          </tx>
          <spPr>
            <a:ln xmlns:a="http://schemas.openxmlformats.org/drawingml/2006/main">
              <a:solidFill>
                <a:srgbClr val="2E75B6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val>
            <numRef>
              <f>'Calibration'!$H$2:$H$6</f>
            </numRef>
          </val>
        </ser>
        <ser>
          <idx val="1"/>
          <order val="1"/>
          <tx>
            <strRef>
              <f>'Calibration'!I1</f>
            </strRef>
          </tx>
          <spPr>
            <a:ln xmlns:a="http://schemas.openxmlformats.org/drawingml/2006/main">
              <a:solidFill>
                <a:srgbClr val="FF8C00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val>
            <numRef>
              <f>'Calibration'!$I$2:$I$6</f>
            </numRef>
          </val>
        </ser>
        <ser>
          <idx val="2"/>
          <order val="2"/>
          <tx>
            <strRef>
              <f>'Calibration'!J1</f>
            </strRef>
          </tx>
          <spPr>
            <a:ln xmlns:a="http://schemas.openxmlformats.org/drawingml/2006/main">
              <a:solidFill>
                <a:srgbClr val="70AD47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val>
            <numRef>
              <f>'Calibration'!$J$2:$J$6</f>
            </numRef>
          </val>
        </ser>
        <ser>
          <idx val="3"/>
          <order val="3"/>
          <tx>
            <strRef>
              <f>'Calibration'!K1</f>
            </strRef>
          </tx>
          <spPr>
            <a:ln xmlns:a="http://schemas.openxmlformats.org/drawingml/2006/main">
              <a:solidFill>
                <a:srgbClr val="C00000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val>
            <numRef>
              <f>'Calibration'!$K$2:$K$6</f>
            </numRef>
          </val>
        </ser>
        <axId val="10"/>
        <axId val="100"/>
      </lineChart>
      <catAx>
        <axId val="10"/>
        <scaling>
          <orientation val="minMax"/>
        </scaling>
        <axPos val="l"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Lags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ADF t-statistic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198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DK1 ADF t-statistics by Number of Lags</a:t>
            </a:r>
          </a:p>
        </rich>
      </tx>
    </title>
    <plotArea>
      <lineChart>
        <grouping val="standard"/>
        <ser>
          <idx val="0"/>
          <order val="0"/>
          <tx>
            <strRef>
              <f>'Calibration'!H1</f>
            </strRef>
          </tx>
          <spPr>
            <a:ln xmlns:a="http://schemas.openxmlformats.org/drawingml/2006/main">
              <a:solidFill>
                <a:srgbClr val="2E75B6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val>
            <numRef>
              <f>'Calibration'!$H$2:$H$6</f>
            </numRef>
          </val>
        </ser>
        <ser>
          <idx val="1"/>
          <order val="1"/>
          <tx>
            <strRef>
              <f>'Calibration'!I1</f>
            </strRef>
          </tx>
          <spPr>
            <a:ln xmlns:a="http://schemas.openxmlformats.org/drawingml/2006/main">
              <a:solidFill>
                <a:srgbClr val="FF8C00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val>
            <numRef>
              <f>'Calibration'!$I$2:$I$6</f>
            </numRef>
          </val>
        </ser>
        <ser>
          <idx val="2"/>
          <order val="2"/>
          <tx>
            <strRef>
              <f>'Calibration'!J1</f>
            </strRef>
          </tx>
          <spPr>
            <a:ln xmlns:a="http://schemas.openxmlformats.org/drawingml/2006/main">
              <a:solidFill>
                <a:srgbClr val="70AD47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val>
            <numRef>
              <f>'Calibration'!$J$2:$J$6</f>
            </numRef>
          </val>
        </ser>
        <ser>
          <idx val="3"/>
          <order val="3"/>
          <tx>
            <strRef>
              <f>'Calibration'!K1</f>
            </strRef>
          </tx>
          <spPr>
            <a:ln xmlns:a="http://schemas.openxmlformats.org/drawingml/2006/main">
              <a:solidFill>
                <a:srgbClr val="C00000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val>
            <numRef>
              <f>'Calibration'!$K$2:$K$6</f>
            </numRef>
          </val>
        </ser>
        <axId val="10"/>
        <axId val="100"/>
      </lineChart>
      <catAx>
        <axId val="10"/>
        <scaling>
          <orientation val="minMax"/>
        </scaling>
        <axPos val="l"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Lags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ADF t-statistic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199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DK1 ADF t-statistics by Number of Lags</a:t>
            </a:r>
          </a:p>
        </rich>
      </tx>
    </title>
    <plotArea>
      <lineChart>
        <grouping val="standard"/>
        <ser>
          <idx val="0"/>
          <order val="0"/>
          <tx>
            <strRef>
              <f>'Calibration'!H1</f>
            </strRef>
          </tx>
          <spPr>
            <a:ln xmlns:a="http://schemas.openxmlformats.org/drawingml/2006/main">
              <a:solidFill>
                <a:srgbClr val="2E75B6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val>
            <numRef>
              <f>'Calibration'!$H$2:$H$6</f>
            </numRef>
          </val>
        </ser>
        <ser>
          <idx val="1"/>
          <order val="1"/>
          <tx>
            <strRef>
              <f>'Calibration'!I1</f>
            </strRef>
          </tx>
          <spPr>
            <a:ln xmlns:a="http://schemas.openxmlformats.org/drawingml/2006/main">
              <a:solidFill>
                <a:srgbClr val="FF8C00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val>
            <numRef>
              <f>'Calibration'!$I$2:$I$6</f>
            </numRef>
          </val>
        </ser>
        <ser>
          <idx val="2"/>
          <order val="2"/>
          <tx>
            <strRef>
              <f>'Calibration'!J1</f>
            </strRef>
          </tx>
          <spPr>
            <a:ln xmlns:a="http://schemas.openxmlformats.org/drawingml/2006/main">
              <a:solidFill>
                <a:srgbClr val="70AD47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val>
            <numRef>
              <f>'Calibration'!$J$2:$J$6</f>
            </numRef>
          </val>
        </ser>
        <ser>
          <idx val="3"/>
          <order val="3"/>
          <tx>
            <strRef>
              <f>'Calibration'!K1</f>
            </strRef>
          </tx>
          <spPr>
            <a:ln xmlns:a="http://schemas.openxmlformats.org/drawingml/2006/main">
              <a:solidFill>
                <a:srgbClr val="C00000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val>
            <numRef>
              <f>'Calibration'!$K$2:$K$6</f>
            </numRef>
          </val>
        </ser>
        <axId val="10"/>
        <axId val="100"/>
      </lineChart>
      <catAx>
        <axId val="10"/>
        <scaling>
          <orientation val="minMax"/>
        </scaling>
        <axPos val="l"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Lags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ADF t-statistic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200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DK1 ADF t-statistics by Number of Lags</a:t>
            </a:r>
          </a:p>
        </rich>
      </tx>
    </title>
    <plotArea>
      <lineChart>
        <grouping val="standard"/>
        <ser>
          <idx val="0"/>
          <order val="0"/>
          <tx>
            <strRef>
              <f>'Calibration'!H1</f>
            </strRef>
          </tx>
          <spPr>
            <a:ln xmlns:a="http://schemas.openxmlformats.org/drawingml/2006/main">
              <a:solidFill>
                <a:srgbClr val="2E75B6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val>
            <numRef>
              <f>'Calibration'!$H$2:$H$6</f>
            </numRef>
          </val>
        </ser>
        <ser>
          <idx val="1"/>
          <order val="1"/>
          <tx>
            <strRef>
              <f>'Calibration'!I1</f>
            </strRef>
          </tx>
          <spPr>
            <a:ln xmlns:a="http://schemas.openxmlformats.org/drawingml/2006/main">
              <a:solidFill>
                <a:srgbClr val="FF8C00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val>
            <numRef>
              <f>'Calibration'!$I$2:$I$6</f>
            </numRef>
          </val>
        </ser>
        <ser>
          <idx val="2"/>
          <order val="2"/>
          <tx>
            <strRef>
              <f>'Calibration'!J1</f>
            </strRef>
          </tx>
          <spPr>
            <a:ln xmlns:a="http://schemas.openxmlformats.org/drawingml/2006/main">
              <a:solidFill>
                <a:srgbClr val="70AD47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val>
            <numRef>
              <f>'Calibration'!$J$2:$J$6</f>
            </numRef>
          </val>
        </ser>
        <ser>
          <idx val="3"/>
          <order val="3"/>
          <tx>
            <strRef>
              <f>'Calibration'!K1</f>
            </strRef>
          </tx>
          <spPr>
            <a:ln xmlns:a="http://schemas.openxmlformats.org/drawingml/2006/main">
              <a:solidFill>
                <a:srgbClr val="C00000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val>
            <numRef>
              <f>'Calibration'!$K$2:$K$6</f>
            </numRef>
          </val>
        </ser>
        <axId val="10"/>
        <axId val="100"/>
      </lineChart>
      <catAx>
        <axId val="10"/>
        <scaling>
          <orientation val="minMax"/>
        </scaling>
        <axPos val="l"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Lags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ADF t-statistic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201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DK1 ADF t-statistics by Number of Lags</a:t>
            </a:r>
          </a:p>
        </rich>
      </tx>
    </title>
    <plotArea>
      <lineChart>
        <grouping val="standard"/>
        <ser>
          <idx val="0"/>
          <order val="0"/>
          <tx>
            <strRef>
              <f>'Calibration'!H1</f>
            </strRef>
          </tx>
          <spPr>
            <a:ln xmlns:a="http://schemas.openxmlformats.org/drawingml/2006/main">
              <a:solidFill>
                <a:srgbClr val="2E75B6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val>
            <numRef>
              <f>'Calibration'!$H$2:$H$6</f>
            </numRef>
          </val>
        </ser>
        <ser>
          <idx val="1"/>
          <order val="1"/>
          <tx>
            <strRef>
              <f>'Calibration'!I1</f>
            </strRef>
          </tx>
          <spPr>
            <a:ln xmlns:a="http://schemas.openxmlformats.org/drawingml/2006/main">
              <a:solidFill>
                <a:srgbClr val="FF8C00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val>
            <numRef>
              <f>'Calibration'!$I$2:$I$6</f>
            </numRef>
          </val>
        </ser>
        <ser>
          <idx val="2"/>
          <order val="2"/>
          <tx>
            <strRef>
              <f>'Calibration'!J1</f>
            </strRef>
          </tx>
          <spPr>
            <a:ln xmlns:a="http://schemas.openxmlformats.org/drawingml/2006/main">
              <a:solidFill>
                <a:srgbClr val="70AD47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val>
            <numRef>
              <f>'Calibration'!$J$2:$J$6</f>
            </numRef>
          </val>
        </ser>
        <ser>
          <idx val="3"/>
          <order val="3"/>
          <tx>
            <strRef>
              <f>'Calibration'!K1</f>
            </strRef>
          </tx>
          <spPr>
            <a:ln xmlns:a="http://schemas.openxmlformats.org/drawingml/2006/main">
              <a:solidFill>
                <a:srgbClr val="C00000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val>
            <numRef>
              <f>'Calibration'!$K$2:$K$6</f>
            </numRef>
          </val>
        </ser>
        <axId val="10"/>
        <axId val="100"/>
      </lineChart>
      <catAx>
        <axId val="10"/>
        <scaling>
          <orientation val="minMax"/>
        </scaling>
        <axPos val="l"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Lags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ADF t-statistic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202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DK1 ADF t-statistics by Number of Lags</a:t>
            </a:r>
          </a:p>
        </rich>
      </tx>
    </title>
    <plotArea>
      <lineChart>
        <grouping val="standard"/>
        <ser>
          <idx val="0"/>
          <order val="0"/>
          <tx>
            <strRef>
              <f>'Calibration'!H1</f>
            </strRef>
          </tx>
          <spPr>
            <a:ln xmlns:a="http://schemas.openxmlformats.org/drawingml/2006/main">
              <a:solidFill>
                <a:srgbClr val="2E75B6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val>
            <numRef>
              <f>'Calibration'!$H$2:$H$6</f>
            </numRef>
          </val>
        </ser>
        <ser>
          <idx val="1"/>
          <order val="1"/>
          <tx>
            <strRef>
              <f>'Calibration'!I1</f>
            </strRef>
          </tx>
          <spPr>
            <a:ln xmlns:a="http://schemas.openxmlformats.org/drawingml/2006/main">
              <a:solidFill>
                <a:srgbClr val="FF8C00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val>
            <numRef>
              <f>'Calibration'!$I$2:$I$6</f>
            </numRef>
          </val>
        </ser>
        <ser>
          <idx val="2"/>
          <order val="2"/>
          <tx>
            <strRef>
              <f>'Calibration'!J1</f>
            </strRef>
          </tx>
          <spPr>
            <a:ln xmlns:a="http://schemas.openxmlformats.org/drawingml/2006/main">
              <a:solidFill>
                <a:srgbClr val="70AD47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val>
            <numRef>
              <f>'Calibration'!$J$2:$J$6</f>
            </numRef>
          </val>
        </ser>
        <ser>
          <idx val="3"/>
          <order val="3"/>
          <tx>
            <strRef>
              <f>'Calibration'!K1</f>
            </strRef>
          </tx>
          <spPr>
            <a:ln xmlns:a="http://schemas.openxmlformats.org/drawingml/2006/main">
              <a:solidFill>
                <a:srgbClr val="C00000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val>
            <numRef>
              <f>'Calibration'!$K$2:$K$6</f>
            </numRef>
          </val>
        </ser>
        <axId val="10"/>
        <axId val="100"/>
      </lineChart>
      <catAx>
        <axId val="10"/>
        <scaling>
          <orientation val="minMax"/>
        </scaling>
        <axPos val="l"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Lags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ADF t-statistic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203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DK1 ADF t-statistics by Number of Lags</a:t>
            </a:r>
          </a:p>
        </rich>
      </tx>
    </title>
    <plotArea>
      <lineChart>
        <grouping val="standard"/>
        <ser>
          <idx val="0"/>
          <order val="0"/>
          <tx>
            <strRef>
              <f>'Calibration'!H1</f>
            </strRef>
          </tx>
          <spPr>
            <a:ln xmlns:a="http://schemas.openxmlformats.org/drawingml/2006/main">
              <a:solidFill>
                <a:srgbClr val="2E75B6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val>
            <numRef>
              <f>'Calibration'!$H$2:$H$6</f>
            </numRef>
          </val>
        </ser>
        <ser>
          <idx val="1"/>
          <order val="1"/>
          <tx>
            <strRef>
              <f>'Calibration'!I1</f>
            </strRef>
          </tx>
          <spPr>
            <a:ln xmlns:a="http://schemas.openxmlformats.org/drawingml/2006/main">
              <a:solidFill>
                <a:srgbClr val="FF8C00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val>
            <numRef>
              <f>'Calibration'!$I$2:$I$6</f>
            </numRef>
          </val>
        </ser>
        <ser>
          <idx val="2"/>
          <order val="2"/>
          <tx>
            <strRef>
              <f>'Calibration'!J1</f>
            </strRef>
          </tx>
          <spPr>
            <a:ln xmlns:a="http://schemas.openxmlformats.org/drawingml/2006/main">
              <a:solidFill>
                <a:srgbClr val="70AD47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val>
            <numRef>
              <f>'Calibration'!$J$2:$J$6</f>
            </numRef>
          </val>
        </ser>
        <ser>
          <idx val="3"/>
          <order val="3"/>
          <tx>
            <strRef>
              <f>'Calibration'!K1</f>
            </strRef>
          </tx>
          <spPr>
            <a:ln xmlns:a="http://schemas.openxmlformats.org/drawingml/2006/main">
              <a:solidFill>
                <a:srgbClr val="C00000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val>
            <numRef>
              <f>'Calibration'!$K$2:$K$6</f>
            </numRef>
          </val>
        </ser>
        <axId val="10"/>
        <axId val="100"/>
      </lineChart>
      <catAx>
        <axId val="10"/>
        <scaling>
          <orientation val="minMax"/>
        </scaling>
        <axPos val="l"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Lags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ADF t-statistic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204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DK1 ADF t-statistics by Number of Lags</a:t>
            </a:r>
          </a:p>
        </rich>
      </tx>
    </title>
    <plotArea>
      <lineChart>
        <grouping val="standard"/>
        <ser>
          <idx val="0"/>
          <order val="0"/>
          <tx>
            <strRef>
              <f>'Calibration'!H1</f>
            </strRef>
          </tx>
          <spPr>
            <a:ln xmlns:a="http://schemas.openxmlformats.org/drawingml/2006/main">
              <a:solidFill>
                <a:srgbClr val="2E75B6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val>
            <numRef>
              <f>'Calibration'!$H$2:$H$6</f>
            </numRef>
          </val>
        </ser>
        <ser>
          <idx val="1"/>
          <order val="1"/>
          <tx>
            <strRef>
              <f>'Calibration'!I1</f>
            </strRef>
          </tx>
          <spPr>
            <a:ln xmlns:a="http://schemas.openxmlformats.org/drawingml/2006/main">
              <a:solidFill>
                <a:srgbClr val="FF8C00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val>
            <numRef>
              <f>'Calibration'!$I$2:$I$6</f>
            </numRef>
          </val>
        </ser>
        <ser>
          <idx val="2"/>
          <order val="2"/>
          <tx>
            <strRef>
              <f>'Calibration'!J1</f>
            </strRef>
          </tx>
          <spPr>
            <a:ln xmlns:a="http://schemas.openxmlformats.org/drawingml/2006/main">
              <a:solidFill>
                <a:srgbClr val="70AD47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val>
            <numRef>
              <f>'Calibration'!$J$2:$J$6</f>
            </numRef>
          </val>
        </ser>
        <ser>
          <idx val="3"/>
          <order val="3"/>
          <tx>
            <strRef>
              <f>'Calibration'!K1</f>
            </strRef>
          </tx>
          <spPr>
            <a:ln xmlns:a="http://schemas.openxmlformats.org/drawingml/2006/main">
              <a:solidFill>
                <a:srgbClr val="C00000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val>
            <numRef>
              <f>'Calibration'!$K$2:$K$6</f>
            </numRef>
          </val>
        </ser>
        <axId val="10"/>
        <axId val="100"/>
      </lineChart>
      <catAx>
        <axId val="10"/>
        <scaling>
          <orientation val="minMax"/>
        </scaling>
        <axPos val="l"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Lags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ADF t-statistic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205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DK1 ADF t-statistics by Number of Lags</a:t>
            </a:r>
          </a:p>
        </rich>
      </tx>
    </title>
    <plotArea>
      <lineChart>
        <grouping val="standard"/>
        <ser>
          <idx val="0"/>
          <order val="0"/>
          <tx>
            <strRef>
              <f>'Calibration'!H1</f>
            </strRef>
          </tx>
          <spPr>
            <a:ln xmlns:a="http://schemas.openxmlformats.org/drawingml/2006/main">
              <a:solidFill>
                <a:srgbClr val="2E75B6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val>
            <numRef>
              <f>'Calibration'!$H$2:$H$6</f>
            </numRef>
          </val>
        </ser>
        <ser>
          <idx val="1"/>
          <order val="1"/>
          <tx>
            <strRef>
              <f>'Calibration'!I1</f>
            </strRef>
          </tx>
          <spPr>
            <a:ln xmlns:a="http://schemas.openxmlformats.org/drawingml/2006/main">
              <a:solidFill>
                <a:srgbClr val="FF8C00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val>
            <numRef>
              <f>'Calibration'!$I$2:$I$6</f>
            </numRef>
          </val>
        </ser>
        <ser>
          <idx val="2"/>
          <order val="2"/>
          <tx>
            <strRef>
              <f>'Calibration'!J1</f>
            </strRef>
          </tx>
          <spPr>
            <a:ln xmlns:a="http://schemas.openxmlformats.org/drawingml/2006/main">
              <a:solidFill>
                <a:srgbClr val="70AD47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val>
            <numRef>
              <f>'Calibration'!$J$2:$J$6</f>
            </numRef>
          </val>
        </ser>
        <ser>
          <idx val="3"/>
          <order val="3"/>
          <tx>
            <strRef>
              <f>'Calibration'!K1</f>
            </strRef>
          </tx>
          <spPr>
            <a:ln xmlns:a="http://schemas.openxmlformats.org/drawingml/2006/main">
              <a:solidFill>
                <a:srgbClr val="C00000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val>
            <numRef>
              <f>'Calibration'!$K$2:$K$6</f>
            </numRef>
          </val>
        </ser>
        <axId val="10"/>
        <axId val="100"/>
      </lineChart>
      <catAx>
        <axId val="10"/>
        <scaling>
          <orientation val="minMax"/>
        </scaling>
        <axPos val="l"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Lags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ADF t-statistic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206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DK1 ADF t-statistics by Number of Lags</a:t>
            </a:r>
          </a:p>
        </rich>
      </tx>
    </title>
    <plotArea>
      <lineChart>
        <grouping val="standard"/>
        <ser>
          <idx val="0"/>
          <order val="0"/>
          <tx>
            <strRef>
              <f>'Calibration'!H1</f>
            </strRef>
          </tx>
          <spPr>
            <a:ln xmlns:a="http://schemas.openxmlformats.org/drawingml/2006/main">
              <a:solidFill>
                <a:srgbClr val="2E75B6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val>
            <numRef>
              <f>'Calibration'!$H$2:$H$6</f>
            </numRef>
          </val>
        </ser>
        <ser>
          <idx val="1"/>
          <order val="1"/>
          <tx>
            <strRef>
              <f>'Calibration'!I1</f>
            </strRef>
          </tx>
          <spPr>
            <a:ln xmlns:a="http://schemas.openxmlformats.org/drawingml/2006/main">
              <a:solidFill>
                <a:srgbClr val="FF8C00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val>
            <numRef>
              <f>'Calibration'!$I$2:$I$6</f>
            </numRef>
          </val>
        </ser>
        <ser>
          <idx val="2"/>
          <order val="2"/>
          <tx>
            <strRef>
              <f>'Calibration'!J1</f>
            </strRef>
          </tx>
          <spPr>
            <a:ln xmlns:a="http://schemas.openxmlformats.org/drawingml/2006/main">
              <a:solidFill>
                <a:srgbClr val="70AD47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val>
            <numRef>
              <f>'Calibration'!$J$2:$J$6</f>
            </numRef>
          </val>
        </ser>
        <ser>
          <idx val="3"/>
          <order val="3"/>
          <tx>
            <strRef>
              <f>'Calibration'!K1</f>
            </strRef>
          </tx>
          <spPr>
            <a:ln xmlns:a="http://schemas.openxmlformats.org/drawingml/2006/main">
              <a:solidFill>
                <a:srgbClr val="C00000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val>
            <numRef>
              <f>'Calibration'!$K$2:$K$6</f>
            </numRef>
          </val>
        </ser>
        <axId val="10"/>
        <axId val="100"/>
      </lineChart>
      <catAx>
        <axId val="10"/>
        <scaling>
          <orientation val="minMax"/>
        </scaling>
        <axPos val="l"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Lags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ADF t-statistic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207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DK1 ADF t-statistics by Number of Lags</a:t>
            </a:r>
          </a:p>
        </rich>
      </tx>
    </title>
    <plotArea>
      <lineChart>
        <grouping val="standard"/>
        <ser>
          <idx val="0"/>
          <order val="0"/>
          <tx>
            <strRef>
              <f>'Calibration'!H1</f>
            </strRef>
          </tx>
          <spPr>
            <a:ln xmlns:a="http://schemas.openxmlformats.org/drawingml/2006/main">
              <a:solidFill>
                <a:srgbClr val="2E75B6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val>
            <numRef>
              <f>'Calibration'!$H$2:$H$6</f>
            </numRef>
          </val>
        </ser>
        <ser>
          <idx val="1"/>
          <order val="1"/>
          <tx>
            <strRef>
              <f>'Calibration'!I1</f>
            </strRef>
          </tx>
          <spPr>
            <a:ln xmlns:a="http://schemas.openxmlformats.org/drawingml/2006/main">
              <a:solidFill>
                <a:srgbClr val="FF8C00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val>
            <numRef>
              <f>'Calibration'!$I$2:$I$6</f>
            </numRef>
          </val>
        </ser>
        <ser>
          <idx val="2"/>
          <order val="2"/>
          <tx>
            <strRef>
              <f>'Calibration'!J1</f>
            </strRef>
          </tx>
          <spPr>
            <a:ln xmlns:a="http://schemas.openxmlformats.org/drawingml/2006/main">
              <a:solidFill>
                <a:srgbClr val="70AD47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val>
            <numRef>
              <f>'Calibration'!$J$2:$J$6</f>
            </numRef>
          </val>
        </ser>
        <ser>
          <idx val="3"/>
          <order val="3"/>
          <tx>
            <strRef>
              <f>'Calibration'!K1</f>
            </strRef>
          </tx>
          <spPr>
            <a:ln xmlns:a="http://schemas.openxmlformats.org/drawingml/2006/main">
              <a:solidFill>
                <a:srgbClr val="C00000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val>
            <numRef>
              <f>'Calibration'!$K$2:$K$6</f>
            </numRef>
          </val>
        </ser>
        <axId val="10"/>
        <axId val="100"/>
      </lineChart>
      <catAx>
        <axId val="10"/>
        <scaling>
          <orientation val="minMax"/>
        </scaling>
        <axPos val="l"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Lags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ADF t-statistic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208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DK1 ADF t-statistics by Number of Lags</a:t>
            </a:r>
          </a:p>
        </rich>
      </tx>
    </title>
    <plotArea>
      <lineChart>
        <grouping val="standard"/>
        <ser>
          <idx val="0"/>
          <order val="0"/>
          <tx>
            <strRef>
              <f>'Calibration'!H1</f>
            </strRef>
          </tx>
          <spPr>
            <a:ln xmlns:a="http://schemas.openxmlformats.org/drawingml/2006/main">
              <a:solidFill>
                <a:srgbClr val="2E75B6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val>
            <numRef>
              <f>'Calibration'!$H$2:$H$6</f>
            </numRef>
          </val>
        </ser>
        <ser>
          <idx val="1"/>
          <order val="1"/>
          <tx>
            <strRef>
              <f>'Calibration'!I1</f>
            </strRef>
          </tx>
          <spPr>
            <a:ln xmlns:a="http://schemas.openxmlformats.org/drawingml/2006/main">
              <a:solidFill>
                <a:srgbClr val="FF8C00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val>
            <numRef>
              <f>'Calibration'!$I$2:$I$6</f>
            </numRef>
          </val>
        </ser>
        <ser>
          <idx val="2"/>
          <order val="2"/>
          <tx>
            <strRef>
              <f>'Calibration'!J1</f>
            </strRef>
          </tx>
          <spPr>
            <a:ln xmlns:a="http://schemas.openxmlformats.org/drawingml/2006/main">
              <a:solidFill>
                <a:srgbClr val="70AD47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val>
            <numRef>
              <f>'Calibration'!$J$2:$J$6</f>
            </numRef>
          </val>
        </ser>
        <ser>
          <idx val="3"/>
          <order val="3"/>
          <tx>
            <strRef>
              <f>'Calibration'!K1</f>
            </strRef>
          </tx>
          <spPr>
            <a:ln xmlns:a="http://schemas.openxmlformats.org/drawingml/2006/main">
              <a:solidFill>
                <a:srgbClr val="C00000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val>
            <numRef>
              <f>'Calibration'!$K$2:$K$6</f>
            </numRef>
          </val>
        </ser>
        <axId val="10"/>
        <axId val="100"/>
      </lineChart>
      <catAx>
        <axId val="10"/>
        <scaling>
          <orientation val="minMax"/>
        </scaling>
        <axPos val="l"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Lags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ADF t-statistic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209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DK1 ADF t-statistics by Number of Lags</a:t>
            </a:r>
          </a:p>
        </rich>
      </tx>
    </title>
    <plotArea>
      <lineChart>
        <grouping val="standard"/>
        <ser>
          <idx val="0"/>
          <order val="0"/>
          <tx>
            <strRef>
              <f>'Calibration'!H1</f>
            </strRef>
          </tx>
          <spPr>
            <a:ln xmlns:a="http://schemas.openxmlformats.org/drawingml/2006/main">
              <a:solidFill>
                <a:srgbClr val="2E75B6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val>
            <numRef>
              <f>'Calibration'!$H$2:$H$6</f>
            </numRef>
          </val>
        </ser>
        <ser>
          <idx val="1"/>
          <order val="1"/>
          <tx>
            <strRef>
              <f>'Calibration'!I1</f>
            </strRef>
          </tx>
          <spPr>
            <a:ln xmlns:a="http://schemas.openxmlformats.org/drawingml/2006/main">
              <a:solidFill>
                <a:srgbClr val="FF8C00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val>
            <numRef>
              <f>'Calibration'!$I$2:$I$6</f>
            </numRef>
          </val>
        </ser>
        <ser>
          <idx val="2"/>
          <order val="2"/>
          <tx>
            <strRef>
              <f>'Calibration'!J1</f>
            </strRef>
          </tx>
          <spPr>
            <a:ln xmlns:a="http://schemas.openxmlformats.org/drawingml/2006/main">
              <a:solidFill>
                <a:srgbClr val="70AD47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val>
            <numRef>
              <f>'Calibration'!$J$2:$J$6</f>
            </numRef>
          </val>
        </ser>
        <ser>
          <idx val="3"/>
          <order val="3"/>
          <tx>
            <strRef>
              <f>'Calibration'!K1</f>
            </strRef>
          </tx>
          <spPr>
            <a:ln xmlns:a="http://schemas.openxmlformats.org/drawingml/2006/main">
              <a:solidFill>
                <a:srgbClr val="C00000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val>
            <numRef>
              <f>'Calibration'!$K$2:$K$6</f>
            </numRef>
          </val>
        </ser>
        <axId val="10"/>
        <axId val="100"/>
      </lineChart>
      <catAx>
        <axId val="10"/>
        <scaling>
          <orientation val="minMax"/>
        </scaling>
        <axPos val="l"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Lags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ADF t-statistic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210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DK1 ADF t-statistics by Number of Lags</a:t>
            </a:r>
          </a:p>
        </rich>
      </tx>
    </title>
    <plotArea>
      <lineChart>
        <grouping val="standard"/>
        <ser>
          <idx val="0"/>
          <order val="0"/>
          <tx>
            <strRef>
              <f>'Calibration'!H1</f>
            </strRef>
          </tx>
          <spPr>
            <a:ln xmlns:a="http://schemas.openxmlformats.org/drawingml/2006/main">
              <a:solidFill>
                <a:srgbClr val="2E75B6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val>
            <numRef>
              <f>'Calibration'!$H$2:$H$6</f>
            </numRef>
          </val>
        </ser>
        <ser>
          <idx val="1"/>
          <order val="1"/>
          <tx>
            <strRef>
              <f>'Calibration'!I1</f>
            </strRef>
          </tx>
          <spPr>
            <a:ln xmlns:a="http://schemas.openxmlformats.org/drawingml/2006/main">
              <a:solidFill>
                <a:srgbClr val="FF8C00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val>
            <numRef>
              <f>'Calibration'!$I$2:$I$6</f>
            </numRef>
          </val>
        </ser>
        <ser>
          <idx val="2"/>
          <order val="2"/>
          <tx>
            <strRef>
              <f>'Calibration'!J1</f>
            </strRef>
          </tx>
          <spPr>
            <a:ln xmlns:a="http://schemas.openxmlformats.org/drawingml/2006/main">
              <a:solidFill>
                <a:srgbClr val="70AD47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val>
            <numRef>
              <f>'Calibration'!$J$2:$J$6</f>
            </numRef>
          </val>
        </ser>
        <ser>
          <idx val="3"/>
          <order val="3"/>
          <tx>
            <strRef>
              <f>'Calibration'!K1</f>
            </strRef>
          </tx>
          <spPr>
            <a:ln xmlns:a="http://schemas.openxmlformats.org/drawingml/2006/main">
              <a:solidFill>
                <a:srgbClr val="C00000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val>
            <numRef>
              <f>'Calibration'!$K$2:$K$6</f>
            </numRef>
          </val>
        </ser>
        <axId val="10"/>
        <axId val="100"/>
      </lineChart>
      <catAx>
        <axId val="10"/>
        <scaling>
          <orientation val="minMax"/>
        </scaling>
        <axPos val="l"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Lags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ADF t-statistic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211.xml><?xml version="1.0" encoding="utf-8"?>
<chartSpace xmlns="http://schemas.openxmlformats.org/drawingml/2006/chart">
  <chart>
    <title>
      <tx>
        <rich>
          <a:bodyPr xmlns:a="http://schemas.openxmlformats.org/drawingml/2006/main"/>
          <a:lstStyle xmlns:a="http://schemas.openxmlformats.org/drawingml/2006/main"/>
          <a:p xmlns:a="http://schemas.openxmlformats.org/drawingml/2006/main">
            <a:pPr>
              <a:defRPr/>
            </a:pPr>
            <a:r>
              <a:rPr lang="en-GB"/>
              <a:t>P50/P90/P99 at Key Project Horizons — DK1 Primary</a:t>
            </a:r>
          </a:p>
        </rich>
      </tx>
      <overlay val="1"/>
    </title>
    <plotArea>
      <layout/>
      <barChart>
        <barDir val="col"/>
        <grouping val="clustered"/>
        <varyColors val="1"/>
        <ser>
          <idx val="0"/>
          <order val="0"/>
          <tx>
            <strRef>
              <f>Simulation!$L$2</f>
              <strCache>
                <ptCount val="1"/>
                <pt idx="0">
                  <v>P50</v>
                </pt>
              </strCache>
            </strRef>
          </tx>
          <spPr>
            <a:solidFill xmlns:a="http://schemas.openxmlformats.org/drawingml/2006/main">
              <a:srgbClr val="2E75B6"/>
            </a:solidFill>
            <a:ln xmlns:a="http://schemas.openxmlformats.org/drawingml/2006/main">
              <a:prstDash val="solid"/>
            </a:ln>
          </spPr>
          <invertIfNegative val="1"/>
          <cat>
            <strRef>
              <f>Simulation!$K$3:$K$7</f>
              <strCache>
                <ptCount val="5"/>
                <pt idx="0">
                  <v>Year 5</v>
                </pt>
                <pt idx="1">
                  <v>Year 10</v>
                </pt>
                <pt idx="2">
                  <v>Year 15</v>
                </pt>
                <pt idx="3">
                  <v>Year 20</v>
                </pt>
                <pt idx="4">
                  <v>Year 25</v>
                </pt>
              </strCache>
            </strRef>
          </cat>
          <val>
            <numRef>
              <f>Simulation!$L$3:$L$7</f>
              <numCache>
                <formatCode>General</formatCode>
                <ptCount val="5"/>
                <pt idx="0">
                  <v>62.42</v>
                </pt>
                <pt idx="1">
                  <v>60.67</v>
                </pt>
                <pt idx="2">
                  <v>58.52</v>
                </pt>
                <pt idx="3">
                  <v>57.43</v>
                </pt>
                <pt idx="4">
                  <v>54.79</v>
                </pt>
              </numCache>
            </numRef>
          </val>
        </ser>
        <ser>
          <idx val="1"/>
          <order val="1"/>
          <tx>
            <strRef>
              <f>Simulation!$M$2</f>
              <strCache>
                <ptCount val="1"/>
                <pt idx="0">
                  <v>P90</v>
                </pt>
              </strCache>
            </strRef>
          </tx>
          <spPr>
            <a:solidFill xmlns:a="http://schemas.openxmlformats.org/drawingml/2006/main">
              <a:srgbClr val="FF8C00"/>
            </a:solidFill>
            <a:ln xmlns:a="http://schemas.openxmlformats.org/drawingml/2006/main">
              <a:prstDash val="solid"/>
            </a:ln>
          </spPr>
          <invertIfNegative val="1"/>
          <cat>
            <strRef>
              <f>Simulation!$K$3:$K$7</f>
              <strCache>
                <ptCount val="5"/>
                <pt idx="0">
                  <v>Year 5</v>
                </pt>
                <pt idx="1">
                  <v>Year 10</v>
                </pt>
                <pt idx="2">
                  <v>Year 15</v>
                </pt>
                <pt idx="3">
                  <v>Year 20</v>
                </pt>
                <pt idx="4">
                  <v>Year 25</v>
                </pt>
              </strCache>
            </strRef>
          </cat>
          <val>
            <numRef>
              <f>Simulation!$M$3:$M$7</f>
              <numCache>
                <formatCode>General</formatCode>
                <ptCount val="5"/>
                <pt idx="0">
                  <v>19.97</v>
                </pt>
                <pt idx="1">
                  <v>18.27</v>
                </pt>
                <pt idx="2">
                  <v>16.52</v>
                </pt>
                <pt idx="3">
                  <v>14.71</v>
                </pt>
                <pt idx="4">
                  <v>12.55</v>
                </pt>
              </numCache>
            </numRef>
          </val>
        </ser>
        <ser>
          <idx val="2"/>
          <order val="2"/>
          <tx>
            <strRef>
              <f>Simulation!$N$2</f>
              <strCache>
                <ptCount val="1"/>
                <pt idx="0">
                  <v>P99</v>
                </pt>
              </strCache>
            </strRef>
          </tx>
          <spPr>
            <a:solidFill xmlns:a="http://schemas.openxmlformats.org/drawingml/2006/main">
              <a:srgbClr val="C00000"/>
            </a:solidFill>
            <a:ln xmlns:a="http://schemas.openxmlformats.org/drawingml/2006/main">
              <a:prstDash val="solid"/>
            </a:ln>
          </spPr>
          <invertIfNegative val="1"/>
          <cat>
            <strRef>
              <f>Simulation!$K$3:$K$7</f>
              <strCache>
                <ptCount val="5"/>
                <pt idx="0">
                  <v>Year 5</v>
                </pt>
                <pt idx="1">
                  <v>Year 10</v>
                </pt>
                <pt idx="2">
                  <v>Year 15</v>
                </pt>
                <pt idx="3">
                  <v>Year 20</v>
                </pt>
                <pt idx="4">
                  <v>Year 25</v>
                </pt>
              </strCache>
            </strRef>
          </cat>
          <val>
            <numRef>
              <f>Simulation!$N$3:$N$7</f>
              <numCache>
                <formatCode>General</formatCode>
                <ptCount val="5"/>
                <pt idx="0">
                  <v>-14.85</v>
                </pt>
                <pt idx="1">
                  <v>-17.66</v>
                </pt>
                <pt idx="2">
                  <v>-15.45</v>
                </pt>
                <pt idx="3">
                  <v>-19.55</v>
                </pt>
                <pt idx="4">
                  <v>-22.5</v>
                </pt>
              </numCache>
            </numRef>
          </val>
        </ser>
        <dLbls>
          <showLegendKey val="0"/>
          <showVal val="0"/>
          <showCatName val="0"/>
          <showSerName val="0"/>
          <showPercent val="0"/>
          <showBubbleSize val="0"/>
        </dLbls>
        <gapWidth val="150"/>
        <axId val="10"/>
        <axId val="100"/>
      </barChart>
      <catAx>
        <axId val="10"/>
        <scaling>
          <orientation val="minMax"/>
        </scaling>
        <delete val="1"/>
        <axPos val="b"/>
        <title>
          <tx>
            <rich>
              <a:bodyPr xmlns:a="http://schemas.openxmlformats.org/drawingml/2006/main"/>
              <a:lstStyle xmlns:a="http://schemas.openxmlformats.org/drawingml/2006/main"/>
              <a:p xmlns:a="http://schemas.openxmlformats.org/drawingml/2006/main">
                <a:pPr>
                  <a:defRPr/>
                </a:pPr>
                <a:r>
                  <a:rPr lang="en-GB"/>
                  <a:t>Project Year</a:t>
                </a:r>
              </a:p>
            </rich>
          </tx>
          <overlay val="1"/>
        </title>
        <numFmt formatCode="General" sourceLinked="1"/>
        <majorTickMark val="none"/>
        <minorTickMark val="none"/>
        <tickLblPos val="nextTo"/>
        <crossAx val="100"/>
        <crosses val="autoZero"/>
        <auto val="1"/>
        <lblAlgn val="ctr"/>
        <lblOffset val="100"/>
        <noMultiLvlLbl val="1"/>
      </catAx>
      <valAx>
        <axId val="100"/>
        <scaling>
          <orientation val="minMax"/>
        </scaling>
        <delete val="1"/>
        <axPos val="l"/>
        <majorGridlines/>
        <title>
          <tx>
            <rich>
              <a:bodyPr xmlns:a="http://schemas.openxmlformats.org/drawingml/2006/main"/>
              <a:lstStyle xmlns:a="http://schemas.openxmlformats.org/drawingml/2006/main"/>
              <a:p xmlns:a="http://schemas.openxmlformats.org/drawingml/2006/main">
                <a:pPr>
                  <a:defRPr/>
                </a:pPr>
                <a:r>
                  <a:rPr lang="en-GB"/>
                  <a:t>Capture Price (EUR/MWh)</a:t>
                </a:r>
              </a:p>
            </rich>
          </tx>
          <overlay val="1"/>
        </title>
        <numFmt formatCode="General" sourceLinked="1"/>
        <majorTickMark val="none"/>
        <minorTickMark val="none"/>
        <tickLblPos val="nextTo"/>
        <crossAx val="10"/>
        <crosses val="autoZero"/>
        <crossBetween val="between"/>
      </valAx>
    </plotArea>
    <legend>
      <legendPos val="r"/>
      <overlay val="1"/>
    </legend>
    <plotVisOnly val="1"/>
    <dispBlanksAs val="gap"/>
  </chart>
</chartSpace>
</file>

<file path=xl/charts/chart212.xml><?xml version="1.0" encoding="utf-8"?>
<chartSpace xmlns="http://schemas.openxmlformats.org/drawingml/2006/chart">
  <chart>
    <title>
      <tx>
        <rich>
          <a:bodyPr xmlns:a="http://schemas.openxmlformats.org/drawingml/2006/main"/>
          <a:lstStyle xmlns:a="http://schemas.openxmlformats.org/drawingml/2006/main"/>
          <a:p xmlns:a="http://schemas.openxmlformats.org/drawingml/2006/main">
            <a:pPr>
              <a:defRPr/>
            </a:pPr>
            <a:r>
              <a:rPr lang="en-GB"/>
              <a:t>P50/P90/P99 at Key Project Horizons — DK1 Primary</a:t>
            </a:r>
          </a:p>
        </rich>
      </tx>
      <overlay val="1"/>
    </title>
    <plotArea>
      <layout/>
      <barChart>
        <barDir val="col"/>
        <grouping val="clustered"/>
        <varyColors val="1"/>
        <ser>
          <idx val="0"/>
          <order val="0"/>
          <tx>
            <strRef>
              <f>Simulation!$L$2</f>
              <strCache>
                <ptCount val="1"/>
                <pt idx="0">
                  <v>P50</v>
                </pt>
              </strCache>
            </strRef>
          </tx>
          <spPr>
            <a:solidFill xmlns:a="http://schemas.openxmlformats.org/drawingml/2006/main">
              <a:srgbClr val="2E75B6"/>
            </a:solidFill>
            <a:ln xmlns:a="http://schemas.openxmlformats.org/drawingml/2006/main">
              <a:prstDash val="solid"/>
            </a:ln>
          </spPr>
          <invertIfNegative val="1"/>
          <cat>
            <strRef>
              <f>Simulation!$K$3:$K$7</f>
              <strCache>
                <ptCount val="5"/>
                <pt idx="0">
                  <v>Year 5</v>
                </pt>
                <pt idx="1">
                  <v>Year 10</v>
                </pt>
                <pt idx="2">
                  <v>Year 15</v>
                </pt>
                <pt idx="3">
                  <v>Year 20</v>
                </pt>
                <pt idx="4">
                  <v>Year 25</v>
                </pt>
              </strCache>
            </strRef>
          </cat>
          <val>
            <numRef>
              <f>Simulation!$L$3:$L$7</f>
              <numCache>
                <formatCode>General</formatCode>
                <ptCount val="5"/>
                <pt idx="0">
                  <v>62.42</v>
                </pt>
                <pt idx="1">
                  <v>60.67</v>
                </pt>
                <pt idx="2">
                  <v>58.52</v>
                </pt>
                <pt idx="3">
                  <v>57.43</v>
                </pt>
                <pt idx="4">
                  <v>54.79</v>
                </pt>
              </numCache>
            </numRef>
          </val>
        </ser>
        <ser>
          <idx val="1"/>
          <order val="1"/>
          <tx>
            <strRef>
              <f>Simulation!$M$2</f>
              <strCache>
                <ptCount val="1"/>
                <pt idx="0">
                  <v>P90</v>
                </pt>
              </strCache>
            </strRef>
          </tx>
          <spPr>
            <a:solidFill xmlns:a="http://schemas.openxmlformats.org/drawingml/2006/main">
              <a:srgbClr val="FF8C00"/>
            </a:solidFill>
            <a:ln xmlns:a="http://schemas.openxmlformats.org/drawingml/2006/main">
              <a:prstDash val="solid"/>
            </a:ln>
          </spPr>
          <invertIfNegative val="1"/>
          <cat>
            <strRef>
              <f>Simulation!$K$3:$K$7</f>
              <strCache>
                <ptCount val="5"/>
                <pt idx="0">
                  <v>Year 5</v>
                </pt>
                <pt idx="1">
                  <v>Year 10</v>
                </pt>
                <pt idx="2">
                  <v>Year 15</v>
                </pt>
                <pt idx="3">
                  <v>Year 20</v>
                </pt>
                <pt idx="4">
                  <v>Year 25</v>
                </pt>
              </strCache>
            </strRef>
          </cat>
          <val>
            <numRef>
              <f>Simulation!$M$3:$M$7</f>
              <numCache>
                <formatCode>General</formatCode>
                <ptCount val="5"/>
                <pt idx="0">
                  <v>19.97</v>
                </pt>
                <pt idx="1">
                  <v>18.27</v>
                </pt>
                <pt idx="2">
                  <v>16.52</v>
                </pt>
                <pt idx="3">
                  <v>14.71</v>
                </pt>
                <pt idx="4">
                  <v>12.55</v>
                </pt>
              </numCache>
            </numRef>
          </val>
        </ser>
        <ser>
          <idx val="2"/>
          <order val="2"/>
          <tx>
            <strRef>
              <f>Simulation!$N$2</f>
              <strCache>
                <ptCount val="1"/>
                <pt idx="0">
                  <v>P99</v>
                </pt>
              </strCache>
            </strRef>
          </tx>
          <spPr>
            <a:solidFill xmlns:a="http://schemas.openxmlformats.org/drawingml/2006/main">
              <a:srgbClr val="C00000"/>
            </a:solidFill>
            <a:ln xmlns:a="http://schemas.openxmlformats.org/drawingml/2006/main">
              <a:prstDash val="solid"/>
            </a:ln>
          </spPr>
          <invertIfNegative val="1"/>
          <cat>
            <strRef>
              <f>Simulation!$K$3:$K$7</f>
              <strCache>
                <ptCount val="5"/>
                <pt idx="0">
                  <v>Year 5</v>
                </pt>
                <pt idx="1">
                  <v>Year 10</v>
                </pt>
                <pt idx="2">
                  <v>Year 15</v>
                </pt>
                <pt idx="3">
                  <v>Year 20</v>
                </pt>
                <pt idx="4">
                  <v>Year 25</v>
                </pt>
              </strCache>
            </strRef>
          </cat>
          <val>
            <numRef>
              <f>Simulation!$N$3:$N$7</f>
              <numCache>
                <formatCode>General</formatCode>
                <ptCount val="5"/>
                <pt idx="0">
                  <v>-14.85</v>
                </pt>
                <pt idx="1">
                  <v>-17.66</v>
                </pt>
                <pt idx="2">
                  <v>-15.45</v>
                </pt>
                <pt idx="3">
                  <v>-19.55</v>
                </pt>
                <pt idx="4">
                  <v>-22.5</v>
                </pt>
              </numCache>
            </numRef>
          </val>
        </ser>
        <dLbls>
          <showLegendKey val="0"/>
          <showVal val="0"/>
          <showCatName val="0"/>
          <showSerName val="0"/>
          <showPercent val="0"/>
          <showBubbleSize val="0"/>
        </dLbls>
        <gapWidth val="150"/>
        <axId val="10"/>
        <axId val="100"/>
      </barChart>
      <catAx>
        <axId val="10"/>
        <scaling>
          <orientation val="minMax"/>
        </scaling>
        <delete val="1"/>
        <axPos val="b"/>
        <title>
          <tx>
            <rich>
              <a:bodyPr xmlns:a="http://schemas.openxmlformats.org/drawingml/2006/main"/>
              <a:lstStyle xmlns:a="http://schemas.openxmlformats.org/drawingml/2006/main"/>
              <a:p xmlns:a="http://schemas.openxmlformats.org/drawingml/2006/main">
                <a:pPr>
                  <a:defRPr/>
                </a:pPr>
                <a:r>
                  <a:rPr lang="en-GB"/>
                  <a:t>Project Year</a:t>
                </a:r>
              </a:p>
            </rich>
          </tx>
          <overlay val="1"/>
        </title>
        <numFmt formatCode="General" sourceLinked="1"/>
        <majorTickMark val="none"/>
        <minorTickMark val="none"/>
        <tickLblPos val="nextTo"/>
        <crossAx val="100"/>
        <crosses val="autoZero"/>
        <auto val="1"/>
        <lblAlgn val="ctr"/>
        <lblOffset val="100"/>
        <noMultiLvlLbl val="1"/>
      </catAx>
      <valAx>
        <axId val="100"/>
        <scaling>
          <orientation val="minMax"/>
        </scaling>
        <delete val="1"/>
        <axPos val="l"/>
        <majorGridlines/>
        <title>
          <tx>
            <rich>
              <a:bodyPr xmlns:a="http://schemas.openxmlformats.org/drawingml/2006/main"/>
              <a:lstStyle xmlns:a="http://schemas.openxmlformats.org/drawingml/2006/main"/>
              <a:p xmlns:a="http://schemas.openxmlformats.org/drawingml/2006/main">
                <a:pPr>
                  <a:defRPr/>
                </a:pPr>
                <a:r>
                  <a:rPr lang="en-GB"/>
                  <a:t>Capture Price (EUR/MWh)</a:t>
                </a:r>
              </a:p>
            </rich>
          </tx>
          <overlay val="1"/>
        </title>
        <numFmt formatCode="General" sourceLinked="1"/>
        <majorTickMark val="none"/>
        <minorTickMark val="none"/>
        <tickLblPos val="nextTo"/>
        <crossAx val="10"/>
        <crosses val="autoZero"/>
        <crossBetween val="between"/>
      </valAx>
    </plotArea>
    <legend>
      <legendPos val="r"/>
      <overlay val="1"/>
    </legend>
    <plotVisOnly val="1"/>
    <dispBlanksAs val="gap"/>
  </chart>
</chartSpace>
</file>

<file path=xl/charts/chart213.xml><?xml version="1.0" encoding="utf-8"?>
<chartSpace xmlns="http://schemas.openxmlformats.org/drawingml/2006/chart">
  <chart>
    <title>
      <tx>
        <rich>
          <a:bodyPr xmlns:a="http://schemas.openxmlformats.org/drawingml/2006/main"/>
          <a:lstStyle xmlns:a="http://schemas.openxmlformats.org/drawingml/2006/main"/>
          <a:p xmlns:a="http://schemas.openxmlformats.org/drawingml/2006/main">
            <a:pPr>
              <a:defRPr/>
            </a:pPr>
            <a:r>
              <a:rPr lang="en-GB"/>
              <a:t>P50/P90/P99 at Key Project Horizons — DK1 Primary</a:t>
            </a:r>
          </a:p>
        </rich>
      </tx>
      <overlay val="1"/>
    </title>
    <plotArea>
      <layout/>
      <barChart>
        <barDir val="col"/>
        <grouping val="clustered"/>
        <varyColors val="1"/>
        <ser>
          <idx val="0"/>
          <order val="0"/>
          <tx>
            <strRef>
              <f>Simulation!$L$2</f>
              <strCache>
                <ptCount val="1"/>
                <pt idx="0">
                  <v>P50</v>
                </pt>
              </strCache>
            </strRef>
          </tx>
          <spPr>
            <a:solidFill xmlns:a="http://schemas.openxmlformats.org/drawingml/2006/main">
              <a:srgbClr val="2E75B6"/>
            </a:solidFill>
            <a:ln xmlns:a="http://schemas.openxmlformats.org/drawingml/2006/main">
              <a:prstDash val="solid"/>
            </a:ln>
          </spPr>
          <invertIfNegative val="1"/>
          <cat>
            <strRef>
              <f>Simulation!$K$3:$K$7</f>
              <strCache>
                <ptCount val="5"/>
                <pt idx="0">
                  <v>Year 5</v>
                </pt>
                <pt idx="1">
                  <v>Year 10</v>
                </pt>
                <pt idx="2">
                  <v>Year 15</v>
                </pt>
                <pt idx="3">
                  <v>Year 20</v>
                </pt>
                <pt idx="4">
                  <v>Year 25</v>
                </pt>
              </strCache>
            </strRef>
          </cat>
          <val>
            <numRef>
              <f>Simulation!$L$3:$L$7</f>
              <numCache>
                <formatCode>General</formatCode>
                <ptCount val="5"/>
                <pt idx="0">
                  <v>62.42</v>
                </pt>
                <pt idx="1">
                  <v>60.67</v>
                </pt>
                <pt idx="2">
                  <v>58.52</v>
                </pt>
                <pt idx="3">
                  <v>57.43</v>
                </pt>
                <pt idx="4">
                  <v>54.79</v>
                </pt>
              </numCache>
            </numRef>
          </val>
        </ser>
        <ser>
          <idx val="1"/>
          <order val="1"/>
          <tx>
            <strRef>
              <f>Simulation!$M$2</f>
              <strCache>
                <ptCount val="1"/>
                <pt idx="0">
                  <v>P90</v>
                </pt>
              </strCache>
            </strRef>
          </tx>
          <spPr>
            <a:solidFill xmlns:a="http://schemas.openxmlformats.org/drawingml/2006/main">
              <a:srgbClr val="FF8C00"/>
            </a:solidFill>
            <a:ln xmlns:a="http://schemas.openxmlformats.org/drawingml/2006/main">
              <a:prstDash val="solid"/>
            </a:ln>
          </spPr>
          <invertIfNegative val="1"/>
          <cat>
            <strRef>
              <f>Simulation!$K$3:$K$7</f>
              <strCache>
                <ptCount val="5"/>
                <pt idx="0">
                  <v>Year 5</v>
                </pt>
                <pt idx="1">
                  <v>Year 10</v>
                </pt>
                <pt idx="2">
                  <v>Year 15</v>
                </pt>
                <pt idx="3">
                  <v>Year 20</v>
                </pt>
                <pt idx="4">
                  <v>Year 25</v>
                </pt>
              </strCache>
            </strRef>
          </cat>
          <val>
            <numRef>
              <f>Simulation!$M$3:$M$7</f>
              <numCache>
                <formatCode>General</formatCode>
                <ptCount val="5"/>
                <pt idx="0">
                  <v>19.97</v>
                </pt>
                <pt idx="1">
                  <v>18.27</v>
                </pt>
                <pt idx="2">
                  <v>16.52</v>
                </pt>
                <pt idx="3">
                  <v>14.71</v>
                </pt>
                <pt idx="4">
                  <v>12.55</v>
                </pt>
              </numCache>
            </numRef>
          </val>
        </ser>
        <ser>
          <idx val="2"/>
          <order val="2"/>
          <tx>
            <strRef>
              <f>Simulation!$N$2</f>
              <strCache>
                <ptCount val="1"/>
                <pt idx="0">
                  <v>P99</v>
                </pt>
              </strCache>
            </strRef>
          </tx>
          <spPr>
            <a:solidFill xmlns:a="http://schemas.openxmlformats.org/drawingml/2006/main">
              <a:srgbClr val="C00000"/>
            </a:solidFill>
            <a:ln xmlns:a="http://schemas.openxmlformats.org/drawingml/2006/main">
              <a:prstDash val="solid"/>
            </a:ln>
          </spPr>
          <invertIfNegative val="1"/>
          <cat>
            <strRef>
              <f>Simulation!$K$3:$K$7</f>
              <strCache>
                <ptCount val="5"/>
                <pt idx="0">
                  <v>Year 5</v>
                </pt>
                <pt idx="1">
                  <v>Year 10</v>
                </pt>
                <pt idx="2">
                  <v>Year 15</v>
                </pt>
                <pt idx="3">
                  <v>Year 20</v>
                </pt>
                <pt idx="4">
                  <v>Year 25</v>
                </pt>
              </strCache>
            </strRef>
          </cat>
          <val>
            <numRef>
              <f>Simulation!$N$3:$N$7</f>
              <numCache>
                <formatCode>General</formatCode>
                <ptCount val="5"/>
                <pt idx="0">
                  <v>-14.85</v>
                </pt>
                <pt idx="1">
                  <v>-17.66</v>
                </pt>
                <pt idx="2">
                  <v>-15.45</v>
                </pt>
                <pt idx="3">
                  <v>-19.55</v>
                </pt>
                <pt idx="4">
                  <v>-22.5</v>
                </pt>
              </numCache>
            </numRef>
          </val>
        </ser>
        <dLbls>
          <showLegendKey val="0"/>
          <showVal val="0"/>
          <showCatName val="0"/>
          <showSerName val="0"/>
          <showPercent val="0"/>
          <showBubbleSize val="0"/>
        </dLbls>
        <gapWidth val="150"/>
        <axId val="10"/>
        <axId val="100"/>
      </barChart>
      <catAx>
        <axId val="10"/>
        <scaling>
          <orientation val="minMax"/>
        </scaling>
        <delete val="1"/>
        <axPos val="b"/>
        <title>
          <tx>
            <rich>
              <a:bodyPr xmlns:a="http://schemas.openxmlformats.org/drawingml/2006/main"/>
              <a:lstStyle xmlns:a="http://schemas.openxmlformats.org/drawingml/2006/main"/>
              <a:p xmlns:a="http://schemas.openxmlformats.org/drawingml/2006/main">
                <a:pPr>
                  <a:defRPr/>
                </a:pPr>
                <a:r>
                  <a:rPr lang="en-GB"/>
                  <a:t>Project Year</a:t>
                </a:r>
              </a:p>
            </rich>
          </tx>
          <overlay val="1"/>
        </title>
        <numFmt formatCode="General" sourceLinked="1"/>
        <majorTickMark val="none"/>
        <minorTickMark val="none"/>
        <tickLblPos val="nextTo"/>
        <crossAx val="100"/>
        <crosses val="autoZero"/>
        <auto val="1"/>
        <lblAlgn val="ctr"/>
        <lblOffset val="100"/>
        <noMultiLvlLbl val="1"/>
      </catAx>
      <valAx>
        <axId val="100"/>
        <scaling>
          <orientation val="minMax"/>
        </scaling>
        <delete val="1"/>
        <axPos val="l"/>
        <majorGridlines/>
        <title>
          <tx>
            <rich>
              <a:bodyPr xmlns:a="http://schemas.openxmlformats.org/drawingml/2006/main"/>
              <a:lstStyle xmlns:a="http://schemas.openxmlformats.org/drawingml/2006/main"/>
              <a:p xmlns:a="http://schemas.openxmlformats.org/drawingml/2006/main">
                <a:pPr>
                  <a:defRPr/>
                </a:pPr>
                <a:r>
                  <a:rPr lang="en-GB"/>
                  <a:t>Capture Price (EUR/MWh)</a:t>
                </a:r>
              </a:p>
            </rich>
          </tx>
          <overlay val="1"/>
        </title>
        <numFmt formatCode="General" sourceLinked="1"/>
        <majorTickMark val="none"/>
        <minorTickMark val="none"/>
        <tickLblPos val="nextTo"/>
        <crossAx val="10"/>
        <crosses val="autoZero"/>
        <crossBetween val="between"/>
      </valAx>
    </plotArea>
    <legend>
      <legendPos val="r"/>
      <overlay val="1"/>
    </legend>
    <plotVisOnly val="1"/>
    <dispBlanksAs val="gap"/>
  </chart>
</chartSpace>
</file>

<file path=xl/charts/chart214.xml><?xml version="1.0" encoding="utf-8"?>
<chartSpace xmlns="http://schemas.openxmlformats.org/drawingml/2006/chart">
  <chart>
    <title>
      <tx>
        <rich>
          <a:bodyPr xmlns:a="http://schemas.openxmlformats.org/drawingml/2006/main"/>
          <a:lstStyle xmlns:a="http://schemas.openxmlformats.org/drawingml/2006/main"/>
          <a:p xmlns:a="http://schemas.openxmlformats.org/drawingml/2006/main">
            <a:pPr>
              <a:defRPr/>
            </a:pPr>
            <a:r>
              <a:rPr lang="en-GB"/>
              <a:t>P50/P90/P99 at Key Project Horizons — DK1 Primary</a:t>
            </a:r>
          </a:p>
        </rich>
      </tx>
      <overlay val="1"/>
    </title>
    <plotArea>
      <layout/>
      <barChart>
        <barDir val="col"/>
        <grouping val="clustered"/>
        <varyColors val="1"/>
        <ser>
          <idx val="0"/>
          <order val="0"/>
          <tx>
            <strRef>
              <f>Simulation!$L$2</f>
              <strCache>
                <ptCount val="1"/>
                <pt idx="0">
                  <v>P50</v>
                </pt>
              </strCache>
            </strRef>
          </tx>
          <spPr>
            <a:solidFill xmlns:a="http://schemas.openxmlformats.org/drawingml/2006/main">
              <a:srgbClr val="2E75B6"/>
            </a:solidFill>
            <a:ln xmlns:a="http://schemas.openxmlformats.org/drawingml/2006/main">
              <a:prstDash val="solid"/>
            </a:ln>
          </spPr>
          <invertIfNegative val="1"/>
          <cat>
            <strRef>
              <f>Simulation!$K$3:$K$7</f>
              <strCache>
                <ptCount val="5"/>
                <pt idx="0">
                  <v>Year 5</v>
                </pt>
                <pt idx="1">
                  <v>Year 10</v>
                </pt>
                <pt idx="2">
                  <v>Year 15</v>
                </pt>
                <pt idx="3">
                  <v>Year 20</v>
                </pt>
                <pt idx="4">
                  <v>Year 25</v>
                </pt>
              </strCache>
            </strRef>
          </cat>
          <val>
            <numRef>
              <f>Simulation!$L$3:$L$7</f>
              <numCache>
                <formatCode>General</formatCode>
                <ptCount val="5"/>
                <pt idx="0">
                  <v>62.42</v>
                </pt>
                <pt idx="1">
                  <v>60.67</v>
                </pt>
                <pt idx="2">
                  <v>58.52</v>
                </pt>
                <pt idx="3">
                  <v>57.43</v>
                </pt>
                <pt idx="4">
                  <v>54.79</v>
                </pt>
              </numCache>
            </numRef>
          </val>
        </ser>
        <ser>
          <idx val="1"/>
          <order val="1"/>
          <tx>
            <strRef>
              <f>Simulation!$M$2</f>
              <strCache>
                <ptCount val="1"/>
                <pt idx="0">
                  <v>P90</v>
                </pt>
              </strCache>
            </strRef>
          </tx>
          <spPr>
            <a:solidFill xmlns:a="http://schemas.openxmlformats.org/drawingml/2006/main">
              <a:srgbClr val="FF8C00"/>
            </a:solidFill>
            <a:ln xmlns:a="http://schemas.openxmlformats.org/drawingml/2006/main">
              <a:prstDash val="solid"/>
            </a:ln>
          </spPr>
          <invertIfNegative val="1"/>
          <cat>
            <strRef>
              <f>Simulation!$K$3:$K$7</f>
              <strCache>
                <ptCount val="5"/>
                <pt idx="0">
                  <v>Year 5</v>
                </pt>
                <pt idx="1">
                  <v>Year 10</v>
                </pt>
                <pt idx="2">
                  <v>Year 15</v>
                </pt>
                <pt idx="3">
                  <v>Year 20</v>
                </pt>
                <pt idx="4">
                  <v>Year 25</v>
                </pt>
              </strCache>
            </strRef>
          </cat>
          <val>
            <numRef>
              <f>Simulation!$M$3:$M$7</f>
              <numCache>
                <formatCode>General</formatCode>
                <ptCount val="5"/>
                <pt idx="0">
                  <v>19.97</v>
                </pt>
                <pt idx="1">
                  <v>18.27</v>
                </pt>
                <pt idx="2">
                  <v>16.52</v>
                </pt>
                <pt idx="3">
                  <v>14.71</v>
                </pt>
                <pt idx="4">
                  <v>12.55</v>
                </pt>
              </numCache>
            </numRef>
          </val>
        </ser>
        <ser>
          <idx val="2"/>
          <order val="2"/>
          <tx>
            <strRef>
              <f>Simulation!$N$2</f>
              <strCache>
                <ptCount val="1"/>
                <pt idx="0">
                  <v>P99</v>
                </pt>
              </strCache>
            </strRef>
          </tx>
          <spPr>
            <a:solidFill xmlns:a="http://schemas.openxmlformats.org/drawingml/2006/main">
              <a:srgbClr val="C00000"/>
            </a:solidFill>
            <a:ln xmlns:a="http://schemas.openxmlformats.org/drawingml/2006/main">
              <a:prstDash val="solid"/>
            </a:ln>
          </spPr>
          <invertIfNegative val="1"/>
          <cat>
            <strRef>
              <f>Simulation!$K$3:$K$7</f>
              <strCache>
                <ptCount val="5"/>
                <pt idx="0">
                  <v>Year 5</v>
                </pt>
                <pt idx="1">
                  <v>Year 10</v>
                </pt>
                <pt idx="2">
                  <v>Year 15</v>
                </pt>
                <pt idx="3">
                  <v>Year 20</v>
                </pt>
                <pt idx="4">
                  <v>Year 25</v>
                </pt>
              </strCache>
            </strRef>
          </cat>
          <val>
            <numRef>
              <f>Simulation!$N$3:$N$7</f>
              <numCache>
                <formatCode>General</formatCode>
                <ptCount val="5"/>
                <pt idx="0">
                  <v>-14.85</v>
                </pt>
                <pt idx="1">
                  <v>-17.66</v>
                </pt>
                <pt idx="2">
                  <v>-15.45</v>
                </pt>
                <pt idx="3">
                  <v>-19.55</v>
                </pt>
                <pt idx="4">
                  <v>-22.5</v>
                </pt>
              </numCache>
            </numRef>
          </val>
        </ser>
        <dLbls>
          <showLegendKey val="0"/>
          <showVal val="0"/>
          <showCatName val="0"/>
          <showSerName val="0"/>
          <showPercent val="0"/>
          <showBubbleSize val="0"/>
        </dLbls>
        <gapWidth val="150"/>
        <axId val="10"/>
        <axId val="100"/>
      </barChart>
      <catAx>
        <axId val="10"/>
        <scaling>
          <orientation val="minMax"/>
        </scaling>
        <delete val="1"/>
        <axPos val="b"/>
        <title>
          <tx>
            <rich>
              <a:bodyPr xmlns:a="http://schemas.openxmlformats.org/drawingml/2006/main"/>
              <a:lstStyle xmlns:a="http://schemas.openxmlformats.org/drawingml/2006/main"/>
              <a:p xmlns:a="http://schemas.openxmlformats.org/drawingml/2006/main">
                <a:pPr>
                  <a:defRPr/>
                </a:pPr>
                <a:r>
                  <a:rPr lang="en-GB"/>
                  <a:t>Project Year</a:t>
                </a:r>
              </a:p>
            </rich>
          </tx>
          <overlay val="1"/>
        </title>
        <numFmt formatCode="General" sourceLinked="1"/>
        <majorTickMark val="none"/>
        <minorTickMark val="none"/>
        <tickLblPos val="nextTo"/>
        <crossAx val="100"/>
        <crosses val="autoZero"/>
        <auto val="1"/>
        <lblAlgn val="ctr"/>
        <lblOffset val="100"/>
        <noMultiLvlLbl val="1"/>
      </catAx>
      <valAx>
        <axId val="100"/>
        <scaling>
          <orientation val="minMax"/>
        </scaling>
        <delete val="1"/>
        <axPos val="l"/>
        <majorGridlines/>
        <title>
          <tx>
            <rich>
              <a:bodyPr xmlns:a="http://schemas.openxmlformats.org/drawingml/2006/main"/>
              <a:lstStyle xmlns:a="http://schemas.openxmlformats.org/drawingml/2006/main"/>
              <a:p xmlns:a="http://schemas.openxmlformats.org/drawingml/2006/main">
                <a:pPr>
                  <a:defRPr/>
                </a:pPr>
                <a:r>
                  <a:rPr lang="en-GB"/>
                  <a:t>Capture Price (EUR/MWh)</a:t>
                </a:r>
              </a:p>
            </rich>
          </tx>
          <overlay val="1"/>
        </title>
        <numFmt formatCode="General" sourceLinked="1"/>
        <majorTickMark val="none"/>
        <minorTickMark val="none"/>
        <tickLblPos val="nextTo"/>
        <crossAx val="10"/>
        <crosses val="autoZero"/>
        <crossBetween val="between"/>
      </valAx>
    </plotArea>
    <legend>
      <legendPos val="r"/>
      <overlay val="1"/>
    </legend>
    <plotVisOnly val="1"/>
    <dispBlanksAs val="gap"/>
  </chart>
</chartSpace>
</file>

<file path=xl/charts/chart215.xml><?xml version="1.0" encoding="utf-8"?>
<chartSpace xmlns="http://schemas.openxmlformats.org/drawingml/2006/chart">
  <chart>
    <title>
      <tx>
        <rich>
          <a:bodyPr xmlns:a="http://schemas.openxmlformats.org/drawingml/2006/main"/>
          <a:lstStyle xmlns:a="http://schemas.openxmlformats.org/drawingml/2006/main"/>
          <a:p xmlns:a="http://schemas.openxmlformats.org/drawingml/2006/main">
            <a:pPr>
              <a:defRPr/>
            </a:pPr>
            <a:r>
              <a:rPr lang="en-GB"/>
              <a:t>P50/P90/P99 at Key Project Horizons — DK1 Primary</a:t>
            </a:r>
          </a:p>
        </rich>
      </tx>
      <overlay val="1"/>
    </title>
    <plotArea>
      <layout/>
      <barChart>
        <barDir val="col"/>
        <grouping val="clustered"/>
        <varyColors val="1"/>
        <ser>
          <idx val="0"/>
          <order val="0"/>
          <tx>
            <strRef>
              <f>Simulation!$L$2</f>
              <strCache>
                <ptCount val="1"/>
                <pt idx="0">
                  <v>P50</v>
                </pt>
              </strCache>
            </strRef>
          </tx>
          <spPr>
            <a:solidFill xmlns:a="http://schemas.openxmlformats.org/drawingml/2006/main">
              <a:srgbClr val="2E75B6"/>
            </a:solidFill>
            <a:ln xmlns:a="http://schemas.openxmlformats.org/drawingml/2006/main">
              <a:prstDash val="solid"/>
            </a:ln>
          </spPr>
          <invertIfNegative val="1"/>
          <cat>
            <strRef>
              <f>Simulation!$K$3:$K$7</f>
              <strCache>
                <ptCount val="5"/>
                <pt idx="0">
                  <v>Year 5</v>
                </pt>
                <pt idx="1">
                  <v>Year 10</v>
                </pt>
                <pt idx="2">
                  <v>Year 15</v>
                </pt>
                <pt idx="3">
                  <v>Year 20</v>
                </pt>
                <pt idx="4">
                  <v>Year 25</v>
                </pt>
              </strCache>
            </strRef>
          </cat>
          <val>
            <numRef>
              <f>Simulation!$L$3:$L$7</f>
              <numCache>
                <formatCode>General</formatCode>
                <ptCount val="5"/>
                <pt idx="0">
                  <v>62.42</v>
                </pt>
                <pt idx="1">
                  <v>60.67</v>
                </pt>
                <pt idx="2">
                  <v>58.52</v>
                </pt>
                <pt idx="3">
                  <v>57.43</v>
                </pt>
                <pt idx="4">
                  <v>54.79</v>
                </pt>
              </numCache>
            </numRef>
          </val>
        </ser>
        <ser>
          <idx val="1"/>
          <order val="1"/>
          <tx>
            <strRef>
              <f>Simulation!$M$2</f>
              <strCache>
                <ptCount val="1"/>
                <pt idx="0">
                  <v>P90</v>
                </pt>
              </strCache>
            </strRef>
          </tx>
          <spPr>
            <a:solidFill xmlns:a="http://schemas.openxmlformats.org/drawingml/2006/main">
              <a:srgbClr val="FF8C00"/>
            </a:solidFill>
            <a:ln xmlns:a="http://schemas.openxmlformats.org/drawingml/2006/main">
              <a:prstDash val="solid"/>
            </a:ln>
          </spPr>
          <invertIfNegative val="1"/>
          <cat>
            <strRef>
              <f>Simulation!$K$3:$K$7</f>
              <strCache>
                <ptCount val="5"/>
                <pt idx="0">
                  <v>Year 5</v>
                </pt>
                <pt idx="1">
                  <v>Year 10</v>
                </pt>
                <pt idx="2">
                  <v>Year 15</v>
                </pt>
                <pt idx="3">
                  <v>Year 20</v>
                </pt>
                <pt idx="4">
                  <v>Year 25</v>
                </pt>
              </strCache>
            </strRef>
          </cat>
          <val>
            <numRef>
              <f>Simulation!$M$3:$M$7</f>
              <numCache>
                <formatCode>General</formatCode>
                <ptCount val="5"/>
                <pt idx="0">
                  <v>19.97</v>
                </pt>
                <pt idx="1">
                  <v>18.27</v>
                </pt>
                <pt idx="2">
                  <v>16.52</v>
                </pt>
                <pt idx="3">
                  <v>14.71</v>
                </pt>
                <pt idx="4">
                  <v>12.55</v>
                </pt>
              </numCache>
            </numRef>
          </val>
        </ser>
        <ser>
          <idx val="2"/>
          <order val="2"/>
          <tx>
            <strRef>
              <f>Simulation!$N$2</f>
              <strCache>
                <ptCount val="1"/>
                <pt idx="0">
                  <v>P99</v>
                </pt>
              </strCache>
            </strRef>
          </tx>
          <spPr>
            <a:solidFill xmlns:a="http://schemas.openxmlformats.org/drawingml/2006/main">
              <a:srgbClr val="C00000"/>
            </a:solidFill>
            <a:ln xmlns:a="http://schemas.openxmlformats.org/drawingml/2006/main">
              <a:prstDash val="solid"/>
            </a:ln>
          </spPr>
          <invertIfNegative val="1"/>
          <cat>
            <strRef>
              <f>Simulation!$K$3:$K$7</f>
              <strCache>
                <ptCount val="5"/>
                <pt idx="0">
                  <v>Year 5</v>
                </pt>
                <pt idx="1">
                  <v>Year 10</v>
                </pt>
                <pt idx="2">
                  <v>Year 15</v>
                </pt>
                <pt idx="3">
                  <v>Year 20</v>
                </pt>
                <pt idx="4">
                  <v>Year 25</v>
                </pt>
              </strCache>
            </strRef>
          </cat>
          <val>
            <numRef>
              <f>Simulation!$N$3:$N$7</f>
              <numCache>
                <formatCode>General</formatCode>
                <ptCount val="5"/>
                <pt idx="0">
                  <v>-14.85</v>
                </pt>
                <pt idx="1">
                  <v>-17.66</v>
                </pt>
                <pt idx="2">
                  <v>-15.45</v>
                </pt>
                <pt idx="3">
                  <v>-19.55</v>
                </pt>
                <pt idx="4">
                  <v>-22.5</v>
                </pt>
              </numCache>
            </numRef>
          </val>
        </ser>
        <dLbls>
          <showLegendKey val="0"/>
          <showVal val="0"/>
          <showCatName val="0"/>
          <showSerName val="0"/>
          <showPercent val="0"/>
          <showBubbleSize val="0"/>
        </dLbls>
        <gapWidth val="150"/>
        <axId val="10"/>
        <axId val="100"/>
      </barChart>
      <catAx>
        <axId val="10"/>
        <scaling>
          <orientation val="minMax"/>
        </scaling>
        <delete val="1"/>
        <axPos val="b"/>
        <title>
          <tx>
            <rich>
              <a:bodyPr xmlns:a="http://schemas.openxmlformats.org/drawingml/2006/main"/>
              <a:lstStyle xmlns:a="http://schemas.openxmlformats.org/drawingml/2006/main"/>
              <a:p xmlns:a="http://schemas.openxmlformats.org/drawingml/2006/main">
                <a:pPr>
                  <a:defRPr/>
                </a:pPr>
                <a:r>
                  <a:rPr lang="en-GB"/>
                  <a:t>Project Year</a:t>
                </a:r>
              </a:p>
            </rich>
          </tx>
          <overlay val="1"/>
        </title>
        <numFmt formatCode="General" sourceLinked="1"/>
        <majorTickMark val="none"/>
        <minorTickMark val="none"/>
        <tickLblPos val="nextTo"/>
        <crossAx val="100"/>
        <crosses val="autoZero"/>
        <auto val="1"/>
        <lblAlgn val="ctr"/>
        <lblOffset val="100"/>
        <noMultiLvlLbl val="1"/>
      </catAx>
      <valAx>
        <axId val="100"/>
        <scaling>
          <orientation val="minMax"/>
        </scaling>
        <delete val="1"/>
        <axPos val="l"/>
        <majorGridlines/>
        <title>
          <tx>
            <rich>
              <a:bodyPr xmlns:a="http://schemas.openxmlformats.org/drawingml/2006/main"/>
              <a:lstStyle xmlns:a="http://schemas.openxmlformats.org/drawingml/2006/main"/>
              <a:p xmlns:a="http://schemas.openxmlformats.org/drawingml/2006/main">
                <a:pPr>
                  <a:defRPr/>
                </a:pPr>
                <a:r>
                  <a:rPr lang="en-GB"/>
                  <a:t>Capture Price (EUR/MWh)</a:t>
                </a:r>
              </a:p>
            </rich>
          </tx>
          <overlay val="1"/>
        </title>
        <numFmt formatCode="General" sourceLinked="1"/>
        <majorTickMark val="none"/>
        <minorTickMark val="none"/>
        <tickLblPos val="nextTo"/>
        <crossAx val="10"/>
        <crosses val="autoZero"/>
        <crossBetween val="between"/>
      </valAx>
    </plotArea>
    <legend>
      <legendPos val="r"/>
      <overlay val="1"/>
    </legend>
    <plotVisOnly val="1"/>
    <dispBlanksAs val="gap"/>
  </chart>
</chartSpace>
</file>

<file path=xl/charts/chart216.xml><?xml version="1.0" encoding="utf-8"?>
<chartSpace xmlns="http://schemas.openxmlformats.org/drawingml/2006/chart">
  <chart>
    <title>
      <tx>
        <rich>
          <a:bodyPr xmlns:a="http://schemas.openxmlformats.org/drawingml/2006/main"/>
          <a:lstStyle xmlns:a="http://schemas.openxmlformats.org/drawingml/2006/main"/>
          <a:p xmlns:a="http://schemas.openxmlformats.org/drawingml/2006/main">
            <a:pPr>
              <a:defRPr/>
            </a:pPr>
            <a:r>
              <a:rPr lang="en-GB"/>
              <a:t>P50/P90/P99 at Key Project Horizons — DK1 Primary</a:t>
            </a:r>
          </a:p>
        </rich>
      </tx>
      <overlay val="1"/>
    </title>
    <plotArea>
      <layout/>
      <barChart>
        <barDir val="col"/>
        <grouping val="clustered"/>
        <varyColors val="1"/>
        <ser>
          <idx val="0"/>
          <order val="0"/>
          <tx>
            <strRef>
              <f>Simulation!$L$2</f>
              <strCache>
                <ptCount val="1"/>
                <pt idx="0">
                  <v>P50</v>
                </pt>
              </strCache>
            </strRef>
          </tx>
          <spPr>
            <a:solidFill xmlns:a="http://schemas.openxmlformats.org/drawingml/2006/main">
              <a:srgbClr val="2E75B6"/>
            </a:solidFill>
            <a:ln xmlns:a="http://schemas.openxmlformats.org/drawingml/2006/main">
              <a:prstDash val="solid"/>
            </a:ln>
          </spPr>
          <invertIfNegative val="1"/>
          <cat>
            <strRef>
              <f>Simulation!$K$3:$K$7</f>
              <strCache>
                <ptCount val="5"/>
                <pt idx="0">
                  <v>Year 5</v>
                </pt>
                <pt idx="1">
                  <v>Year 10</v>
                </pt>
                <pt idx="2">
                  <v>Year 15</v>
                </pt>
                <pt idx="3">
                  <v>Year 20</v>
                </pt>
                <pt idx="4">
                  <v>Year 25</v>
                </pt>
              </strCache>
            </strRef>
          </cat>
          <val>
            <numRef>
              <f>Simulation!$L$3:$L$7</f>
              <numCache>
                <formatCode>General</formatCode>
                <ptCount val="5"/>
                <pt idx="0">
                  <v>62.42</v>
                </pt>
                <pt idx="1">
                  <v>60.67</v>
                </pt>
                <pt idx="2">
                  <v>58.52</v>
                </pt>
                <pt idx="3">
                  <v>57.43</v>
                </pt>
                <pt idx="4">
                  <v>54.79</v>
                </pt>
              </numCache>
            </numRef>
          </val>
        </ser>
        <ser>
          <idx val="1"/>
          <order val="1"/>
          <tx>
            <strRef>
              <f>Simulation!$M$2</f>
              <strCache>
                <ptCount val="1"/>
                <pt idx="0">
                  <v>P90</v>
                </pt>
              </strCache>
            </strRef>
          </tx>
          <spPr>
            <a:solidFill xmlns:a="http://schemas.openxmlformats.org/drawingml/2006/main">
              <a:srgbClr val="FF8C00"/>
            </a:solidFill>
            <a:ln xmlns:a="http://schemas.openxmlformats.org/drawingml/2006/main">
              <a:prstDash val="solid"/>
            </a:ln>
          </spPr>
          <invertIfNegative val="1"/>
          <cat>
            <strRef>
              <f>Simulation!$K$3:$K$7</f>
              <strCache>
                <ptCount val="5"/>
                <pt idx="0">
                  <v>Year 5</v>
                </pt>
                <pt idx="1">
                  <v>Year 10</v>
                </pt>
                <pt idx="2">
                  <v>Year 15</v>
                </pt>
                <pt idx="3">
                  <v>Year 20</v>
                </pt>
                <pt idx="4">
                  <v>Year 25</v>
                </pt>
              </strCache>
            </strRef>
          </cat>
          <val>
            <numRef>
              <f>Simulation!$M$3:$M$7</f>
              <numCache>
                <formatCode>General</formatCode>
                <ptCount val="5"/>
                <pt idx="0">
                  <v>19.97</v>
                </pt>
                <pt idx="1">
                  <v>18.27</v>
                </pt>
                <pt idx="2">
                  <v>16.52</v>
                </pt>
                <pt idx="3">
                  <v>14.71</v>
                </pt>
                <pt idx="4">
                  <v>12.55</v>
                </pt>
              </numCache>
            </numRef>
          </val>
        </ser>
        <ser>
          <idx val="2"/>
          <order val="2"/>
          <tx>
            <strRef>
              <f>Simulation!$N$2</f>
              <strCache>
                <ptCount val="1"/>
                <pt idx="0">
                  <v>P99</v>
                </pt>
              </strCache>
            </strRef>
          </tx>
          <spPr>
            <a:solidFill xmlns:a="http://schemas.openxmlformats.org/drawingml/2006/main">
              <a:srgbClr val="C00000"/>
            </a:solidFill>
            <a:ln xmlns:a="http://schemas.openxmlformats.org/drawingml/2006/main">
              <a:prstDash val="solid"/>
            </a:ln>
          </spPr>
          <invertIfNegative val="1"/>
          <cat>
            <strRef>
              <f>Simulation!$K$3:$K$7</f>
              <strCache>
                <ptCount val="5"/>
                <pt idx="0">
                  <v>Year 5</v>
                </pt>
                <pt idx="1">
                  <v>Year 10</v>
                </pt>
                <pt idx="2">
                  <v>Year 15</v>
                </pt>
                <pt idx="3">
                  <v>Year 20</v>
                </pt>
                <pt idx="4">
                  <v>Year 25</v>
                </pt>
              </strCache>
            </strRef>
          </cat>
          <val>
            <numRef>
              <f>Simulation!$N$3:$N$7</f>
              <numCache>
                <formatCode>General</formatCode>
                <ptCount val="5"/>
                <pt idx="0">
                  <v>-14.85</v>
                </pt>
                <pt idx="1">
                  <v>-17.66</v>
                </pt>
                <pt idx="2">
                  <v>-15.45</v>
                </pt>
                <pt idx="3">
                  <v>-19.55</v>
                </pt>
                <pt idx="4">
                  <v>-22.5</v>
                </pt>
              </numCache>
            </numRef>
          </val>
        </ser>
        <dLbls>
          <showLegendKey val="0"/>
          <showVal val="0"/>
          <showCatName val="0"/>
          <showSerName val="0"/>
          <showPercent val="0"/>
          <showBubbleSize val="0"/>
        </dLbls>
        <gapWidth val="150"/>
        <axId val="10"/>
        <axId val="100"/>
      </barChart>
      <catAx>
        <axId val="10"/>
        <scaling>
          <orientation val="minMax"/>
        </scaling>
        <delete val="1"/>
        <axPos val="b"/>
        <title>
          <tx>
            <rich>
              <a:bodyPr xmlns:a="http://schemas.openxmlformats.org/drawingml/2006/main"/>
              <a:lstStyle xmlns:a="http://schemas.openxmlformats.org/drawingml/2006/main"/>
              <a:p xmlns:a="http://schemas.openxmlformats.org/drawingml/2006/main">
                <a:pPr>
                  <a:defRPr/>
                </a:pPr>
                <a:r>
                  <a:rPr lang="en-GB"/>
                  <a:t>Project Year</a:t>
                </a:r>
              </a:p>
            </rich>
          </tx>
          <overlay val="1"/>
        </title>
        <numFmt formatCode="General" sourceLinked="1"/>
        <majorTickMark val="none"/>
        <minorTickMark val="none"/>
        <tickLblPos val="nextTo"/>
        <crossAx val="100"/>
        <crosses val="autoZero"/>
        <auto val="1"/>
        <lblAlgn val="ctr"/>
        <lblOffset val="100"/>
        <noMultiLvlLbl val="1"/>
      </catAx>
      <valAx>
        <axId val="100"/>
        <scaling>
          <orientation val="minMax"/>
        </scaling>
        <delete val="1"/>
        <axPos val="l"/>
        <majorGridlines/>
        <title>
          <tx>
            <rich>
              <a:bodyPr xmlns:a="http://schemas.openxmlformats.org/drawingml/2006/main"/>
              <a:lstStyle xmlns:a="http://schemas.openxmlformats.org/drawingml/2006/main"/>
              <a:p xmlns:a="http://schemas.openxmlformats.org/drawingml/2006/main">
                <a:pPr>
                  <a:defRPr/>
                </a:pPr>
                <a:r>
                  <a:rPr lang="en-GB"/>
                  <a:t>Capture Price (EUR/MWh)</a:t>
                </a:r>
              </a:p>
            </rich>
          </tx>
          <overlay val="1"/>
        </title>
        <numFmt formatCode="General" sourceLinked="1"/>
        <majorTickMark val="none"/>
        <minorTickMark val="none"/>
        <tickLblPos val="nextTo"/>
        <crossAx val="10"/>
        <crosses val="autoZero"/>
        <crossBetween val="between"/>
      </valAx>
    </plotArea>
    <legend>
      <legendPos val="r"/>
      <overlay val="1"/>
    </legend>
    <plotVisOnly val="1"/>
    <dispBlanksAs val="gap"/>
  </chart>
</chartSpace>
</file>

<file path=xl/charts/chart217.xml><?xml version="1.0" encoding="utf-8"?>
<chartSpace xmlns="http://schemas.openxmlformats.org/drawingml/2006/chart">
  <chart>
    <title>
      <tx>
        <rich>
          <a:bodyPr xmlns:a="http://schemas.openxmlformats.org/drawingml/2006/main"/>
          <a:lstStyle xmlns:a="http://schemas.openxmlformats.org/drawingml/2006/main"/>
          <a:p xmlns:a="http://schemas.openxmlformats.org/drawingml/2006/main">
            <a:pPr>
              <a:defRPr/>
            </a:pPr>
            <a:r>
              <a:rPr lang="en-GB"/>
              <a:t>P50/P90/P99 at Key Project Horizons — DK1 Primary</a:t>
            </a:r>
          </a:p>
        </rich>
      </tx>
      <overlay val="1"/>
    </title>
    <plotArea>
      <layout/>
      <barChart>
        <barDir val="col"/>
        <grouping val="clustered"/>
        <varyColors val="1"/>
        <ser>
          <idx val="0"/>
          <order val="0"/>
          <tx>
            <strRef>
              <f>Simulation!$L$2</f>
              <strCache>
                <ptCount val="1"/>
                <pt idx="0">
                  <v>P50</v>
                </pt>
              </strCache>
            </strRef>
          </tx>
          <spPr>
            <a:solidFill xmlns:a="http://schemas.openxmlformats.org/drawingml/2006/main">
              <a:srgbClr val="2E75B6"/>
            </a:solidFill>
            <a:ln xmlns:a="http://schemas.openxmlformats.org/drawingml/2006/main">
              <a:prstDash val="solid"/>
            </a:ln>
          </spPr>
          <invertIfNegative val="1"/>
          <cat>
            <strRef>
              <f>Simulation!$K$3:$K$7</f>
              <strCache>
                <ptCount val="5"/>
                <pt idx="0">
                  <v>Year 5</v>
                </pt>
                <pt idx="1">
                  <v>Year 10</v>
                </pt>
                <pt idx="2">
                  <v>Year 15</v>
                </pt>
                <pt idx="3">
                  <v>Year 20</v>
                </pt>
                <pt idx="4">
                  <v>Year 25</v>
                </pt>
              </strCache>
            </strRef>
          </cat>
          <val>
            <numRef>
              <f>Simulation!$L$3:$L$7</f>
              <numCache>
                <formatCode>General</formatCode>
                <ptCount val="5"/>
                <pt idx="0">
                  <v>62.42</v>
                </pt>
                <pt idx="1">
                  <v>60.67</v>
                </pt>
                <pt idx="2">
                  <v>58.52</v>
                </pt>
                <pt idx="3">
                  <v>57.43</v>
                </pt>
                <pt idx="4">
                  <v>54.79</v>
                </pt>
              </numCache>
            </numRef>
          </val>
        </ser>
        <ser>
          <idx val="1"/>
          <order val="1"/>
          <tx>
            <strRef>
              <f>Simulation!$M$2</f>
              <strCache>
                <ptCount val="1"/>
                <pt idx="0">
                  <v>P90</v>
                </pt>
              </strCache>
            </strRef>
          </tx>
          <spPr>
            <a:solidFill xmlns:a="http://schemas.openxmlformats.org/drawingml/2006/main">
              <a:srgbClr val="FF8C00"/>
            </a:solidFill>
            <a:ln xmlns:a="http://schemas.openxmlformats.org/drawingml/2006/main">
              <a:prstDash val="solid"/>
            </a:ln>
          </spPr>
          <invertIfNegative val="1"/>
          <cat>
            <strRef>
              <f>Simulation!$K$3:$K$7</f>
              <strCache>
                <ptCount val="5"/>
                <pt idx="0">
                  <v>Year 5</v>
                </pt>
                <pt idx="1">
                  <v>Year 10</v>
                </pt>
                <pt idx="2">
                  <v>Year 15</v>
                </pt>
                <pt idx="3">
                  <v>Year 20</v>
                </pt>
                <pt idx="4">
                  <v>Year 25</v>
                </pt>
              </strCache>
            </strRef>
          </cat>
          <val>
            <numRef>
              <f>Simulation!$M$3:$M$7</f>
              <numCache>
                <formatCode>General</formatCode>
                <ptCount val="5"/>
                <pt idx="0">
                  <v>19.97</v>
                </pt>
                <pt idx="1">
                  <v>18.27</v>
                </pt>
                <pt idx="2">
                  <v>16.52</v>
                </pt>
                <pt idx="3">
                  <v>14.71</v>
                </pt>
                <pt idx="4">
                  <v>12.55</v>
                </pt>
              </numCache>
            </numRef>
          </val>
        </ser>
        <ser>
          <idx val="2"/>
          <order val="2"/>
          <tx>
            <strRef>
              <f>Simulation!$N$2</f>
              <strCache>
                <ptCount val="1"/>
                <pt idx="0">
                  <v>P99</v>
                </pt>
              </strCache>
            </strRef>
          </tx>
          <spPr>
            <a:solidFill xmlns:a="http://schemas.openxmlformats.org/drawingml/2006/main">
              <a:srgbClr val="C00000"/>
            </a:solidFill>
            <a:ln xmlns:a="http://schemas.openxmlformats.org/drawingml/2006/main">
              <a:prstDash val="solid"/>
            </a:ln>
          </spPr>
          <invertIfNegative val="1"/>
          <cat>
            <strRef>
              <f>Simulation!$K$3:$K$7</f>
              <strCache>
                <ptCount val="5"/>
                <pt idx="0">
                  <v>Year 5</v>
                </pt>
                <pt idx="1">
                  <v>Year 10</v>
                </pt>
                <pt idx="2">
                  <v>Year 15</v>
                </pt>
                <pt idx="3">
                  <v>Year 20</v>
                </pt>
                <pt idx="4">
                  <v>Year 25</v>
                </pt>
              </strCache>
            </strRef>
          </cat>
          <val>
            <numRef>
              <f>Simulation!$N$3:$N$7</f>
              <numCache>
                <formatCode>General</formatCode>
                <ptCount val="5"/>
                <pt idx="0">
                  <v>-14.85</v>
                </pt>
                <pt idx="1">
                  <v>-17.66</v>
                </pt>
                <pt idx="2">
                  <v>-15.45</v>
                </pt>
                <pt idx="3">
                  <v>-19.55</v>
                </pt>
                <pt idx="4">
                  <v>-22.5</v>
                </pt>
              </numCache>
            </numRef>
          </val>
        </ser>
        <dLbls>
          <showLegendKey val="0"/>
          <showVal val="0"/>
          <showCatName val="0"/>
          <showSerName val="0"/>
          <showPercent val="0"/>
          <showBubbleSize val="0"/>
        </dLbls>
        <gapWidth val="150"/>
        <axId val="10"/>
        <axId val="100"/>
      </barChart>
      <catAx>
        <axId val="10"/>
        <scaling>
          <orientation val="minMax"/>
        </scaling>
        <delete val="1"/>
        <axPos val="b"/>
        <title>
          <tx>
            <rich>
              <a:bodyPr xmlns:a="http://schemas.openxmlformats.org/drawingml/2006/main"/>
              <a:lstStyle xmlns:a="http://schemas.openxmlformats.org/drawingml/2006/main"/>
              <a:p xmlns:a="http://schemas.openxmlformats.org/drawingml/2006/main">
                <a:pPr>
                  <a:defRPr/>
                </a:pPr>
                <a:r>
                  <a:rPr lang="en-GB"/>
                  <a:t>Project Year</a:t>
                </a:r>
              </a:p>
            </rich>
          </tx>
          <overlay val="1"/>
        </title>
        <numFmt formatCode="General" sourceLinked="1"/>
        <majorTickMark val="none"/>
        <minorTickMark val="none"/>
        <tickLblPos val="nextTo"/>
        <crossAx val="100"/>
        <crosses val="autoZero"/>
        <auto val="1"/>
        <lblAlgn val="ctr"/>
        <lblOffset val="100"/>
        <noMultiLvlLbl val="1"/>
      </catAx>
      <valAx>
        <axId val="100"/>
        <scaling>
          <orientation val="minMax"/>
        </scaling>
        <delete val="1"/>
        <axPos val="l"/>
        <majorGridlines/>
        <title>
          <tx>
            <rich>
              <a:bodyPr xmlns:a="http://schemas.openxmlformats.org/drawingml/2006/main"/>
              <a:lstStyle xmlns:a="http://schemas.openxmlformats.org/drawingml/2006/main"/>
              <a:p xmlns:a="http://schemas.openxmlformats.org/drawingml/2006/main">
                <a:pPr>
                  <a:defRPr/>
                </a:pPr>
                <a:r>
                  <a:rPr lang="en-GB"/>
                  <a:t>Capture Price (EUR/MWh)</a:t>
                </a:r>
              </a:p>
            </rich>
          </tx>
          <overlay val="1"/>
        </title>
        <numFmt formatCode="General" sourceLinked="1"/>
        <majorTickMark val="none"/>
        <minorTickMark val="none"/>
        <tickLblPos val="nextTo"/>
        <crossAx val="10"/>
        <crosses val="autoZero"/>
        <crossBetween val="between"/>
      </valAx>
    </plotArea>
    <legend>
      <legendPos val="r"/>
      <overlay val="1"/>
    </legend>
    <plotVisOnly val="1"/>
    <dispBlanksAs val="gap"/>
  </chart>
</chartSpace>
</file>

<file path=xl/charts/chart218.xml><?xml version="1.0" encoding="utf-8"?>
<chartSpace xmlns="http://schemas.openxmlformats.org/drawingml/2006/chart">
  <chart>
    <title>
      <tx>
        <rich>
          <a:bodyPr xmlns:a="http://schemas.openxmlformats.org/drawingml/2006/main"/>
          <a:lstStyle xmlns:a="http://schemas.openxmlformats.org/drawingml/2006/main"/>
          <a:p xmlns:a="http://schemas.openxmlformats.org/drawingml/2006/main">
            <a:pPr>
              <a:defRPr/>
            </a:pPr>
            <a:r>
              <a:rPr lang="en-GB"/>
              <a:t>P50/P90/P99 at Key Project Horizons — DK1 Primary</a:t>
            </a:r>
          </a:p>
        </rich>
      </tx>
      <overlay val="1"/>
    </title>
    <plotArea>
      <layout/>
      <barChart>
        <barDir val="col"/>
        <grouping val="clustered"/>
        <varyColors val="1"/>
        <ser>
          <idx val="0"/>
          <order val="0"/>
          <tx>
            <strRef>
              <f>Simulation!$L$2</f>
              <strCache>
                <ptCount val="1"/>
                <pt idx="0">
                  <v>P50</v>
                </pt>
              </strCache>
            </strRef>
          </tx>
          <spPr>
            <a:solidFill xmlns:a="http://schemas.openxmlformats.org/drawingml/2006/main">
              <a:srgbClr val="2E75B6"/>
            </a:solidFill>
            <a:ln xmlns:a="http://schemas.openxmlformats.org/drawingml/2006/main">
              <a:prstDash val="solid"/>
            </a:ln>
          </spPr>
          <invertIfNegative val="1"/>
          <cat>
            <strRef>
              <f>Simulation!$K$3:$K$7</f>
              <strCache>
                <ptCount val="5"/>
                <pt idx="0">
                  <v>Year 5</v>
                </pt>
                <pt idx="1">
                  <v>Year 10</v>
                </pt>
                <pt idx="2">
                  <v>Year 15</v>
                </pt>
                <pt idx="3">
                  <v>Year 20</v>
                </pt>
                <pt idx="4">
                  <v>Year 25</v>
                </pt>
              </strCache>
            </strRef>
          </cat>
          <val>
            <numRef>
              <f>Simulation!$L$3:$L$7</f>
              <numCache>
                <formatCode>General</formatCode>
                <ptCount val="5"/>
                <pt idx="0">
                  <v>62.42</v>
                </pt>
                <pt idx="1">
                  <v>60.67</v>
                </pt>
                <pt idx="2">
                  <v>58.52</v>
                </pt>
                <pt idx="3">
                  <v>57.43</v>
                </pt>
                <pt idx="4">
                  <v>54.79</v>
                </pt>
              </numCache>
            </numRef>
          </val>
        </ser>
        <ser>
          <idx val="1"/>
          <order val="1"/>
          <tx>
            <strRef>
              <f>Simulation!$M$2</f>
              <strCache>
                <ptCount val="1"/>
                <pt idx="0">
                  <v>P90</v>
                </pt>
              </strCache>
            </strRef>
          </tx>
          <spPr>
            <a:solidFill xmlns:a="http://schemas.openxmlformats.org/drawingml/2006/main">
              <a:srgbClr val="FF8C00"/>
            </a:solidFill>
            <a:ln xmlns:a="http://schemas.openxmlformats.org/drawingml/2006/main">
              <a:prstDash val="solid"/>
            </a:ln>
          </spPr>
          <invertIfNegative val="1"/>
          <cat>
            <strRef>
              <f>Simulation!$K$3:$K$7</f>
              <strCache>
                <ptCount val="5"/>
                <pt idx="0">
                  <v>Year 5</v>
                </pt>
                <pt idx="1">
                  <v>Year 10</v>
                </pt>
                <pt idx="2">
                  <v>Year 15</v>
                </pt>
                <pt idx="3">
                  <v>Year 20</v>
                </pt>
                <pt idx="4">
                  <v>Year 25</v>
                </pt>
              </strCache>
            </strRef>
          </cat>
          <val>
            <numRef>
              <f>Simulation!$M$3:$M$7</f>
              <numCache>
                <formatCode>General</formatCode>
                <ptCount val="5"/>
                <pt idx="0">
                  <v>19.97</v>
                </pt>
                <pt idx="1">
                  <v>18.27</v>
                </pt>
                <pt idx="2">
                  <v>16.52</v>
                </pt>
                <pt idx="3">
                  <v>14.71</v>
                </pt>
                <pt idx="4">
                  <v>12.55</v>
                </pt>
              </numCache>
            </numRef>
          </val>
        </ser>
        <ser>
          <idx val="2"/>
          <order val="2"/>
          <tx>
            <strRef>
              <f>Simulation!$N$2</f>
              <strCache>
                <ptCount val="1"/>
                <pt idx="0">
                  <v>P99</v>
                </pt>
              </strCache>
            </strRef>
          </tx>
          <spPr>
            <a:solidFill xmlns:a="http://schemas.openxmlformats.org/drawingml/2006/main">
              <a:srgbClr val="C00000"/>
            </a:solidFill>
            <a:ln xmlns:a="http://schemas.openxmlformats.org/drawingml/2006/main">
              <a:prstDash val="solid"/>
            </a:ln>
          </spPr>
          <invertIfNegative val="1"/>
          <cat>
            <strRef>
              <f>Simulation!$K$3:$K$7</f>
              <strCache>
                <ptCount val="5"/>
                <pt idx="0">
                  <v>Year 5</v>
                </pt>
                <pt idx="1">
                  <v>Year 10</v>
                </pt>
                <pt idx="2">
                  <v>Year 15</v>
                </pt>
                <pt idx="3">
                  <v>Year 20</v>
                </pt>
                <pt idx="4">
                  <v>Year 25</v>
                </pt>
              </strCache>
            </strRef>
          </cat>
          <val>
            <numRef>
              <f>Simulation!$N$3:$N$7</f>
              <numCache>
                <formatCode>General</formatCode>
                <ptCount val="5"/>
                <pt idx="0">
                  <v>-14.85</v>
                </pt>
                <pt idx="1">
                  <v>-17.66</v>
                </pt>
                <pt idx="2">
                  <v>-15.45</v>
                </pt>
                <pt idx="3">
                  <v>-19.55</v>
                </pt>
                <pt idx="4">
                  <v>-22.5</v>
                </pt>
              </numCache>
            </numRef>
          </val>
        </ser>
        <dLbls>
          <showLegendKey val="0"/>
          <showVal val="0"/>
          <showCatName val="0"/>
          <showSerName val="0"/>
          <showPercent val="0"/>
          <showBubbleSize val="0"/>
        </dLbls>
        <gapWidth val="150"/>
        <axId val="10"/>
        <axId val="100"/>
      </barChart>
      <catAx>
        <axId val="10"/>
        <scaling>
          <orientation val="minMax"/>
        </scaling>
        <delete val="1"/>
        <axPos val="b"/>
        <title>
          <tx>
            <rich>
              <a:bodyPr xmlns:a="http://schemas.openxmlformats.org/drawingml/2006/main"/>
              <a:lstStyle xmlns:a="http://schemas.openxmlformats.org/drawingml/2006/main"/>
              <a:p xmlns:a="http://schemas.openxmlformats.org/drawingml/2006/main">
                <a:pPr>
                  <a:defRPr/>
                </a:pPr>
                <a:r>
                  <a:rPr lang="en-GB"/>
                  <a:t>Project Year</a:t>
                </a:r>
              </a:p>
            </rich>
          </tx>
          <overlay val="1"/>
        </title>
        <numFmt formatCode="General" sourceLinked="1"/>
        <majorTickMark val="none"/>
        <minorTickMark val="none"/>
        <tickLblPos val="nextTo"/>
        <crossAx val="100"/>
        <crosses val="autoZero"/>
        <auto val="1"/>
        <lblAlgn val="ctr"/>
        <lblOffset val="100"/>
        <noMultiLvlLbl val="1"/>
      </catAx>
      <valAx>
        <axId val="100"/>
        <scaling>
          <orientation val="minMax"/>
        </scaling>
        <delete val="1"/>
        <axPos val="l"/>
        <majorGridlines/>
        <title>
          <tx>
            <rich>
              <a:bodyPr xmlns:a="http://schemas.openxmlformats.org/drawingml/2006/main"/>
              <a:lstStyle xmlns:a="http://schemas.openxmlformats.org/drawingml/2006/main"/>
              <a:p xmlns:a="http://schemas.openxmlformats.org/drawingml/2006/main">
                <a:pPr>
                  <a:defRPr/>
                </a:pPr>
                <a:r>
                  <a:rPr lang="en-GB"/>
                  <a:t>Capture Price (EUR/MWh)</a:t>
                </a:r>
              </a:p>
            </rich>
          </tx>
          <overlay val="1"/>
        </title>
        <numFmt formatCode="General" sourceLinked="1"/>
        <majorTickMark val="none"/>
        <minorTickMark val="none"/>
        <tickLblPos val="nextTo"/>
        <crossAx val="10"/>
        <crosses val="autoZero"/>
        <crossBetween val="between"/>
      </valAx>
    </plotArea>
    <legend>
      <legendPos val="r"/>
      <overlay val="1"/>
    </legend>
    <plotVisOnly val="1"/>
    <dispBlanksAs val="gap"/>
  </chart>
</chartSpace>
</file>

<file path=xl/charts/chart219.xml><?xml version="1.0" encoding="utf-8"?>
<chartSpace xmlns="http://schemas.openxmlformats.org/drawingml/2006/chart">
  <chart>
    <title>
      <tx>
        <rich>
          <a:bodyPr xmlns:a="http://schemas.openxmlformats.org/drawingml/2006/main"/>
          <a:lstStyle xmlns:a="http://schemas.openxmlformats.org/drawingml/2006/main"/>
          <a:p xmlns:a="http://schemas.openxmlformats.org/drawingml/2006/main">
            <a:pPr>
              <a:defRPr/>
            </a:pPr>
            <a:r>
              <a:rPr lang="en-GB"/>
              <a:t>P50/P90/P99 at Key Project Horizons — DK1 Primary</a:t>
            </a:r>
          </a:p>
        </rich>
      </tx>
      <overlay val="1"/>
    </title>
    <plotArea>
      <layout/>
      <barChart>
        <barDir val="col"/>
        <grouping val="clustered"/>
        <varyColors val="1"/>
        <ser>
          <idx val="0"/>
          <order val="0"/>
          <tx>
            <strRef>
              <f>Simulation!$L$2</f>
              <strCache>
                <ptCount val="1"/>
                <pt idx="0">
                  <v>P50</v>
                </pt>
              </strCache>
            </strRef>
          </tx>
          <spPr>
            <a:solidFill xmlns:a="http://schemas.openxmlformats.org/drawingml/2006/main">
              <a:srgbClr val="2E75B6"/>
            </a:solidFill>
            <a:ln xmlns:a="http://schemas.openxmlformats.org/drawingml/2006/main">
              <a:prstDash val="solid"/>
            </a:ln>
          </spPr>
          <invertIfNegative val="1"/>
          <cat>
            <strRef>
              <f>Simulation!$K$3:$K$7</f>
              <strCache>
                <ptCount val="5"/>
                <pt idx="0">
                  <v>Year 5</v>
                </pt>
                <pt idx="1">
                  <v>Year 10</v>
                </pt>
                <pt idx="2">
                  <v>Year 15</v>
                </pt>
                <pt idx="3">
                  <v>Year 20</v>
                </pt>
                <pt idx="4">
                  <v>Year 25</v>
                </pt>
              </strCache>
            </strRef>
          </cat>
          <val>
            <numRef>
              <f>Simulation!$L$3:$L$7</f>
              <numCache>
                <formatCode>General</formatCode>
                <ptCount val="5"/>
                <pt idx="0">
                  <v>62.42</v>
                </pt>
                <pt idx="1">
                  <v>60.67</v>
                </pt>
                <pt idx="2">
                  <v>58.52</v>
                </pt>
                <pt idx="3">
                  <v>57.43</v>
                </pt>
                <pt idx="4">
                  <v>54.79</v>
                </pt>
              </numCache>
            </numRef>
          </val>
        </ser>
        <ser>
          <idx val="1"/>
          <order val="1"/>
          <tx>
            <strRef>
              <f>Simulation!$M$2</f>
              <strCache>
                <ptCount val="1"/>
                <pt idx="0">
                  <v>P90</v>
                </pt>
              </strCache>
            </strRef>
          </tx>
          <spPr>
            <a:solidFill xmlns:a="http://schemas.openxmlformats.org/drawingml/2006/main">
              <a:srgbClr val="FF8C00"/>
            </a:solidFill>
            <a:ln xmlns:a="http://schemas.openxmlformats.org/drawingml/2006/main">
              <a:prstDash val="solid"/>
            </a:ln>
          </spPr>
          <invertIfNegative val="1"/>
          <cat>
            <strRef>
              <f>Simulation!$K$3:$K$7</f>
              <strCache>
                <ptCount val="5"/>
                <pt idx="0">
                  <v>Year 5</v>
                </pt>
                <pt idx="1">
                  <v>Year 10</v>
                </pt>
                <pt idx="2">
                  <v>Year 15</v>
                </pt>
                <pt idx="3">
                  <v>Year 20</v>
                </pt>
                <pt idx="4">
                  <v>Year 25</v>
                </pt>
              </strCache>
            </strRef>
          </cat>
          <val>
            <numRef>
              <f>Simulation!$M$3:$M$7</f>
              <numCache>
                <formatCode>General</formatCode>
                <ptCount val="5"/>
                <pt idx="0">
                  <v>19.97</v>
                </pt>
                <pt idx="1">
                  <v>18.27</v>
                </pt>
                <pt idx="2">
                  <v>16.52</v>
                </pt>
                <pt idx="3">
                  <v>14.71</v>
                </pt>
                <pt idx="4">
                  <v>12.55</v>
                </pt>
              </numCache>
            </numRef>
          </val>
        </ser>
        <ser>
          <idx val="2"/>
          <order val="2"/>
          <tx>
            <strRef>
              <f>Simulation!$N$2</f>
              <strCache>
                <ptCount val="1"/>
                <pt idx="0">
                  <v>P99</v>
                </pt>
              </strCache>
            </strRef>
          </tx>
          <spPr>
            <a:solidFill xmlns:a="http://schemas.openxmlformats.org/drawingml/2006/main">
              <a:srgbClr val="C00000"/>
            </a:solidFill>
            <a:ln xmlns:a="http://schemas.openxmlformats.org/drawingml/2006/main">
              <a:prstDash val="solid"/>
            </a:ln>
          </spPr>
          <invertIfNegative val="1"/>
          <cat>
            <strRef>
              <f>Simulation!$K$3:$K$7</f>
              <strCache>
                <ptCount val="5"/>
                <pt idx="0">
                  <v>Year 5</v>
                </pt>
                <pt idx="1">
                  <v>Year 10</v>
                </pt>
                <pt idx="2">
                  <v>Year 15</v>
                </pt>
                <pt idx="3">
                  <v>Year 20</v>
                </pt>
                <pt idx="4">
                  <v>Year 25</v>
                </pt>
              </strCache>
            </strRef>
          </cat>
          <val>
            <numRef>
              <f>Simulation!$N$3:$N$7</f>
              <numCache>
                <formatCode>General</formatCode>
                <ptCount val="5"/>
                <pt idx="0">
                  <v>-14.85</v>
                </pt>
                <pt idx="1">
                  <v>-17.66</v>
                </pt>
                <pt idx="2">
                  <v>-15.45</v>
                </pt>
                <pt idx="3">
                  <v>-19.55</v>
                </pt>
                <pt idx="4">
                  <v>-22.5</v>
                </pt>
              </numCache>
            </numRef>
          </val>
        </ser>
        <dLbls>
          <showLegendKey val="0"/>
          <showVal val="0"/>
          <showCatName val="0"/>
          <showSerName val="0"/>
          <showPercent val="0"/>
          <showBubbleSize val="0"/>
        </dLbls>
        <gapWidth val="150"/>
        <axId val="10"/>
        <axId val="100"/>
      </barChart>
      <catAx>
        <axId val="10"/>
        <scaling>
          <orientation val="minMax"/>
        </scaling>
        <delete val="1"/>
        <axPos val="b"/>
        <title>
          <tx>
            <rich>
              <a:bodyPr xmlns:a="http://schemas.openxmlformats.org/drawingml/2006/main"/>
              <a:lstStyle xmlns:a="http://schemas.openxmlformats.org/drawingml/2006/main"/>
              <a:p xmlns:a="http://schemas.openxmlformats.org/drawingml/2006/main">
                <a:pPr>
                  <a:defRPr/>
                </a:pPr>
                <a:r>
                  <a:rPr lang="en-GB"/>
                  <a:t>Project Year</a:t>
                </a:r>
              </a:p>
            </rich>
          </tx>
          <overlay val="1"/>
        </title>
        <numFmt formatCode="General" sourceLinked="1"/>
        <majorTickMark val="none"/>
        <minorTickMark val="none"/>
        <tickLblPos val="nextTo"/>
        <crossAx val="100"/>
        <crosses val="autoZero"/>
        <auto val="1"/>
        <lblAlgn val="ctr"/>
        <lblOffset val="100"/>
        <noMultiLvlLbl val="1"/>
      </catAx>
      <valAx>
        <axId val="100"/>
        <scaling>
          <orientation val="minMax"/>
        </scaling>
        <delete val="1"/>
        <axPos val="l"/>
        <majorGridlines/>
        <title>
          <tx>
            <rich>
              <a:bodyPr xmlns:a="http://schemas.openxmlformats.org/drawingml/2006/main"/>
              <a:lstStyle xmlns:a="http://schemas.openxmlformats.org/drawingml/2006/main"/>
              <a:p xmlns:a="http://schemas.openxmlformats.org/drawingml/2006/main">
                <a:pPr>
                  <a:defRPr/>
                </a:pPr>
                <a:r>
                  <a:rPr lang="en-GB"/>
                  <a:t>Capture Price (EUR/MWh)</a:t>
                </a:r>
              </a:p>
            </rich>
          </tx>
          <overlay val="1"/>
        </title>
        <numFmt formatCode="General" sourceLinked="1"/>
        <majorTickMark val="none"/>
        <minorTickMark val="none"/>
        <tickLblPos val="nextTo"/>
        <crossAx val="10"/>
        <crosses val="autoZero"/>
        <crossBetween val="between"/>
      </valAx>
    </plotArea>
    <legend>
      <legendPos val="r"/>
      <overlay val="1"/>
    </legend>
    <plotVisOnly val="1"/>
    <dispBlanksAs val="gap"/>
  </chart>
</chartSpace>
</file>

<file path=xl/charts/chart220.xml><?xml version="1.0" encoding="utf-8"?>
<chartSpace xmlns="http://schemas.openxmlformats.org/drawingml/2006/chart">
  <chart>
    <title>
      <tx>
        <rich>
          <a:bodyPr xmlns:a="http://schemas.openxmlformats.org/drawingml/2006/main"/>
          <a:lstStyle xmlns:a="http://schemas.openxmlformats.org/drawingml/2006/main"/>
          <a:p xmlns:a="http://schemas.openxmlformats.org/drawingml/2006/main">
            <a:pPr>
              <a:defRPr/>
            </a:pPr>
            <a:r>
              <a:rPr lang="en-GB"/>
              <a:t>P50/P90/P99 at Key Project Horizons — DK1 Primary</a:t>
            </a:r>
          </a:p>
        </rich>
      </tx>
      <overlay val="1"/>
    </title>
    <plotArea>
      <layout/>
      <barChart>
        <barDir val="col"/>
        <grouping val="clustered"/>
        <varyColors val="1"/>
        <ser>
          <idx val="0"/>
          <order val="0"/>
          <tx>
            <strRef>
              <f>Simulation!$L$2</f>
              <strCache>
                <ptCount val="1"/>
                <pt idx="0">
                  <v>P50</v>
                </pt>
              </strCache>
            </strRef>
          </tx>
          <spPr>
            <a:solidFill xmlns:a="http://schemas.openxmlformats.org/drawingml/2006/main">
              <a:srgbClr val="2E75B6"/>
            </a:solidFill>
            <a:ln xmlns:a="http://schemas.openxmlformats.org/drawingml/2006/main">
              <a:prstDash val="solid"/>
            </a:ln>
          </spPr>
          <invertIfNegative val="1"/>
          <cat>
            <strRef>
              <f>Simulation!$K$3:$K$7</f>
              <strCache>
                <ptCount val="5"/>
                <pt idx="0">
                  <v>Year 5</v>
                </pt>
                <pt idx="1">
                  <v>Year 10</v>
                </pt>
                <pt idx="2">
                  <v>Year 15</v>
                </pt>
                <pt idx="3">
                  <v>Year 20</v>
                </pt>
                <pt idx="4">
                  <v>Year 25</v>
                </pt>
              </strCache>
            </strRef>
          </cat>
          <val>
            <numRef>
              <f>Simulation!$L$3:$L$7</f>
              <numCache>
                <formatCode>General</formatCode>
                <ptCount val="5"/>
                <pt idx="0">
                  <v>62.42</v>
                </pt>
                <pt idx="1">
                  <v>60.67</v>
                </pt>
                <pt idx="2">
                  <v>58.52</v>
                </pt>
                <pt idx="3">
                  <v>57.43</v>
                </pt>
                <pt idx="4">
                  <v>54.79</v>
                </pt>
              </numCache>
            </numRef>
          </val>
        </ser>
        <ser>
          <idx val="1"/>
          <order val="1"/>
          <tx>
            <strRef>
              <f>Simulation!$M$2</f>
              <strCache>
                <ptCount val="1"/>
                <pt idx="0">
                  <v>P90</v>
                </pt>
              </strCache>
            </strRef>
          </tx>
          <spPr>
            <a:solidFill xmlns:a="http://schemas.openxmlformats.org/drawingml/2006/main">
              <a:srgbClr val="FF8C00"/>
            </a:solidFill>
            <a:ln xmlns:a="http://schemas.openxmlformats.org/drawingml/2006/main">
              <a:prstDash val="solid"/>
            </a:ln>
          </spPr>
          <invertIfNegative val="1"/>
          <cat>
            <strRef>
              <f>Simulation!$K$3:$K$7</f>
              <strCache>
                <ptCount val="5"/>
                <pt idx="0">
                  <v>Year 5</v>
                </pt>
                <pt idx="1">
                  <v>Year 10</v>
                </pt>
                <pt idx="2">
                  <v>Year 15</v>
                </pt>
                <pt idx="3">
                  <v>Year 20</v>
                </pt>
                <pt idx="4">
                  <v>Year 25</v>
                </pt>
              </strCache>
            </strRef>
          </cat>
          <val>
            <numRef>
              <f>Simulation!$M$3:$M$7</f>
              <numCache>
                <formatCode>General</formatCode>
                <ptCount val="5"/>
                <pt idx="0">
                  <v>19.97</v>
                </pt>
                <pt idx="1">
                  <v>18.27</v>
                </pt>
                <pt idx="2">
                  <v>16.52</v>
                </pt>
                <pt idx="3">
                  <v>14.71</v>
                </pt>
                <pt idx="4">
                  <v>12.55</v>
                </pt>
              </numCache>
            </numRef>
          </val>
        </ser>
        <ser>
          <idx val="2"/>
          <order val="2"/>
          <tx>
            <strRef>
              <f>Simulation!$N$2</f>
              <strCache>
                <ptCount val="1"/>
                <pt idx="0">
                  <v>P99</v>
                </pt>
              </strCache>
            </strRef>
          </tx>
          <spPr>
            <a:solidFill xmlns:a="http://schemas.openxmlformats.org/drawingml/2006/main">
              <a:srgbClr val="C00000"/>
            </a:solidFill>
            <a:ln xmlns:a="http://schemas.openxmlformats.org/drawingml/2006/main">
              <a:prstDash val="solid"/>
            </a:ln>
          </spPr>
          <invertIfNegative val="1"/>
          <cat>
            <strRef>
              <f>Simulation!$K$3:$K$7</f>
              <strCache>
                <ptCount val="5"/>
                <pt idx="0">
                  <v>Year 5</v>
                </pt>
                <pt idx="1">
                  <v>Year 10</v>
                </pt>
                <pt idx="2">
                  <v>Year 15</v>
                </pt>
                <pt idx="3">
                  <v>Year 20</v>
                </pt>
                <pt idx="4">
                  <v>Year 25</v>
                </pt>
              </strCache>
            </strRef>
          </cat>
          <val>
            <numRef>
              <f>Simulation!$N$3:$N$7</f>
              <numCache>
                <formatCode>General</formatCode>
                <ptCount val="5"/>
                <pt idx="0">
                  <v>-14.85</v>
                </pt>
                <pt idx="1">
                  <v>-17.66</v>
                </pt>
                <pt idx="2">
                  <v>-15.45</v>
                </pt>
                <pt idx="3">
                  <v>-19.55</v>
                </pt>
                <pt idx="4">
                  <v>-22.5</v>
                </pt>
              </numCache>
            </numRef>
          </val>
        </ser>
        <dLbls>
          <showLegendKey val="0"/>
          <showVal val="0"/>
          <showCatName val="0"/>
          <showSerName val="0"/>
          <showPercent val="0"/>
          <showBubbleSize val="0"/>
        </dLbls>
        <gapWidth val="150"/>
        <axId val="10"/>
        <axId val="100"/>
      </barChart>
      <catAx>
        <axId val="10"/>
        <scaling>
          <orientation val="minMax"/>
        </scaling>
        <delete val="1"/>
        <axPos val="b"/>
        <title>
          <tx>
            <rich>
              <a:bodyPr xmlns:a="http://schemas.openxmlformats.org/drawingml/2006/main"/>
              <a:lstStyle xmlns:a="http://schemas.openxmlformats.org/drawingml/2006/main"/>
              <a:p xmlns:a="http://schemas.openxmlformats.org/drawingml/2006/main">
                <a:pPr>
                  <a:defRPr/>
                </a:pPr>
                <a:r>
                  <a:rPr lang="en-GB"/>
                  <a:t>Project Year</a:t>
                </a:r>
              </a:p>
            </rich>
          </tx>
          <overlay val="1"/>
        </title>
        <numFmt formatCode="General" sourceLinked="1"/>
        <majorTickMark val="none"/>
        <minorTickMark val="none"/>
        <tickLblPos val="nextTo"/>
        <crossAx val="100"/>
        <crosses val="autoZero"/>
        <auto val="1"/>
        <lblAlgn val="ctr"/>
        <lblOffset val="100"/>
        <noMultiLvlLbl val="1"/>
      </catAx>
      <valAx>
        <axId val="100"/>
        <scaling>
          <orientation val="minMax"/>
        </scaling>
        <delete val="1"/>
        <axPos val="l"/>
        <majorGridlines/>
        <title>
          <tx>
            <rich>
              <a:bodyPr xmlns:a="http://schemas.openxmlformats.org/drawingml/2006/main"/>
              <a:lstStyle xmlns:a="http://schemas.openxmlformats.org/drawingml/2006/main"/>
              <a:p xmlns:a="http://schemas.openxmlformats.org/drawingml/2006/main">
                <a:pPr>
                  <a:defRPr/>
                </a:pPr>
                <a:r>
                  <a:rPr lang="en-GB"/>
                  <a:t>Capture Price (EUR/MWh)</a:t>
                </a:r>
              </a:p>
            </rich>
          </tx>
          <overlay val="1"/>
        </title>
        <numFmt formatCode="General" sourceLinked="1"/>
        <majorTickMark val="none"/>
        <minorTickMark val="none"/>
        <tickLblPos val="nextTo"/>
        <crossAx val="10"/>
        <crosses val="autoZero"/>
        <crossBetween val="between"/>
      </valAx>
    </plotArea>
    <legend>
      <legendPos val="r"/>
      <overlay val="1"/>
    </legend>
    <plotVisOnly val="1"/>
    <dispBlanksAs val="gap"/>
  </chart>
</chartSpace>
</file>

<file path=xl/charts/chart221.xml><?xml version="1.0" encoding="utf-8"?>
<chartSpace xmlns="http://schemas.openxmlformats.org/drawingml/2006/chart">
  <chart>
    <title>
      <tx>
        <rich>
          <a:bodyPr xmlns:a="http://schemas.openxmlformats.org/drawingml/2006/main"/>
          <a:lstStyle xmlns:a="http://schemas.openxmlformats.org/drawingml/2006/main"/>
          <a:p xmlns:a="http://schemas.openxmlformats.org/drawingml/2006/main">
            <a:pPr>
              <a:defRPr/>
            </a:pPr>
            <a:r>
              <a:rPr lang="en-GB"/>
              <a:t>P50/P90/P99 at Key Project Horizons — DK1 Primary</a:t>
            </a:r>
          </a:p>
        </rich>
      </tx>
      <overlay val="1"/>
    </title>
    <plotArea>
      <layout/>
      <barChart>
        <barDir val="col"/>
        <grouping val="clustered"/>
        <varyColors val="1"/>
        <ser>
          <idx val="0"/>
          <order val="0"/>
          <tx>
            <strRef>
              <f>Simulation!$L$2</f>
              <strCache>
                <ptCount val="1"/>
                <pt idx="0">
                  <v>P50</v>
                </pt>
              </strCache>
            </strRef>
          </tx>
          <spPr>
            <a:solidFill xmlns:a="http://schemas.openxmlformats.org/drawingml/2006/main">
              <a:srgbClr val="2E75B6"/>
            </a:solidFill>
            <a:ln xmlns:a="http://schemas.openxmlformats.org/drawingml/2006/main">
              <a:prstDash val="solid"/>
            </a:ln>
          </spPr>
          <invertIfNegative val="1"/>
          <cat>
            <strRef>
              <f>Simulation!$K$3:$K$7</f>
              <strCache>
                <ptCount val="5"/>
                <pt idx="0">
                  <v>Year 5</v>
                </pt>
                <pt idx="1">
                  <v>Year 10</v>
                </pt>
                <pt idx="2">
                  <v>Year 15</v>
                </pt>
                <pt idx="3">
                  <v>Year 20</v>
                </pt>
                <pt idx="4">
                  <v>Year 25</v>
                </pt>
              </strCache>
            </strRef>
          </cat>
          <val>
            <numRef>
              <f>Simulation!$L$3:$L$7</f>
              <numCache>
                <formatCode>General</formatCode>
                <ptCount val="5"/>
                <pt idx="0">
                  <v>62.42</v>
                </pt>
                <pt idx="1">
                  <v>60.67</v>
                </pt>
                <pt idx="2">
                  <v>58.52</v>
                </pt>
                <pt idx="3">
                  <v>57.43</v>
                </pt>
                <pt idx="4">
                  <v>54.79</v>
                </pt>
              </numCache>
            </numRef>
          </val>
        </ser>
        <ser>
          <idx val="1"/>
          <order val="1"/>
          <tx>
            <strRef>
              <f>Simulation!$M$2</f>
              <strCache>
                <ptCount val="1"/>
                <pt idx="0">
                  <v>P90</v>
                </pt>
              </strCache>
            </strRef>
          </tx>
          <spPr>
            <a:solidFill xmlns:a="http://schemas.openxmlformats.org/drawingml/2006/main">
              <a:srgbClr val="FF8C00"/>
            </a:solidFill>
            <a:ln xmlns:a="http://schemas.openxmlformats.org/drawingml/2006/main">
              <a:prstDash val="solid"/>
            </a:ln>
          </spPr>
          <invertIfNegative val="1"/>
          <cat>
            <strRef>
              <f>Simulation!$K$3:$K$7</f>
              <strCache>
                <ptCount val="5"/>
                <pt idx="0">
                  <v>Year 5</v>
                </pt>
                <pt idx="1">
                  <v>Year 10</v>
                </pt>
                <pt idx="2">
                  <v>Year 15</v>
                </pt>
                <pt idx="3">
                  <v>Year 20</v>
                </pt>
                <pt idx="4">
                  <v>Year 25</v>
                </pt>
              </strCache>
            </strRef>
          </cat>
          <val>
            <numRef>
              <f>Simulation!$M$3:$M$7</f>
              <numCache>
                <formatCode>General</formatCode>
                <ptCount val="5"/>
                <pt idx="0">
                  <v>19.97</v>
                </pt>
                <pt idx="1">
                  <v>18.27</v>
                </pt>
                <pt idx="2">
                  <v>16.52</v>
                </pt>
                <pt idx="3">
                  <v>14.71</v>
                </pt>
                <pt idx="4">
                  <v>12.55</v>
                </pt>
              </numCache>
            </numRef>
          </val>
        </ser>
        <ser>
          <idx val="2"/>
          <order val="2"/>
          <tx>
            <strRef>
              <f>Simulation!$N$2</f>
              <strCache>
                <ptCount val="1"/>
                <pt idx="0">
                  <v>P99</v>
                </pt>
              </strCache>
            </strRef>
          </tx>
          <spPr>
            <a:solidFill xmlns:a="http://schemas.openxmlformats.org/drawingml/2006/main">
              <a:srgbClr val="C00000"/>
            </a:solidFill>
            <a:ln xmlns:a="http://schemas.openxmlformats.org/drawingml/2006/main">
              <a:prstDash val="solid"/>
            </a:ln>
          </spPr>
          <invertIfNegative val="1"/>
          <cat>
            <strRef>
              <f>Simulation!$K$3:$K$7</f>
              <strCache>
                <ptCount val="5"/>
                <pt idx="0">
                  <v>Year 5</v>
                </pt>
                <pt idx="1">
                  <v>Year 10</v>
                </pt>
                <pt idx="2">
                  <v>Year 15</v>
                </pt>
                <pt idx="3">
                  <v>Year 20</v>
                </pt>
                <pt idx="4">
                  <v>Year 25</v>
                </pt>
              </strCache>
            </strRef>
          </cat>
          <val>
            <numRef>
              <f>Simulation!$N$3:$N$7</f>
              <numCache>
                <formatCode>General</formatCode>
                <ptCount val="5"/>
                <pt idx="0">
                  <v>-14.85</v>
                </pt>
                <pt idx="1">
                  <v>-17.66</v>
                </pt>
                <pt idx="2">
                  <v>-15.45</v>
                </pt>
                <pt idx="3">
                  <v>-19.55</v>
                </pt>
                <pt idx="4">
                  <v>-22.5</v>
                </pt>
              </numCache>
            </numRef>
          </val>
        </ser>
        <dLbls>
          <showLegendKey val="0"/>
          <showVal val="0"/>
          <showCatName val="0"/>
          <showSerName val="0"/>
          <showPercent val="0"/>
          <showBubbleSize val="0"/>
        </dLbls>
        <gapWidth val="150"/>
        <axId val="10"/>
        <axId val="100"/>
      </barChart>
      <catAx>
        <axId val="10"/>
        <scaling>
          <orientation val="minMax"/>
        </scaling>
        <delete val="1"/>
        <axPos val="b"/>
        <title>
          <tx>
            <rich>
              <a:bodyPr xmlns:a="http://schemas.openxmlformats.org/drawingml/2006/main"/>
              <a:lstStyle xmlns:a="http://schemas.openxmlformats.org/drawingml/2006/main"/>
              <a:p xmlns:a="http://schemas.openxmlformats.org/drawingml/2006/main">
                <a:pPr>
                  <a:defRPr/>
                </a:pPr>
                <a:r>
                  <a:rPr lang="en-GB"/>
                  <a:t>Project Year</a:t>
                </a:r>
              </a:p>
            </rich>
          </tx>
          <overlay val="1"/>
        </title>
        <numFmt formatCode="General" sourceLinked="1"/>
        <majorTickMark val="none"/>
        <minorTickMark val="none"/>
        <tickLblPos val="nextTo"/>
        <crossAx val="100"/>
        <crosses val="autoZero"/>
        <auto val="1"/>
        <lblAlgn val="ctr"/>
        <lblOffset val="100"/>
        <noMultiLvlLbl val="1"/>
      </catAx>
      <valAx>
        <axId val="100"/>
        <scaling>
          <orientation val="minMax"/>
        </scaling>
        <delete val="1"/>
        <axPos val="l"/>
        <majorGridlines/>
        <title>
          <tx>
            <rich>
              <a:bodyPr xmlns:a="http://schemas.openxmlformats.org/drawingml/2006/main"/>
              <a:lstStyle xmlns:a="http://schemas.openxmlformats.org/drawingml/2006/main"/>
              <a:p xmlns:a="http://schemas.openxmlformats.org/drawingml/2006/main">
                <a:pPr>
                  <a:defRPr/>
                </a:pPr>
                <a:r>
                  <a:rPr lang="en-GB"/>
                  <a:t>Capture Price (EUR/MWh)</a:t>
                </a:r>
              </a:p>
            </rich>
          </tx>
          <overlay val="1"/>
        </title>
        <numFmt formatCode="General" sourceLinked="1"/>
        <majorTickMark val="none"/>
        <minorTickMark val="none"/>
        <tickLblPos val="nextTo"/>
        <crossAx val="10"/>
        <crosses val="autoZero"/>
        <crossBetween val="between"/>
      </valAx>
    </plotArea>
    <legend>
      <legendPos val="r"/>
      <overlay val="1"/>
    </legend>
    <plotVisOnly val="1"/>
    <dispBlanksAs val="gap"/>
  </chart>
</chartSpace>
</file>

<file path=xl/charts/chart222.xml><?xml version="1.0" encoding="utf-8"?>
<chartSpace xmlns="http://schemas.openxmlformats.org/drawingml/2006/chart">
  <chart>
    <title>
      <tx>
        <rich>
          <a:bodyPr xmlns:a="http://schemas.openxmlformats.org/drawingml/2006/main"/>
          <a:lstStyle xmlns:a="http://schemas.openxmlformats.org/drawingml/2006/main"/>
          <a:p xmlns:a="http://schemas.openxmlformats.org/drawingml/2006/main">
            <a:pPr>
              <a:defRPr/>
            </a:pPr>
            <a:r>
              <a:rPr lang="en-GB"/>
              <a:t>P50/P90/P99 at Key Project Horizons — DK1 Primary</a:t>
            </a:r>
          </a:p>
        </rich>
      </tx>
      <overlay val="1"/>
    </title>
    <plotArea>
      <layout/>
      <barChart>
        <barDir val="col"/>
        <grouping val="clustered"/>
        <varyColors val="1"/>
        <ser>
          <idx val="0"/>
          <order val="0"/>
          <tx>
            <strRef>
              <f>Simulation!$L$2</f>
              <strCache>
                <ptCount val="1"/>
                <pt idx="0">
                  <v>P50</v>
                </pt>
              </strCache>
            </strRef>
          </tx>
          <spPr>
            <a:solidFill xmlns:a="http://schemas.openxmlformats.org/drawingml/2006/main">
              <a:srgbClr val="2E75B6"/>
            </a:solidFill>
            <a:ln xmlns:a="http://schemas.openxmlformats.org/drawingml/2006/main">
              <a:prstDash val="solid"/>
            </a:ln>
          </spPr>
          <invertIfNegative val="1"/>
          <cat>
            <strRef>
              <f>Simulation!$K$3:$K$7</f>
              <strCache>
                <ptCount val="5"/>
                <pt idx="0">
                  <v>Year 5</v>
                </pt>
                <pt idx="1">
                  <v>Year 10</v>
                </pt>
                <pt idx="2">
                  <v>Year 15</v>
                </pt>
                <pt idx="3">
                  <v>Year 20</v>
                </pt>
                <pt idx="4">
                  <v>Year 25</v>
                </pt>
              </strCache>
            </strRef>
          </cat>
          <val>
            <numRef>
              <f>Simulation!$L$3:$L$7</f>
              <numCache>
                <formatCode>General</formatCode>
                <ptCount val="5"/>
                <pt idx="0">
                  <v>62.42</v>
                </pt>
                <pt idx="1">
                  <v>60.67</v>
                </pt>
                <pt idx="2">
                  <v>58.52</v>
                </pt>
                <pt idx="3">
                  <v>57.43</v>
                </pt>
                <pt idx="4">
                  <v>54.79</v>
                </pt>
              </numCache>
            </numRef>
          </val>
        </ser>
        <ser>
          <idx val="1"/>
          <order val="1"/>
          <tx>
            <strRef>
              <f>Simulation!$M$2</f>
              <strCache>
                <ptCount val="1"/>
                <pt idx="0">
                  <v>P90</v>
                </pt>
              </strCache>
            </strRef>
          </tx>
          <spPr>
            <a:solidFill xmlns:a="http://schemas.openxmlformats.org/drawingml/2006/main">
              <a:srgbClr val="FF8C00"/>
            </a:solidFill>
            <a:ln xmlns:a="http://schemas.openxmlformats.org/drawingml/2006/main">
              <a:prstDash val="solid"/>
            </a:ln>
          </spPr>
          <invertIfNegative val="1"/>
          <cat>
            <strRef>
              <f>Simulation!$K$3:$K$7</f>
              <strCache>
                <ptCount val="5"/>
                <pt idx="0">
                  <v>Year 5</v>
                </pt>
                <pt idx="1">
                  <v>Year 10</v>
                </pt>
                <pt idx="2">
                  <v>Year 15</v>
                </pt>
                <pt idx="3">
                  <v>Year 20</v>
                </pt>
                <pt idx="4">
                  <v>Year 25</v>
                </pt>
              </strCache>
            </strRef>
          </cat>
          <val>
            <numRef>
              <f>Simulation!$M$3:$M$7</f>
              <numCache>
                <formatCode>General</formatCode>
                <ptCount val="5"/>
                <pt idx="0">
                  <v>19.97</v>
                </pt>
                <pt idx="1">
                  <v>18.27</v>
                </pt>
                <pt idx="2">
                  <v>16.52</v>
                </pt>
                <pt idx="3">
                  <v>14.71</v>
                </pt>
                <pt idx="4">
                  <v>12.55</v>
                </pt>
              </numCache>
            </numRef>
          </val>
        </ser>
        <ser>
          <idx val="2"/>
          <order val="2"/>
          <tx>
            <strRef>
              <f>Simulation!$N$2</f>
              <strCache>
                <ptCount val="1"/>
                <pt idx="0">
                  <v>P99</v>
                </pt>
              </strCache>
            </strRef>
          </tx>
          <spPr>
            <a:solidFill xmlns:a="http://schemas.openxmlformats.org/drawingml/2006/main">
              <a:srgbClr val="C00000"/>
            </a:solidFill>
            <a:ln xmlns:a="http://schemas.openxmlformats.org/drawingml/2006/main">
              <a:prstDash val="solid"/>
            </a:ln>
          </spPr>
          <invertIfNegative val="1"/>
          <cat>
            <strRef>
              <f>Simulation!$K$3:$K$7</f>
              <strCache>
                <ptCount val="5"/>
                <pt idx="0">
                  <v>Year 5</v>
                </pt>
                <pt idx="1">
                  <v>Year 10</v>
                </pt>
                <pt idx="2">
                  <v>Year 15</v>
                </pt>
                <pt idx="3">
                  <v>Year 20</v>
                </pt>
                <pt idx="4">
                  <v>Year 25</v>
                </pt>
              </strCache>
            </strRef>
          </cat>
          <val>
            <numRef>
              <f>Simulation!$N$3:$N$7</f>
              <numCache>
                <formatCode>General</formatCode>
                <ptCount val="5"/>
                <pt idx="0">
                  <v>-14.85</v>
                </pt>
                <pt idx="1">
                  <v>-17.66</v>
                </pt>
                <pt idx="2">
                  <v>-15.45</v>
                </pt>
                <pt idx="3">
                  <v>-19.55</v>
                </pt>
                <pt idx="4">
                  <v>-22.5</v>
                </pt>
              </numCache>
            </numRef>
          </val>
        </ser>
        <dLbls>
          <showLegendKey val="0"/>
          <showVal val="0"/>
          <showCatName val="0"/>
          <showSerName val="0"/>
          <showPercent val="0"/>
          <showBubbleSize val="0"/>
        </dLbls>
        <gapWidth val="150"/>
        <axId val="10"/>
        <axId val="100"/>
      </barChart>
      <catAx>
        <axId val="10"/>
        <scaling>
          <orientation val="minMax"/>
        </scaling>
        <delete val="1"/>
        <axPos val="b"/>
        <title>
          <tx>
            <rich>
              <a:bodyPr xmlns:a="http://schemas.openxmlformats.org/drawingml/2006/main"/>
              <a:lstStyle xmlns:a="http://schemas.openxmlformats.org/drawingml/2006/main"/>
              <a:p xmlns:a="http://schemas.openxmlformats.org/drawingml/2006/main">
                <a:pPr>
                  <a:defRPr/>
                </a:pPr>
                <a:r>
                  <a:rPr lang="en-GB"/>
                  <a:t>Project Year</a:t>
                </a:r>
              </a:p>
            </rich>
          </tx>
          <overlay val="1"/>
        </title>
        <numFmt formatCode="General" sourceLinked="1"/>
        <majorTickMark val="none"/>
        <minorTickMark val="none"/>
        <tickLblPos val="nextTo"/>
        <crossAx val="100"/>
        <crosses val="autoZero"/>
        <auto val="1"/>
        <lblAlgn val="ctr"/>
        <lblOffset val="100"/>
        <noMultiLvlLbl val="1"/>
      </catAx>
      <valAx>
        <axId val="100"/>
        <scaling>
          <orientation val="minMax"/>
        </scaling>
        <delete val="1"/>
        <axPos val="l"/>
        <majorGridlines/>
        <title>
          <tx>
            <rich>
              <a:bodyPr xmlns:a="http://schemas.openxmlformats.org/drawingml/2006/main"/>
              <a:lstStyle xmlns:a="http://schemas.openxmlformats.org/drawingml/2006/main"/>
              <a:p xmlns:a="http://schemas.openxmlformats.org/drawingml/2006/main">
                <a:pPr>
                  <a:defRPr/>
                </a:pPr>
                <a:r>
                  <a:rPr lang="en-GB"/>
                  <a:t>Capture Price (EUR/MWh)</a:t>
                </a:r>
              </a:p>
            </rich>
          </tx>
          <overlay val="1"/>
        </title>
        <numFmt formatCode="General" sourceLinked="1"/>
        <majorTickMark val="none"/>
        <minorTickMark val="none"/>
        <tickLblPos val="nextTo"/>
        <crossAx val="10"/>
        <crosses val="autoZero"/>
        <crossBetween val="between"/>
      </valAx>
    </plotArea>
    <legend>
      <legendPos val="r"/>
      <overlay val="1"/>
    </legend>
    <plotVisOnly val="1"/>
    <dispBlanksAs val="gap"/>
  </chart>
</chartSpace>
</file>

<file path=xl/charts/chart223.xml><?xml version="1.0" encoding="utf-8"?>
<chartSpace xmlns="http://schemas.openxmlformats.org/drawingml/2006/chart">
  <chart>
    <title>
      <tx>
        <rich>
          <a:bodyPr xmlns:a="http://schemas.openxmlformats.org/drawingml/2006/main"/>
          <a:lstStyle xmlns:a="http://schemas.openxmlformats.org/drawingml/2006/main"/>
          <a:p xmlns:a="http://schemas.openxmlformats.org/drawingml/2006/main">
            <a:pPr>
              <a:defRPr/>
            </a:pPr>
            <a:r>
              <a:rPr lang="en-GB"/>
              <a:t>MC Simulation - DK1 P50/P90/P99 Capture Price Paths</a:t>
            </a:r>
          </a:p>
        </rich>
      </tx>
      <overlay val="1"/>
    </title>
    <plotArea>
      <layout/>
      <lineChart>
        <grouping val="standard"/>
        <varyColors val="1"/>
        <ser>
          <idx val="0"/>
          <order val="0"/>
          <tx>
            <strRef>
              <f>Simulation!$C$1</f>
              <strCache>
                <ptCount val="1"/>
                <pt idx="0">
                  <v>mu_capture</v>
                </pt>
              </strCache>
            </strRef>
          </tx>
          <spPr>
            <a:ln xmlns:a="http://schemas.openxmlformats.org/drawingml/2006/main">
              <a:solidFill>
                <a:srgbClr val="70AD47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val>
            <numRef>
              <f>Simulation!$C$2:$C$301</f>
              <numCache>
                <formatCode>General</formatCode>
                <ptCount val="300"/>
                <pt idx="0">
                  <v>64.87990000000001</v>
                </pt>
                <pt idx="1">
                  <v>64.84569999999999</v>
                </pt>
                <pt idx="2">
                  <v>64.81140000000001</v>
                </pt>
                <pt idx="3">
                  <v>64.7771</v>
                </pt>
                <pt idx="4">
                  <v>64.74290000000001</v>
                </pt>
                <pt idx="5">
                  <v>64.7086</v>
                </pt>
                <pt idx="6">
                  <v>64.67440000000001</v>
                </pt>
                <pt idx="7">
                  <v>64.6401</v>
                </pt>
                <pt idx="8">
                  <v>64.6058</v>
                </pt>
                <pt idx="9">
                  <v>64.5716</v>
                </pt>
                <pt idx="10">
                  <v>64.5373</v>
                </pt>
                <pt idx="11">
                  <v>64.503</v>
                </pt>
                <pt idx="12">
                  <v>64.4688</v>
                </pt>
                <pt idx="13">
                  <v>64.4345</v>
                </pt>
                <pt idx="14">
                  <v>64.4003</v>
                </pt>
                <pt idx="15">
                  <v>64.366</v>
                </pt>
                <pt idx="16">
                  <v>64.3317</v>
                </pt>
                <pt idx="17">
                  <v>64.2975</v>
                </pt>
                <pt idx="18">
                  <v>64.2632</v>
                </pt>
                <pt idx="19">
                  <v>64.229</v>
                </pt>
                <pt idx="20">
                  <v>64.1947</v>
                </pt>
                <pt idx="21">
                  <v>64.1604</v>
                </pt>
                <pt idx="22">
                  <v>64.1262</v>
                </pt>
                <pt idx="23">
                  <v>64.0919</v>
                </pt>
                <pt idx="24">
                  <v>64.05759999999999</v>
                </pt>
                <pt idx="25">
                  <v>64.0234</v>
                </pt>
                <pt idx="26">
                  <v>63.9891</v>
                </pt>
                <pt idx="27">
                  <v>63.9549</v>
                </pt>
                <pt idx="28">
                  <v>63.9206</v>
                </pt>
                <pt idx="29">
                  <v>63.8863</v>
                </pt>
                <pt idx="30">
                  <v>63.8521</v>
                </pt>
                <pt idx="31">
                  <v>63.8178</v>
                </pt>
                <pt idx="32">
                  <v>63.7836</v>
                </pt>
                <pt idx="33">
                  <v>63.7493</v>
                </pt>
                <pt idx="34">
                  <v>63.715</v>
                </pt>
                <pt idx="35">
                  <v>63.6808</v>
                </pt>
                <pt idx="36">
                  <v>63.6465</v>
                </pt>
                <pt idx="37">
                  <v>63.6122</v>
                </pt>
                <pt idx="38">
                  <v>63.578</v>
                </pt>
                <pt idx="39">
                  <v>63.5437</v>
                </pt>
                <pt idx="40">
                  <v>63.5095</v>
                </pt>
                <pt idx="41">
                  <v>63.4752</v>
                </pt>
                <pt idx="42">
                  <v>63.4409</v>
                </pt>
                <pt idx="43">
                  <v>63.4067</v>
                </pt>
                <pt idx="44">
                  <v>63.3724</v>
                </pt>
                <pt idx="45">
                  <v>63.3382</v>
                </pt>
                <pt idx="46">
                  <v>63.3039</v>
                </pt>
                <pt idx="47">
                  <v>63.2696</v>
                </pt>
                <pt idx="48">
                  <v>63.2354</v>
                </pt>
                <pt idx="49">
                  <v>63.2011</v>
                </pt>
                <pt idx="50">
                  <v>63.1669</v>
                </pt>
                <pt idx="51">
                  <v>63.1326</v>
                </pt>
                <pt idx="52">
                  <v>63.0983</v>
                </pt>
                <pt idx="53">
                  <v>63.0641</v>
                </pt>
                <pt idx="54">
                  <v>63.0298</v>
                </pt>
                <pt idx="55">
                  <v>62.9955</v>
                </pt>
                <pt idx="56">
                  <v>62.9613</v>
                </pt>
                <pt idx="57">
                  <v>62.927</v>
                </pt>
                <pt idx="58">
                  <v>62.8928</v>
                </pt>
                <pt idx="59">
                  <v>62.8585</v>
                </pt>
                <pt idx="60">
                  <v>62.8242</v>
                </pt>
                <pt idx="61">
                  <v>62.79</v>
                </pt>
                <pt idx="62">
                  <v>62.7557</v>
                </pt>
                <pt idx="63">
                  <v>62.7215</v>
                </pt>
                <pt idx="64">
                  <v>62.6872</v>
                </pt>
                <pt idx="65">
                  <v>62.6529</v>
                </pt>
                <pt idx="66">
                  <v>62.6187</v>
                </pt>
                <pt idx="67">
                  <v>62.5844</v>
                </pt>
                <pt idx="68">
                  <v>62.5501</v>
                </pt>
                <pt idx="69">
                  <v>62.5159</v>
                </pt>
                <pt idx="70">
                  <v>62.4816</v>
                </pt>
                <pt idx="71">
                  <v>62.4474</v>
                </pt>
                <pt idx="72">
                  <v>62.4131</v>
                </pt>
                <pt idx="73">
                  <v>62.3788</v>
                </pt>
                <pt idx="74">
                  <v>62.3446</v>
                </pt>
                <pt idx="75">
                  <v>62.3103</v>
                </pt>
                <pt idx="76">
                  <v>62.2761</v>
                </pt>
                <pt idx="77">
                  <v>62.2418</v>
                </pt>
                <pt idx="78">
                  <v>62.2075</v>
                </pt>
                <pt idx="79">
                  <v>62.1733</v>
                </pt>
                <pt idx="80">
                  <v>62.139</v>
                </pt>
                <pt idx="81">
                  <v>62.1047</v>
                </pt>
                <pt idx="82">
                  <v>62.0705</v>
                </pt>
                <pt idx="83">
                  <v>62.0362</v>
                </pt>
                <pt idx="84">
                  <v>62.002</v>
                </pt>
                <pt idx="85">
                  <v>61.9677</v>
                </pt>
                <pt idx="86">
                  <v>61.9334</v>
                </pt>
                <pt idx="87">
                  <v>61.8992</v>
                </pt>
                <pt idx="88">
                  <v>61.8649</v>
                </pt>
                <pt idx="89">
                  <v>61.8307</v>
                </pt>
                <pt idx="90">
                  <v>61.7964</v>
                </pt>
                <pt idx="91">
                  <v>61.7621</v>
                </pt>
                <pt idx="92">
                  <v>61.7279</v>
                </pt>
                <pt idx="93">
                  <v>61.6936</v>
                </pt>
                <pt idx="94">
                  <v>61.6593</v>
                </pt>
                <pt idx="95">
                  <v>61.6251</v>
                </pt>
                <pt idx="96">
                  <v>61.5908</v>
                </pt>
                <pt idx="97">
                  <v>61.5566</v>
                </pt>
                <pt idx="98">
                  <v>61.5223</v>
                </pt>
                <pt idx="99">
                  <v>61.488</v>
                </pt>
                <pt idx="100">
                  <v>61.4538</v>
                </pt>
                <pt idx="101">
                  <v>61.4195</v>
                </pt>
                <pt idx="102">
                  <v>61.3853</v>
                </pt>
                <pt idx="103">
                  <v>61.351</v>
                </pt>
                <pt idx="104">
                  <v>61.3167</v>
                </pt>
                <pt idx="105">
                  <v>61.2825</v>
                </pt>
                <pt idx="106">
                  <v>61.2482</v>
                </pt>
                <pt idx="107">
                  <v>61.2139</v>
                </pt>
                <pt idx="108">
                  <v>61.1797</v>
                </pt>
                <pt idx="109">
                  <v>61.1454</v>
                </pt>
                <pt idx="110">
                  <v>61.1112</v>
                </pt>
                <pt idx="111">
                  <v>61.0769</v>
                </pt>
                <pt idx="112">
                  <v>61.0426</v>
                </pt>
                <pt idx="113">
                  <v>61.0084</v>
                </pt>
                <pt idx="114">
                  <v>60.9741</v>
                </pt>
                <pt idx="115">
                  <v>60.9399</v>
                </pt>
                <pt idx="116">
                  <v>60.9056</v>
                </pt>
                <pt idx="117">
                  <v>60.8713</v>
                </pt>
                <pt idx="118">
                  <v>60.8371</v>
                </pt>
                <pt idx="119">
                  <v>60.8028</v>
                </pt>
                <pt idx="120">
                  <v>60.7685</v>
                </pt>
                <pt idx="121">
                  <v>60.7343</v>
                </pt>
                <pt idx="122">
                  <v>60.7</v>
                </pt>
                <pt idx="123">
                  <v>60.6658</v>
                </pt>
                <pt idx="124">
                  <v>60.6315</v>
                </pt>
                <pt idx="125">
                  <v>60.5972</v>
                </pt>
                <pt idx="126">
                  <v>60.563</v>
                </pt>
                <pt idx="127">
                  <v>60.5287</v>
                </pt>
                <pt idx="128">
                  <v>60.4945</v>
                </pt>
                <pt idx="129">
                  <v>60.4602</v>
                </pt>
                <pt idx="130">
                  <v>60.4259</v>
                </pt>
                <pt idx="131">
                  <v>60.3917</v>
                </pt>
                <pt idx="132">
                  <v>60.3574</v>
                </pt>
                <pt idx="133">
                  <v>60.3231</v>
                </pt>
                <pt idx="134">
                  <v>60.2889</v>
                </pt>
                <pt idx="135">
                  <v>60.2546</v>
                </pt>
                <pt idx="136">
                  <v>60.2204</v>
                </pt>
                <pt idx="137">
                  <v>60.1861</v>
                </pt>
                <pt idx="138">
                  <v>60.1518</v>
                </pt>
                <pt idx="139">
                  <v>60.1176</v>
                </pt>
                <pt idx="140">
                  <v>60.0833</v>
                </pt>
                <pt idx="141">
                  <v>60.0491</v>
                </pt>
                <pt idx="142">
                  <v>60.0148</v>
                </pt>
                <pt idx="143">
                  <v>59.9805</v>
                </pt>
                <pt idx="144">
                  <v>59.9463</v>
                </pt>
                <pt idx="145">
                  <v>59.912</v>
                </pt>
                <pt idx="146">
                  <v>59.8777</v>
                </pt>
                <pt idx="147">
                  <v>59.8435</v>
                </pt>
                <pt idx="148">
                  <v>59.8092</v>
                </pt>
                <pt idx="149">
                  <v>59.775</v>
                </pt>
                <pt idx="150">
                  <v>59.7407</v>
                </pt>
                <pt idx="151">
                  <v>59.7064</v>
                </pt>
                <pt idx="152">
                  <v>59.6722</v>
                </pt>
                <pt idx="153">
                  <v>59.6379</v>
                </pt>
                <pt idx="154">
                  <v>59.6037</v>
                </pt>
                <pt idx="155">
                  <v>59.5694</v>
                </pt>
                <pt idx="156">
                  <v>59.5351</v>
                </pt>
                <pt idx="157">
                  <v>59.5009</v>
                </pt>
                <pt idx="158">
                  <v>59.4666</v>
                </pt>
                <pt idx="159">
                  <v>59.4323</v>
                </pt>
                <pt idx="160">
                  <v>59.3981</v>
                </pt>
                <pt idx="161">
                  <v>59.3638</v>
                </pt>
                <pt idx="162">
                  <v>59.3296</v>
                </pt>
                <pt idx="163">
                  <v>59.2953</v>
                </pt>
                <pt idx="164">
                  <v>59.261</v>
                </pt>
                <pt idx="165">
                  <v>59.2268</v>
                </pt>
                <pt idx="166">
                  <v>59.1925</v>
                </pt>
                <pt idx="167">
                  <v>59.1583</v>
                </pt>
                <pt idx="168">
                  <v>59.124</v>
                </pt>
                <pt idx="169">
                  <v>59.0897</v>
                </pt>
                <pt idx="170">
                  <v>59.0555</v>
                </pt>
                <pt idx="171">
                  <v>59.0212</v>
                </pt>
                <pt idx="172">
                  <v>58.9869</v>
                </pt>
                <pt idx="173">
                  <v>58.9527</v>
                </pt>
                <pt idx="174">
                  <v>58.9184</v>
                </pt>
                <pt idx="175">
                  <v>58.8842</v>
                </pt>
                <pt idx="176">
                  <v>58.8499</v>
                </pt>
                <pt idx="177">
                  <v>58.8156</v>
                </pt>
                <pt idx="178">
                  <v>58.7814</v>
                </pt>
                <pt idx="179">
                  <v>58.7471</v>
                </pt>
                <pt idx="180">
                  <v>58.7129</v>
                </pt>
                <pt idx="181">
                  <v>58.6786</v>
                </pt>
                <pt idx="182">
                  <v>58.6443</v>
                </pt>
                <pt idx="183">
                  <v>58.6101</v>
                </pt>
                <pt idx="184">
                  <v>58.5758</v>
                </pt>
                <pt idx="185">
                  <v>58.5415</v>
                </pt>
                <pt idx="186">
                  <v>58.5073</v>
                </pt>
                <pt idx="187">
                  <v>58.473</v>
                </pt>
                <pt idx="188">
                  <v>58.4388</v>
                </pt>
                <pt idx="189">
                  <v>58.4045</v>
                </pt>
                <pt idx="190">
                  <v>58.3702</v>
                </pt>
                <pt idx="191">
                  <v>58.336</v>
                </pt>
                <pt idx="192">
                  <v>58.3017</v>
                </pt>
                <pt idx="193">
                  <v>58.2675</v>
                </pt>
                <pt idx="194">
                  <v>58.2332</v>
                </pt>
                <pt idx="195">
                  <v>58.1989</v>
                </pt>
                <pt idx="196">
                  <v>58.1647</v>
                </pt>
                <pt idx="197">
                  <v>58.1304</v>
                </pt>
                <pt idx="198">
                  <v>58.0961</v>
                </pt>
                <pt idx="199">
                  <v>58.0619</v>
                </pt>
                <pt idx="200">
                  <v>58.0276</v>
                </pt>
                <pt idx="201">
                  <v>57.9934</v>
                </pt>
                <pt idx="202">
                  <v>57.9591</v>
                </pt>
                <pt idx="203">
                  <v>57.9248</v>
                </pt>
                <pt idx="204">
                  <v>57.8906</v>
                </pt>
                <pt idx="205">
                  <v>57.8563</v>
                </pt>
                <pt idx="206">
                  <v>57.8221</v>
                </pt>
                <pt idx="207">
                  <v>57.7878</v>
                </pt>
                <pt idx="208">
                  <v>57.7535</v>
                </pt>
                <pt idx="209">
                  <v>57.7193</v>
                </pt>
                <pt idx="210">
                  <v>57.685</v>
                </pt>
                <pt idx="211">
                  <v>57.6507</v>
                </pt>
                <pt idx="212">
                  <v>57.6165</v>
                </pt>
                <pt idx="213">
                  <v>57.5822</v>
                </pt>
                <pt idx="214">
                  <v>57.548</v>
                </pt>
                <pt idx="215">
                  <v>57.5137</v>
                </pt>
                <pt idx="216">
                  <v>57.4794</v>
                </pt>
                <pt idx="217">
                  <v>57.4452</v>
                </pt>
                <pt idx="218">
                  <v>57.4109</v>
                </pt>
                <pt idx="219">
                  <v>57.3767</v>
                </pt>
                <pt idx="220">
                  <v>57.3424</v>
                </pt>
                <pt idx="221">
                  <v>57.3081</v>
                </pt>
                <pt idx="222">
                  <v>57.2739</v>
                </pt>
                <pt idx="223">
                  <v>57.2396</v>
                </pt>
                <pt idx="224">
                  <v>57.2053</v>
                </pt>
                <pt idx="225">
                  <v>57.1711</v>
                </pt>
                <pt idx="226">
                  <v>57.1368</v>
                </pt>
                <pt idx="227">
                  <v>57.1026</v>
                </pt>
                <pt idx="228">
                  <v>57.0683</v>
                </pt>
                <pt idx="229">
                  <v>57.034</v>
                </pt>
                <pt idx="230">
                  <v>56.9998</v>
                </pt>
                <pt idx="231">
                  <v>56.9655</v>
                </pt>
                <pt idx="232">
                  <v>56.9313</v>
                </pt>
                <pt idx="233">
                  <v>56.897</v>
                </pt>
                <pt idx="234">
                  <v>56.8627</v>
                </pt>
                <pt idx="235">
                  <v>56.8285</v>
                </pt>
                <pt idx="236">
                  <v>56.7942</v>
                </pt>
                <pt idx="237">
                  <v>56.7599</v>
                </pt>
                <pt idx="238">
                  <v>56.7257</v>
                </pt>
                <pt idx="239">
                  <v>56.6914</v>
                </pt>
                <pt idx="240">
                  <v>56.6572</v>
                </pt>
                <pt idx="241">
                  <v>56.6229</v>
                </pt>
                <pt idx="242">
                  <v>56.5886</v>
                </pt>
                <pt idx="243">
                  <v>56.5544</v>
                </pt>
                <pt idx="244">
                  <v>56.5201</v>
                </pt>
                <pt idx="245">
                  <v>56.4859</v>
                </pt>
                <pt idx="246">
                  <v>56.4516</v>
                </pt>
                <pt idx="247">
                  <v>56.4173</v>
                </pt>
                <pt idx="248">
                  <v>56.3831</v>
                </pt>
                <pt idx="249">
                  <v>56.3488</v>
                </pt>
                <pt idx="250">
                  <v>56.3145</v>
                </pt>
                <pt idx="251">
                  <v>56.2803</v>
                </pt>
                <pt idx="252">
                  <v>56.246</v>
                </pt>
                <pt idx="253">
                  <v>56.2118</v>
                </pt>
                <pt idx="254">
                  <v>56.1775</v>
                </pt>
                <pt idx="255">
                  <v>56.1432</v>
                </pt>
                <pt idx="256">
                  <v>56.109</v>
                </pt>
                <pt idx="257">
                  <v>56.0747</v>
                </pt>
                <pt idx="258">
                  <v>56.0405</v>
                </pt>
                <pt idx="259">
                  <v>56.0062</v>
                </pt>
                <pt idx="260">
                  <v>55.9719</v>
                </pt>
                <pt idx="261">
                  <v>55.9377</v>
                </pt>
                <pt idx="262">
                  <v>55.9034</v>
                </pt>
                <pt idx="263">
                  <v>55.8691</v>
                </pt>
                <pt idx="264">
                  <v>55.8349</v>
                </pt>
                <pt idx="265">
                  <v>55.8006</v>
                </pt>
                <pt idx="266">
                  <v>55.7664</v>
                </pt>
                <pt idx="267">
                  <v>55.7321</v>
                </pt>
                <pt idx="268">
                  <v>55.6978</v>
                </pt>
                <pt idx="269">
                  <v>55.6636</v>
                </pt>
                <pt idx="270">
                  <v>55.6293</v>
                </pt>
                <pt idx="271">
                  <v>55.5951</v>
                </pt>
                <pt idx="272">
                  <v>55.5608</v>
                </pt>
                <pt idx="273">
                  <v>55.5265</v>
                </pt>
                <pt idx="274">
                  <v>55.4923</v>
                </pt>
                <pt idx="275">
                  <v>55.458</v>
                </pt>
                <pt idx="276">
                  <v>55.4237</v>
                </pt>
                <pt idx="277">
                  <v>55.3895</v>
                </pt>
                <pt idx="278">
                  <v>55.3552</v>
                </pt>
                <pt idx="279">
                  <v>55.321</v>
                </pt>
                <pt idx="280">
                  <v>55.2867</v>
                </pt>
                <pt idx="281">
                  <v>55.2524</v>
                </pt>
                <pt idx="282">
                  <v>55.2182</v>
                </pt>
                <pt idx="283">
                  <v>55.1839</v>
                </pt>
                <pt idx="284">
                  <v>55.1497</v>
                </pt>
                <pt idx="285">
                  <v>55.1154</v>
                </pt>
                <pt idx="286">
                  <v>55.0811</v>
                </pt>
                <pt idx="287">
                  <v>55.0469</v>
                </pt>
                <pt idx="288">
                  <v>55.0126</v>
                </pt>
                <pt idx="289">
                  <v>54.9783</v>
                </pt>
                <pt idx="290">
                  <v>54.9441</v>
                </pt>
                <pt idx="291">
                  <v>54.9098</v>
                </pt>
                <pt idx="292">
                  <v>54.8756</v>
                </pt>
                <pt idx="293">
                  <v>54.8413</v>
                </pt>
                <pt idx="294">
                  <v>54.807</v>
                </pt>
                <pt idx="295">
                  <v>54.7728</v>
                </pt>
                <pt idx="296">
                  <v>54.7385</v>
                </pt>
                <pt idx="297">
                  <v>54.7043</v>
                </pt>
                <pt idx="298">
                  <v>54.67</v>
                </pt>
                <pt idx="299">
                  <v>54.6357</v>
                </pt>
              </numCache>
            </numRef>
          </val>
          <smooth val="1"/>
        </ser>
        <ser>
          <idx val="1"/>
          <order val="1"/>
          <tx>
            <strRef>
              <f>Simulation!$D$1</f>
              <strCache>
                <ptCount val="1"/>
                <pt idx="0">
                  <v>P50</v>
                </pt>
              </strCache>
            </strRef>
          </tx>
          <spPr>
            <a:ln xmlns:a="http://schemas.openxmlformats.org/drawingml/2006/main">
              <a:solidFill>
                <a:srgbClr val="2E75B6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val>
            <numRef>
              <f>Simulation!$D$2:$D$301</f>
              <numCache>
                <formatCode>General</formatCode>
                <ptCount val="300"/>
                <pt idx="0">
                  <v>68.29470000000001</v>
                </pt>
                <pt idx="1">
                  <v>67.8014</v>
                </pt>
                <pt idx="2">
                  <v>67.71599999999999</v>
                </pt>
                <pt idx="3">
                  <v>67.0428</v>
                </pt>
                <pt idx="4">
                  <v>66.6091</v>
                </pt>
                <pt idx="5">
                  <v>66.60039999999999</v>
                </pt>
                <pt idx="6">
                  <v>66.3599</v>
                </pt>
                <pt idx="7">
                  <v>66.1206</v>
                </pt>
                <pt idx="8">
                  <v>65.93049999999999</v>
                </pt>
                <pt idx="9">
                  <v>65.7839</v>
                </pt>
                <pt idx="10">
                  <v>65.3835</v>
                </pt>
                <pt idx="11">
                  <v>65.49639999999999</v>
                </pt>
                <pt idx="12">
                  <v>65.4259</v>
                </pt>
                <pt idx="13">
                  <v>65.3168</v>
                </pt>
                <pt idx="14">
                  <v>65.3124</v>
                </pt>
                <pt idx="15">
                  <v>65.4709</v>
                </pt>
                <pt idx="16">
                  <v>65.0741</v>
                </pt>
                <pt idx="17">
                  <v>65.3845</v>
                </pt>
                <pt idx="18">
                  <v>65.3837</v>
                </pt>
                <pt idx="19">
                  <v>64.92100000000001</v>
                </pt>
                <pt idx="20">
                  <v>64.67189999999999</v>
                </pt>
                <pt idx="21">
                  <v>64.66589999999999</v>
                </pt>
                <pt idx="22">
                  <v>64.5806</v>
                </pt>
                <pt idx="23">
                  <v>64.753</v>
                </pt>
                <pt idx="24">
                  <v>64.5184</v>
                </pt>
                <pt idx="25">
                  <v>63.9402</v>
                </pt>
                <pt idx="26">
                  <v>64.05119999999999</v>
                </pt>
                <pt idx="27">
                  <v>63.356</v>
                </pt>
                <pt idx="28">
                  <v>63.4926</v>
                </pt>
                <pt idx="29">
                  <v>63.8812</v>
                </pt>
                <pt idx="30">
                  <v>63.8228</v>
                </pt>
                <pt idx="31">
                  <v>63.6116</v>
                </pt>
                <pt idx="32">
                  <v>63.6882</v>
                </pt>
                <pt idx="33">
                  <v>63.7051</v>
                </pt>
                <pt idx="34">
                  <v>63.2599</v>
                </pt>
                <pt idx="35">
                  <v>63.4638</v>
                </pt>
                <pt idx="36">
                  <v>63.5791</v>
                </pt>
                <pt idx="37">
                  <v>63.822</v>
                </pt>
                <pt idx="38">
                  <v>63.89</v>
                </pt>
                <pt idx="39">
                  <v>64.0026</v>
                </pt>
                <pt idx="40">
                  <v>63.5872</v>
                </pt>
                <pt idx="41">
                  <v>63.6273</v>
                </pt>
                <pt idx="42">
                  <v>63.3573</v>
                </pt>
                <pt idx="43">
                  <v>62.892</v>
                </pt>
                <pt idx="44">
                  <v>63.6131</v>
                </pt>
                <pt idx="45">
                  <v>63.198</v>
                </pt>
                <pt idx="46">
                  <v>63.0624</v>
                </pt>
                <pt idx="47">
                  <v>62.845</v>
                </pt>
                <pt idx="48">
                  <v>62.6145</v>
                </pt>
                <pt idx="49">
                  <v>63.1053</v>
                </pt>
                <pt idx="50">
                  <v>62.8602</v>
                </pt>
                <pt idx="51">
                  <v>62.9103</v>
                </pt>
                <pt idx="52">
                  <v>62.3016</v>
                </pt>
                <pt idx="53">
                  <v>62.4812</v>
                </pt>
                <pt idx="54">
                  <v>62.362</v>
                </pt>
                <pt idx="55">
                  <v>62.5664</v>
                </pt>
                <pt idx="56">
                  <v>62.7613</v>
                </pt>
                <pt idx="57">
                  <v>63.3374</v>
                </pt>
                <pt idx="58">
                  <v>62.7833</v>
                </pt>
                <pt idx="59">
                  <v>62.4226</v>
                </pt>
                <pt idx="60">
                  <v>62.5881</v>
                </pt>
                <pt idx="61">
                  <v>62.3565</v>
                </pt>
                <pt idx="62">
                  <v>62.6133</v>
                </pt>
                <pt idx="63">
                  <v>62.5835</v>
                </pt>
                <pt idx="64">
                  <v>63.0146</v>
                </pt>
                <pt idx="65">
                  <v>62.8042</v>
                </pt>
                <pt idx="66">
                  <v>62.8996</v>
                </pt>
                <pt idx="67">
                  <v>62.9281</v>
                </pt>
                <pt idx="68">
                  <v>62.6208</v>
                </pt>
                <pt idx="69">
                  <v>62.8201</v>
                </pt>
                <pt idx="70">
                  <v>63.2874</v>
                </pt>
                <pt idx="71">
                  <v>63.1687</v>
                </pt>
                <pt idx="72">
                  <v>62.8916</v>
                </pt>
                <pt idx="73">
                  <v>62.7213</v>
                </pt>
                <pt idx="74">
                  <v>62.9305</v>
                </pt>
                <pt idx="75">
                  <v>62.6355</v>
                </pt>
                <pt idx="76">
                  <v>62.6489</v>
                </pt>
                <pt idx="77">
                  <v>62.8141</v>
                </pt>
                <pt idx="78">
                  <v>63.0745</v>
                </pt>
                <pt idx="79">
                  <v>62.9874</v>
                </pt>
                <pt idx="80">
                  <v>62.4777</v>
                </pt>
                <pt idx="81">
                  <v>62.5201</v>
                </pt>
                <pt idx="82">
                  <v>62.2743</v>
                </pt>
                <pt idx="83">
                  <v>62.398</v>
                </pt>
                <pt idx="84">
                  <v>62.1767</v>
                </pt>
                <pt idx="85">
                  <v>62.0783</v>
                </pt>
                <pt idx="86">
                  <v>61.8828</v>
                </pt>
                <pt idx="87">
                  <v>61.7588</v>
                </pt>
                <pt idx="88">
                  <v>62.4898</v>
                </pt>
                <pt idx="89">
                  <v>62.0116</v>
                </pt>
                <pt idx="90">
                  <v>61.8201</v>
                </pt>
                <pt idx="91">
                  <v>61.529</v>
                </pt>
                <pt idx="92">
                  <v>61.6442</v>
                </pt>
                <pt idx="93">
                  <v>61.4838</v>
                </pt>
                <pt idx="94">
                  <v>61.343</v>
                </pt>
                <pt idx="95">
                  <v>60.9542</v>
                </pt>
                <pt idx="96">
                  <v>60.434</v>
                </pt>
                <pt idx="97">
                  <v>60.3001</v>
                </pt>
                <pt idx="98">
                  <v>60.473</v>
                </pt>
                <pt idx="99">
                  <v>60.8696</v>
                </pt>
                <pt idx="100">
                  <v>60.9672</v>
                </pt>
                <pt idx="101">
                  <v>60.7791</v>
                </pt>
                <pt idx="102">
                  <v>61.3644</v>
                </pt>
                <pt idx="103">
                  <v>61.2554</v>
                </pt>
                <pt idx="104">
                  <v>61.0374</v>
                </pt>
                <pt idx="105">
                  <v>61.084</v>
                </pt>
                <pt idx="106">
                  <v>61.1586</v>
                </pt>
                <pt idx="107">
                  <v>61.5774</v>
                </pt>
                <pt idx="108">
                  <v>61.2402</v>
                </pt>
                <pt idx="109">
                  <v>61.5023</v>
                </pt>
                <pt idx="110">
                  <v>60.8356</v>
                </pt>
                <pt idx="111">
                  <v>61.0535</v>
                </pt>
                <pt idx="112">
                  <v>60.5295</v>
                </pt>
                <pt idx="113">
                  <v>60.994</v>
                </pt>
                <pt idx="114">
                  <v>60.7776</v>
                </pt>
                <pt idx="115">
                  <v>60.9892</v>
                </pt>
                <pt idx="116">
                  <v>60.859</v>
                </pt>
                <pt idx="117">
                  <v>60.9684</v>
                </pt>
                <pt idx="118">
                  <v>60.7264</v>
                </pt>
                <pt idx="119">
                  <v>60.6705</v>
                </pt>
                <pt idx="120">
                  <v>61.1463</v>
                </pt>
                <pt idx="121">
                  <v>61.2064</v>
                </pt>
                <pt idx="122">
                  <v>61.7537</v>
                </pt>
                <pt idx="123">
                  <v>61.6866</v>
                </pt>
                <pt idx="124">
                  <v>60.9476</v>
                </pt>
                <pt idx="125">
                  <v>60.8869</v>
                </pt>
                <pt idx="126">
                  <v>60.4458</v>
                </pt>
                <pt idx="127">
                  <v>60.1503</v>
                </pt>
                <pt idx="128">
                  <v>60.157</v>
                </pt>
                <pt idx="129">
                  <v>60.2788</v>
                </pt>
                <pt idx="130">
                  <v>59.5874</v>
                </pt>
                <pt idx="131">
                  <v>59.3136</v>
                </pt>
                <pt idx="132">
                  <v>59.3775</v>
                </pt>
                <pt idx="133">
                  <v>59.4079</v>
                </pt>
                <pt idx="134">
                  <v>59.7418</v>
                </pt>
                <pt idx="135">
                  <v>59.4624</v>
                </pt>
                <pt idx="136">
                  <v>59.7893</v>
                </pt>
                <pt idx="137">
                  <v>59.8724</v>
                </pt>
                <pt idx="138">
                  <v>59.9164</v>
                </pt>
                <pt idx="139">
                  <v>60.4144</v>
                </pt>
                <pt idx="140">
                  <v>60.186</v>
                </pt>
                <pt idx="141">
                  <v>60.0311</v>
                </pt>
                <pt idx="142">
                  <v>60.1254</v>
                </pt>
                <pt idx="143">
                  <v>59.9196</v>
                </pt>
                <pt idx="144">
                  <v>59.5949</v>
                </pt>
                <pt idx="145">
                  <v>59.6674</v>
                </pt>
                <pt idx="146">
                  <v>59.4913</v>
                </pt>
                <pt idx="147">
                  <v>59.7985</v>
                </pt>
                <pt idx="148">
                  <v>60.2316</v>
                </pt>
                <pt idx="149">
                  <v>60.2002</v>
                </pt>
                <pt idx="150">
                  <v>59.999</v>
                </pt>
                <pt idx="151">
                  <v>59.9414</v>
                </pt>
                <pt idx="152">
                  <v>60.1516</v>
                </pt>
                <pt idx="153">
                  <v>60.0906</v>
                </pt>
                <pt idx="154">
                  <v>59.853</v>
                </pt>
                <pt idx="155">
                  <v>59.8376</v>
                </pt>
                <pt idx="156">
                  <v>59.904</v>
                </pt>
                <pt idx="157">
                  <v>60.0644</v>
                </pt>
                <pt idx="158">
                  <v>60.2468</v>
                </pt>
                <pt idx="159">
                  <v>59.7396</v>
                </pt>
                <pt idx="160">
                  <v>59.5252</v>
                </pt>
                <pt idx="161">
                  <v>59.8279</v>
                </pt>
                <pt idx="162">
                  <v>59.8146</v>
                </pt>
                <pt idx="163">
                  <v>59.2046</v>
                </pt>
                <pt idx="164">
                  <v>59.7766</v>
                </pt>
                <pt idx="165">
                  <v>59.2354</v>
                </pt>
                <pt idx="166">
                  <v>59.4606</v>
                </pt>
                <pt idx="167">
                  <v>59.3208</v>
                </pt>
                <pt idx="168">
                  <v>59.4766</v>
                </pt>
                <pt idx="169">
                  <v>59.3121</v>
                </pt>
                <pt idx="170">
                  <v>59.9682</v>
                </pt>
                <pt idx="171">
                  <v>59.1549</v>
                </pt>
                <pt idx="172">
                  <v>59.2273</v>
                </pt>
                <pt idx="173">
                  <v>58.9161</v>
                </pt>
                <pt idx="174">
                  <v>58.9017</v>
                </pt>
                <pt idx="175">
                  <v>58.7956</v>
                </pt>
                <pt idx="176">
                  <v>58.6365</v>
                </pt>
                <pt idx="177">
                  <v>58.4118</v>
                </pt>
                <pt idx="178">
                  <v>59.1246</v>
                </pt>
                <pt idx="179">
                  <v>58.5243</v>
                </pt>
                <pt idx="180">
                  <v>58.8064</v>
                </pt>
                <pt idx="181">
                  <v>58.637</v>
                </pt>
                <pt idx="182">
                  <v>58.4211</v>
                </pt>
                <pt idx="183">
                  <v>58.7488</v>
                </pt>
                <pt idx="184">
                  <v>58.4166</v>
                </pt>
                <pt idx="185">
                  <v>58.8138</v>
                </pt>
                <pt idx="186">
                  <v>59.0899</v>
                </pt>
                <pt idx="187">
                  <v>59.006</v>
                </pt>
                <pt idx="188">
                  <v>59.0999</v>
                </pt>
                <pt idx="189">
                  <v>58.6771</v>
                </pt>
                <pt idx="190">
                  <v>58.0019</v>
                </pt>
                <pt idx="191">
                  <v>58.121</v>
                </pt>
                <pt idx="192">
                  <v>58.1759</v>
                </pt>
                <pt idx="193">
                  <v>58.3137</v>
                </pt>
                <pt idx="194">
                  <v>58.3165</v>
                </pt>
                <pt idx="195">
                  <v>59.062</v>
                </pt>
                <pt idx="196">
                  <v>58.6237</v>
                </pt>
                <pt idx="197">
                  <v>58.7284</v>
                </pt>
                <pt idx="198">
                  <v>58.8114</v>
                </pt>
                <pt idx="199">
                  <v>58.8203</v>
                </pt>
                <pt idx="200">
                  <v>59.1943</v>
                </pt>
                <pt idx="201">
                  <v>58.0992</v>
                </pt>
                <pt idx="202">
                  <v>57.7616</v>
                </pt>
                <pt idx="203">
                  <v>58.1124</v>
                </pt>
                <pt idx="204">
                  <v>58.2211</v>
                </pt>
                <pt idx="205">
                  <v>57.7232</v>
                </pt>
                <pt idx="206">
                  <v>57.6884</v>
                </pt>
                <pt idx="207">
                  <v>57.7402</v>
                </pt>
                <pt idx="208">
                  <v>57.6617</v>
                </pt>
                <pt idx="209">
                  <v>57.8493</v>
                </pt>
                <pt idx="210">
                  <v>57.8661</v>
                </pt>
                <pt idx="211">
                  <v>57.3616</v>
                </pt>
                <pt idx="212">
                  <v>57.8898</v>
                </pt>
                <pt idx="213">
                  <v>57.6279</v>
                </pt>
                <pt idx="214">
                  <v>57.4751</v>
                </pt>
                <pt idx="215">
                  <v>57.3662</v>
                </pt>
                <pt idx="216">
                  <v>57.3809</v>
                </pt>
                <pt idx="217">
                  <v>57.518</v>
                </pt>
                <pt idx="218">
                  <v>57.3351</v>
                </pt>
                <pt idx="219">
                  <v>57.7783</v>
                </pt>
                <pt idx="220">
                  <v>57.7556</v>
                </pt>
                <pt idx="221">
                  <v>57.5916</v>
                </pt>
                <pt idx="222">
                  <v>57.9828</v>
                </pt>
                <pt idx="223">
                  <v>58.2971</v>
                </pt>
                <pt idx="224">
                  <v>58.331</v>
                </pt>
                <pt idx="225">
                  <v>58.041</v>
                </pt>
                <pt idx="226">
                  <v>57.4548</v>
                </pt>
                <pt idx="227">
                  <v>57.5411</v>
                </pt>
                <pt idx="228">
                  <v>57.6358</v>
                </pt>
                <pt idx="229">
                  <v>57.8448</v>
                </pt>
                <pt idx="230">
                  <v>57.8627</v>
                </pt>
                <pt idx="231">
                  <v>57.5878</v>
                </pt>
                <pt idx="232">
                  <v>57.7993</v>
                </pt>
                <pt idx="233">
                  <v>57.1838</v>
                </pt>
                <pt idx="234">
                  <v>57.2447</v>
                </pt>
                <pt idx="235">
                  <v>57.2389</v>
                </pt>
                <pt idx="236">
                  <v>57.3693</v>
                </pt>
                <pt idx="237">
                  <v>57.9752</v>
                </pt>
                <pt idx="238">
                  <v>57.5632</v>
                </pt>
                <pt idx="239">
                  <v>57.4317</v>
                </pt>
                <pt idx="240">
                  <v>57.0598</v>
                </pt>
                <pt idx="241">
                  <v>57.0195</v>
                </pt>
                <pt idx="242">
                  <v>57.0637</v>
                </pt>
                <pt idx="243">
                  <v>57.3524</v>
                </pt>
                <pt idx="244">
                  <v>57.4925</v>
                </pt>
                <pt idx="245">
                  <v>56.9798</v>
                </pt>
                <pt idx="246">
                  <v>57.0544</v>
                </pt>
                <pt idx="247">
                  <v>56.621</v>
                </pt>
                <pt idx="248">
                  <v>56.5454</v>
                </pt>
                <pt idx="249">
                  <v>56.3178</v>
                </pt>
                <pt idx="250">
                  <v>56.3433</v>
                </pt>
                <pt idx="251">
                  <v>56.1339</v>
                </pt>
                <pt idx="252">
                  <v>56.3073</v>
                </pt>
                <pt idx="253">
                  <v>56.3294</v>
                </pt>
                <pt idx="254">
                  <v>56.0401</v>
                </pt>
                <pt idx="255">
                  <v>55.6009</v>
                </pt>
                <pt idx="256">
                  <v>55.8668</v>
                </pt>
                <pt idx="257">
                  <v>56.1177</v>
                </pt>
                <pt idx="258">
                  <v>56.3879</v>
                </pt>
                <pt idx="259">
                  <v>56.37</v>
                </pt>
                <pt idx="260">
                  <v>56.2838</v>
                </pt>
                <pt idx="261">
                  <v>56.1534</v>
                </pt>
                <pt idx="262">
                  <v>55.9422</v>
                </pt>
                <pt idx="263">
                  <v>56.0491</v>
                </pt>
                <pt idx="264">
                  <v>56.027</v>
                </pt>
                <pt idx="265">
                  <v>56.2921</v>
                </pt>
                <pt idx="266">
                  <v>56.0201</v>
                </pt>
                <pt idx="267">
                  <v>55.5751</v>
                </pt>
                <pt idx="268">
                  <v>55.4308</v>
                </pt>
                <pt idx="269">
                  <v>55.919</v>
                </pt>
                <pt idx="270">
                  <v>55.1798</v>
                </pt>
                <pt idx="271">
                  <v>55.4411</v>
                </pt>
                <pt idx="272">
                  <v>55.449</v>
                </pt>
                <pt idx="273">
                  <v>54.766</v>
                </pt>
                <pt idx="274">
                  <v>54.488</v>
                </pt>
                <pt idx="275">
                  <v>54.8748</v>
                </pt>
                <pt idx="276">
                  <v>54.855</v>
                </pt>
                <pt idx="277">
                  <v>54.9947</v>
                </pt>
                <pt idx="278">
                  <v>55.0124</v>
                </pt>
                <pt idx="279">
                  <v>55.2999</v>
                </pt>
                <pt idx="280">
                  <v>55.0475</v>
                </pt>
                <pt idx="281">
                  <v>54.9583</v>
                </pt>
                <pt idx="282">
                  <v>55.6361</v>
                </pt>
                <pt idx="283">
                  <v>55.5285</v>
                </pt>
                <pt idx="284">
                  <v>55.3486</v>
                </pt>
                <pt idx="285">
                  <v>54.8767</v>
                </pt>
                <pt idx="286">
                  <v>54.9223</v>
                </pt>
                <pt idx="287">
                  <v>55.137</v>
                </pt>
                <pt idx="288">
                  <v>55.7804</v>
                </pt>
                <pt idx="289">
                  <v>55.0518</v>
                </pt>
                <pt idx="290">
                  <v>55.1855</v>
                </pt>
                <pt idx="291">
                  <v>55.2732</v>
                </pt>
                <pt idx="292">
                  <v>54.8977</v>
                </pt>
                <pt idx="293">
                  <v>55.2318</v>
                </pt>
                <pt idx="294">
                  <v>55.4008</v>
                </pt>
                <pt idx="295">
                  <v>55.4494</v>
                </pt>
                <pt idx="296">
                  <v>55.0685</v>
                </pt>
                <pt idx="297">
                  <v>55.1671</v>
                </pt>
                <pt idx="298">
                  <v>55.2036</v>
                </pt>
                <pt idx="299">
                  <v>54.7877</v>
                </pt>
              </numCache>
            </numRef>
          </val>
          <smooth val="1"/>
        </ser>
        <ser>
          <idx val="2"/>
          <order val="2"/>
          <tx>
            <strRef>
              <f>Simulation!$F$1</f>
              <strCache>
                <ptCount val="1"/>
                <pt idx="0">
                  <v>P90</v>
                </pt>
              </strCache>
            </strRef>
          </tx>
          <spPr>
            <a:ln xmlns:a="http://schemas.openxmlformats.org/drawingml/2006/main">
              <a:solidFill>
                <a:srgbClr val="FF8C00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val>
            <numRef>
              <f>Simulation!$F$2:$F$301</f>
              <numCache>
                <formatCode>General</formatCode>
                <ptCount val="300"/>
                <pt idx="0">
                  <v>68.29470000000001</v>
                </pt>
                <pt idx="1">
                  <v>88.792</v>
                </pt>
                <pt idx="2">
                  <v>95.42189999999999</v>
                </pt>
                <pt idx="3">
                  <v>99.4051</v>
                </pt>
                <pt idx="4">
                  <v>101.8293</v>
                </pt>
                <pt idx="5">
                  <v>103.2061</v>
                </pt>
                <pt idx="6">
                  <v>104.5352</v>
                </pt>
                <pt idx="7">
                  <v>105.3618</v>
                </pt>
                <pt idx="8">
                  <v>106.6822</v>
                </pt>
                <pt idx="9">
                  <v>106.2259</v>
                </pt>
                <pt idx="10">
                  <v>106.8023</v>
                </pt>
                <pt idx="11">
                  <v>107.4839</v>
                </pt>
                <pt idx="12">
                  <v>107.7007</v>
                </pt>
                <pt idx="13">
                  <v>107.1667</v>
                </pt>
                <pt idx="14">
                  <v>106.9542</v>
                </pt>
                <pt idx="15">
                  <v>107.1016</v>
                </pt>
                <pt idx="16">
                  <v>106.7117</v>
                </pt>
                <pt idx="17">
                  <v>106.6975</v>
                </pt>
                <pt idx="18">
                  <v>107.0715</v>
                </pt>
                <pt idx="19">
                  <v>106.3661</v>
                </pt>
                <pt idx="20">
                  <v>106.0552</v>
                </pt>
                <pt idx="21">
                  <v>106.5405</v>
                </pt>
                <pt idx="22">
                  <v>106.2385</v>
                </pt>
                <pt idx="23">
                  <v>107.0212</v>
                </pt>
                <pt idx="24">
                  <v>106.5809</v>
                </pt>
                <pt idx="25">
                  <v>106.9217</v>
                </pt>
                <pt idx="26">
                  <v>106.3179</v>
                </pt>
                <pt idx="27">
                  <v>106.5489</v>
                </pt>
                <pt idx="28">
                  <v>107.0071</v>
                </pt>
                <pt idx="29">
                  <v>106.4804</v>
                </pt>
                <pt idx="30">
                  <v>106.7461</v>
                </pt>
                <pt idx="31">
                  <v>106.2849</v>
                </pt>
                <pt idx="32">
                  <v>105.9304</v>
                </pt>
                <pt idx="33">
                  <v>106.3858</v>
                </pt>
                <pt idx="34">
                  <v>106.3125</v>
                </pt>
                <pt idx="35">
                  <v>106.0824</v>
                </pt>
                <pt idx="36">
                  <v>106.5273</v>
                </pt>
                <pt idx="37">
                  <v>106.0641</v>
                </pt>
                <pt idx="38">
                  <v>106.3878</v>
                </pt>
                <pt idx="39">
                  <v>107.0149</v>
                </pt>
                <pt idx="40">
                  <v>106.5256</v>
                </pt>
                <pt idx="41">
                  <v>105.9055</v>
                </pt>
                <pt idx="42">
                  <v>105.6174</v>
                </pt>
                <pt idx="43">
                  <v>106.7486</v>
                </pt>
                <pt idx="44">
                  <v>106.6917</v>
                </pt>
                <pt idx="45">
                  <v>105.9963</v>
                </pt>
                <pt idx="46">
                  <v>106.3837</v>
                </pt>
                <pt idx="47">
                  <v>105.5379</v>
                </pt>
                <pt idx="48">
                  <v>105.8738</v>
                </pt>
                <pt idx="49">
                  <v>105.4202</v>
                </pt>
                <pt idx="50">
                  <v>105.9263</v>
                </pt>
                <pt idx="51">
                  <v>105.9239</v>
                </pt>
                <pt idx="52">
                  <v>107.0939</v>
                </pt>
                <pt idx="53">
                  <v>106.594</v>
                </pt>
                <pt idx="54">
                  <v>106.0158</v>
                </pt>
                <pt idx="55">
                  <v>105.8965</v>
                </pt>
                <pt idx="56">
                  <v>105.8864</v>
                </pt>
                <pt idx="57">
                  <v>105.3491</v>
                </pt>
                <pt idx="58">
                  <v>105.0819</v>
                </pt>
                <pt idx="59">
                  <v>104.7962</v>
                </pt>
                <pt idx="60">
                  <v>104.6194</v>
                </pt>
                <pt idx="61">
                  <v>104.5851</v>
                </pt>
                <pt idx="62">
                  <v>104.4287</v>
                </pt>
                <pt idx="63">
                  <v>105.0498</v>
                </pt>
                <pt idx="64">
                  <v>105.0173</v>
                </pt>
                <pt idx="65">
                  <v>104.7948</v>
                </pt>
                <pt idx="66">
                  <v>105.1039</v>
                </pt>
                <pt idx="67">
                  <v>104.6435</v>
                </pt>
                <pt idx="68">
                  <v>105.5846</v>
                </pt>
                <pt idx="69">
                  <v>105.0303</v>
                </pt>
                <pt idx="70">
                  <v>104.8195</v>
                </pt>
                <pt idx="71">
                  <v>104.794</v>
                </pt>
                <pt idx="72">
                  <v>104.2356</v>
                </pt>
                <pt idx="73">
                  <v>105.1266</v>
                </pt>
                <pt idx="74">
                  <v>104.3575</v>
                </pt>
                <pt idx="75">
                  <v>104.0579</v>
                </pt>
                <pt idx="76">
                  <v>104.7451</v>
                </pt>
                <pt idx="77">
                  <v>105.3045</v>
                </pt>
                <pt idx="78">
                  <v>104.739</v>
                </pt>
                <pt idx="79">
                  <v>104.8005</v>
                </pt>
                <pt idx="80">
                  <v>105.56</v>
                </pt>
                <pt idx="81">
                  <v>105.2755</v>
                </pt>
                <pt idx="82">
                  <v>105.3585</v>
                </pt>
                <pt idx="83">
                  <v>104.9301</v>
                </pt>
                <pt idx="84">
                  <v>104.1937</v>
                </pt>
                <pt idx="85">
                  <v>104.4503</v>
                </pt>
                <pt idx="86">
                  <v>104.4059</v>
                </pt>
                <pt idx="87">
                  <v>104.6636</v>
                </pt>
                <pt idx="88">
                  <v>103.9323</v>
                </pt>
                <pt idx="89">
                  <v>104.3646</v>
                </pt>
                <pt idx="90">
                  <v>104.1167</v>
                </pt>
                <pt idx="91">
                  <v>103.1152</v>
                </pt>
                <pt idx="92">
                  <v>103.5711</v>
                </pt>
                <pt idx="93">
                  <v>103.7415</v>
                </pt>
                <pt idx="94">
                  <v>103.0638</v>
                </pt>
                <pt idx="95">
                  <v>103.2438</v>
                </pt>
                <pt idx="96">
                  <v>103.4725</v>
                </pt>
                <pt idx="97">
                  <v>104.0874</v>
                </pt>
                <pt idx="98">
                  <v>103.7557</v>
                </pt>
                <pt idx="99">
                  <v>103.3719</v>
                </pt>
                <pt idx="100">
                  <v>102.8931</v>
                </pt>
                <pt idx="101">
                  <v>103.48</v>
                </pt>
                <pt idx="102">
                  <v>103.4362</v>
                </pt>
                <pt idx="103">
                  <v>103.6602</v>
                </pt>
                <pt idx="104">
                  <v>103.876</v>
                </pt>
                <pt idx="105">
                  <v>103.3539</v>
                </pt>
                <pt idx="106">
                  <v>104.0643</v>
                </pt>
                <pt idx="107">
                  <v>103.729</v>
                </pt>
                <pt idx="108">
                  <v>103.124</v>
                </pt>
                <pt idx="109">
                  <v>104.1474</v>
                </pt>
                <pt idx="110">
                  <v>103.8365</v>
                </pt>
                <pt idx="111">
                  <v>103.6278</v>
                </pt>
                <pt idx="112">
                  <v>103.6986</v>
                </pt>
                <pt idx="113">
                  <v>104.1523</v>
                </pt>
                <pt idx="114">
                  <v>103.7169</v>
                </pt>
                <pt idx="115">
                  <v>102.9686</v>
                </pt>
                <pt idx="116">
                  <v>104.0425</v>
                </pt>
                <pt idx="117">
                  <v>103.405</v>
                </pt>
                <pt idx="118">
                  <v>104.0852</v>
                </pt>
                <pt idx="119">
                  <v>102.6712</v>
                </pt>
                <pt idx="120">
                  <v>102.8569</v>
                </pt>
                <pt idx="121">
                  <v>103.6764</v>
                </pt>
                <pt idx="122">
                  <v>102.9127</v>
                </pt>
                <pt idx="123">
                  <v>103.0419</v>
                </pt>
                <pt idx="124">
                  <v>102.3314</v>
                </pt>
                <pt idx="125">
                  <v>102.2066</v>
                </pt>
                <pt idx="126">
                  <v>102.4005</v>
                </pt>
                <pt idx="127">
                  <v>103.4308</v>
                </pt>
                <pt idx="128">
                  <v>102.1999</v>
                </pt>
                <pt idx="129">
                  <v>102.2739</v>
                </pt>
                <pt idx="130">
                  <v>102.513</v>
                </pt>
                <pt idx="131">
                  <v>102.4083</v>
                </pt>
                <pt idx="132">
                  <v>103.0194</v>
                </pt>
                <pt idx="133">
                  <v>102.6127</v>
                </pt>
                <pt idx="134">
                  <v>103.1204</v>
                </pt>
                <pt idx="135">
                  <v>102.2724</v>
                </pt>
                <pt idx="136">
                  <v>102.1324</v>
                </pt>
                <pt idx="137">
                  <v>102.3941</v>
                </pt>
                <pt idx="138">
                  <v>101.6505</v>
                </pt>
                <pt idx="139">
                  <v>101.8997</v>
                </pt>
                <pt idx="140">
                  <v>102.251</v>
                </pt>
                <pt idx="141">
                  <v>102.3168</v>
                </pt>
                <pt idx="142">
                  <v>103.2574</v>
                </pt>
                <pt idx="143">
                  <v>102.6332</v>
                </pt>
                <pt idx="144">
                  <v>102.9134</v>
                </pt>
                <pt idx="145">
                  <v>102.5651</v>
                </pt>
                <pt idx="146">
                  <v>102.9928</v>
                </pt>
                <pt idx="147">
                  <v>102.6515</v>
                </pt>
                <pt idx="148">
                  <v>101.6013</v>
                </pt>
                <pt idx="149">
                  <v>102.0462</v>
                </pt>
                <pt idx="150">
                  <v>102.433</v>
                </pt>
                <pt idx="151">
                  <v>101.9917</v>
                </pt>
                <pt idx="152">
                  <v>101.5997</v>
                </pt>
                <pt idx="153">
                  <v>101.5175</v>
                </pt>
                <pt idx="154">
                  <v>101.8118</v>
                </pt>
                <pt idx="155">
                  <v>101.7285</v>
                </pt>
                <pt idx="156">
                  <v>101.8431</v>
                </pt>
                <pt idx="157">
                  <v>102.3386</v>
                </pt>
                <pt idx="158">
                  <v>102.0985</v>
                </pt>
                <pt idx="159">
                  <v>102.7665</v>
                </pt>
                <pt idx="160">
                  <v>102.9953</v>
                </pt>
                <pt idx="161">
                  <v>102.5698</v>
                </pt>
                <pt idx="162">
                  <v>101.4092</v>
                </pt>
                <pt idx="163">
                  <v>102.2935</v>
                </pt>
                <pt idx="164">
                  <v>102.4416</v>
                </pt>
                <pt idx="165">
                  <v>102.2416</v>
                </pt>
                <pt idx="166">
                  <v>102.7966</v>
                </pt>
                <pt idx="167">
                  <v>102.2007</v>
                </pt>
                <pt idx="168">
                  <v>101.8429</v>
                </pt>
                <pt idx="169">
                  <v>101.6437</v>
                </pt>
                <pt idx="170">
                  <v>101.0901</v>
                </pt>
                <pt idx="171">
                  <v>101.4506</v>
                </pt>
                <pt idx="172">
                  <v>101.3641</v>
                </pt>
                <pt idx="173">
                  <v>101.1601</v>
                </pt>
                <pt idx="174">
                  <v>101.6997</v>
                </pt>
                <pt idx="175">
                  <v>101.7558</v>
                </pt>
                <pt idx="176">
                  <v>101.642</v>
                </pt>
                <pt idx="177">
                  <v>101.2408</v>
                </pt>
                <pt idx="178">
                  <v>101.8401</v>
                </pt>
                <pt idx="179">
                  <v>102.1248</v>
                </pt>
                <pt idx="180">
                  <v>102.1787</v>
                </pt>
                <pt idx="181">
                  <v>101.4373</v>
                </pt>
                <pt idx="182">
                  <v>101.8087</v>
                </pt>
                <pt idx="183">
                  <v>101.7594</v>
                </pt>
                <pt idx="184">
                  <v>100.8886</v>
                </pt>
                <pt idx="185">
                  <v>101.7694</v>
                </pt>
                <pt idx="186">
                  <v>101.6969</v>
                </pt>
                <pt idx="187">
                  <v>100.7578</v>
                </pt>
                <pt idx="188">
                  <v>100.8995</v>
                </pt>
                <pt idx="189">
                  <v>101.2963</v>
                </pt>
                <pt idx="190">
                  <v>101.434</v>
                </pt>
                <pt idx="191">
                  <v>101.2519</v>
                </pt>
                <pt idx="192">
                  <v>101.3538</v>
                </pt>
                <pt idx="193">
                  <v>101.0924</v>
                </pt>
                <pt idx="194">
                  <v>100.7328</v>
                </pt>
                <pt idx="195">
                  <v>101.4028</v>
                </pt>
                <pt idx="196">
                  <v>100.315</v>
                </pt>
                <pt idx="197">
                  <v>100.7097</v>
                </pt>
                <pt idx="198">
                  <v>99.9366</v>
                </pt>
                <pt idx="199">
                  <v>100.5244</v>
                </pt>
                <pt idx="200">
                  <v>100.5298</v>
                </pt>
                <pt idx="201">
                  <v>100.5627</v>
                </pt>
                <pt idx="202">
                  <v>101.2673</v>
                </pt>
                <pt idx="203">
                  <v>100.318</v>
                </pt>
                <pt idx="204">
                  <v>101.1466</v>
                </pt>
                <pt idx="205">
                  <v>100.3979</v>
                </pt>
                <pt idx="206">
                  <v>100.2668</v>
                </pt>
                <pt idx="207">
                  <v>100.4824</v>
                </pt>
                <pt idx="208">
                  <v>100.1611</v>
                </pt>
                <pt idx="209">
                  <v>100.7315</v>
                </pt>
                <pt idx="210">
                  <v>100.955</v>
                </pt>
                <pt idx="211">
                  <v>100.3673</v>
                </pt>
                <pt idx="212">
                  <v>100.2337</v>
                </pt>
                <pt idx="213">
                  <v>100.1961</v>
                </pt>
                <pt idx="214">
                  <v>99.87050000000001</v>
                </pt>
                <pt idx="215">
                  <v>99.5544</v>
                </pt>
                <pt idx="216">
                  <v>99.72790000000001</v>
                </pt>
                <pt idx="217">
                  <v>100.1896</v>
                </pt>
                <pt idx="218">
                  <v>99.7891</v>
                </pt>
                <pt idx="219">
                  <v>100.845</v>
                </pt>
                <pt idx="220">
                  <v>100.5524</v>
                </pt>
                <pt idx="221">
                  <v>100.7236</v>
                </pt>
                <pt idx="222">
                  <v>100.8315</v>
                </pt>
                <pt idx="223">
                  <v>99.8914</v>
                </pt>
                <pt idx="224">
                  <v>100.8745</v>
                </pt>
                <pt idx="225">
                  <v>100.4917</v>
                </pt>
                <pt idx="226">
                  <v>100.3511</v>
                </pt>
                <pt idx="227">
                  <v>100.3754</v>
                </pt>
                <pt idx="228">
                  <v>100.0886</v>
                </pt>
                <pt idx="229">
                  <v>100.5529</v>
                </pt>
                <pt idx="230">
                  <v>99.4909</v>
                </pt>
                <pt idx="231">
                  <v>100.2533</v>
                </pt>
                <pt idx="232">
                  <v>99.63500000000001</v>
                </pt>
                <pt idx="233">
                  <v>99.3278</v>
                </pt>
                <pt idx="234">
                  <v>100.0309</v>
                </pt>
                <pt idx="235">
                  <v>99.2757</v>
                </pt>
                <pt idx="236">
                  <v>99.9058</v>
                </pt>
                <pt idx="237">
                  <v>99.7174</v>
                </pt>
                <pt idx="238">
                  <v>99.5018</v>
                </pt>
                <pt idx="239">
                  <v>100.2013</v>
                </pt>
                <pt idx="240">
                  <v>99.9246</v>
                </pt>
                <pt idx="241">
                  <v>99.6434</v>
                </pt>
                <pt idx="242">
                  <v>100.2641</v>
                </pt>
                <pt idx="243">
                  <v>99.8237</v>
                </pt>
                <pt idx="244">
                  <v>99.42230000000001</v>
                </pt>
                <pt idx="245">
                  <v>100.1323</v>
                </pt>
                <pt idx="246">
                  <v>99.1823</v>
                </pt>
                <pt idx="247">
                  <v>98.9118</v>
                </pt>
                <pt idx="248">
                  <v>98.70269999999999</v>
                </pt>
                <pt idx="249">
                  <v>98.4175</v>
                </pt>
                <pt idx="250">
                  <v>99.02800000000001</v>
                </pt>
                <pt idx="251">
                  <v>99.0368</v>
                </pt>
                <pt idx="252">
                  <v>99.2328</v>
                </pt>
                <pt idx="253">
                  <v>98.9131</v>
                </pt>
                <pt idx="254">
                  <v>99.4319</v>
                </pt>
                <pt idx="255">
                  <v>99.1493</v>
                </pt>
                <pt idx="256">
                  <v>99.0012</v>
                </pt>
                <pt idx="257">
                  <v>98.4109</v>
                </pt>
                <pt idx="258">
                  <v>98.4072</v>
                </pt>
                <pt idx="259">
                  <v>98.1311</v>
                </pt>
                <pt idx="260">
                  <v>98.1285</v>
                </pt>
                <pt idx="261">
                  <v>98.0806</v>
                </pt>
                <pt idx="262">
                  <v>97.7235</v>
                </pt>
                <pt idx="263">
                  <v>98.4692</v>
                </pt>
                <pt idx="264">
                  <v>97.91160000000001</v>
                </pt>
                <pt idx="265">
                  <v>98.0792</v>
                </pt>
                <pt idx="266">
                  <v>98.4958</v>
                </pt>
                <pt idx="267">
                  <v>98.35120000000001</v>
                </pt>
                <pt idx="268">
                  <v>97.2551</v>
                </pt>
                <pt idx="269">
                  <v>97.2608</v>
                </pt>
                <pt idx="270">
                  <v>97.0364</v>
                </pt>
                <pt idx="271">
                  <v>97.0638</v>
                </pt>
                <pt idx="272">
                  <v>96.84990000000001</v>
                </pt>
                <pt idx="273">
                  <v>96.5766</v>
                </pt>
                <pt idx="274">
                  <v>97.29730000000001</v>
                </pt>
                <pt idx="275">
                  <v>97.02290000000001</v>
                </pt>
                <pt idx="276">
                  <v>96.8068</v>
                </pt>
                <pt idx="277">
                  <v>97.0909</v>
                </pt>
                <pt idx="278">
                  <v>97.3078</v>
                </pt>
                <pt idx="279">
                  <v>98.0068</v>
                </pt>
                <pt idx="280">
                  <v>97.8</v>
                </pt>
                <pt idx="281">
                  <v>97.2159</v>
                </pt>
                <pt idx="282">
                  <v>97.4074</v>
                </pt>
                <pt idx="283">
                  <v>97</v>
                </pt>
                <pt idx="284">
                  <v>97.2948</v>
                </pt>
                <pt idx="285">
                  <v>98.6802</v>
                </pt>
                <pt idx="286">
                  <v>97.7824</v>
                </pt>
                <pt idx="287">
                  <v>97.39579999999999</v>
                </pt>
                <pt idx="288">
                  <v>97.2426</v>
                </pt>
                <pt idx="289">
                  <v>97.2084</v>
                </pt>
                <pt idx="290">
                  <v>97.20659999999999</v>
                </pt>
                <pt idx="291">
                  <v>97.3946</v>
                </pt>
                <pt idx="292">
                  <v>98.3224</v>
                </pt>
                <pt idx="293">
                  <v>97.3133</v>
                </pt>
                <pt idx="294">
                  <v>97.4803</v>
                </pt>
                <pt idx="295">
                  <v>98.0406</v>
                </pt>
                <pt idx="296">
                  <v>97.7028</v>
                </pt>
                <pt idx="297">
                  <v>97.2149</v>
                </pt>
                <pt idx="298">
                  <v>97.2471</v>
                </pt>
                <pt idx="299">
                  <v>97.01649999999999</v>
                </pt>
              </numCache>
            </numRef>
          </val>
          <smooth val="1"/>
        </ser>
        <ser>
          <idx val="3"/>
          <order val="3"/>
          <tx>
            <strRef>
              <f>Simulation!$I$1</f>
              <strCache>
                <ptCount val="1"/>
                <pt idx="0">
                  <v>P1</v>
                </pt>
              </strCache>
            </strRef>
          </tx>
          <spPr>
            <a:ln xmlns:a="http://schemas.openxmlformats.org/drawingml/2006/main">
              <a:solidFill>
                <a:srgbClr val="C00000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val>
            <numRef>
              <f>Simulation!$I$2:$I$301</f>
              <numCache>
                <formatCode>General</formatCode>
                <ptCount val="300"/>
                <pt idx="0">
                  <v>68.29470000000001</v>
                </pt>
                <pt idx="1">
                  <v>29.9044</v>
                </pt>
                <pt idx="2">
                  <v>16.7822</v>
                </pt>
                <pt idx="3">
                  <v>8.3993</v>
                </pt>
                <pt idx="4">
                  <v>1.8518</v>
                </pt>
                <pt idx="5">
                  <v>-0.5872000000000001</v>
                </pt>
                <pt idx="6">
                  <v>-3.1092</v>
                </pt>
                <pt idx="7">
                  <v>-3.7243</v>
                </pt>
                <pt idx="8">
                  <v>-6.282</v>
                </pt>
                <pt idx="9">
                  <v>-7.1671</v>
                </pt>
                <pt idx="10">
                  <v>-9.9291</v>
                </pt>
                <pt idx="11">
                  <v>-10.277</v>
                </pt>
                <pt idx="12">
                  <v>-10.3538</v>
                </pt>
                <pt idx="13">
                  <v>-10.6224</v>
                </pt>
                <pt idx="14">
                  <v>-11.7282</v>
                </pt>
                <pt idx="15">
                  <v>-10.7847</v>
                </pt>
                <pt idx="16">
                  <v>-10.3581</v>
                </pt>
                <pt idx="17">
                  <v>-10.7838</v>
                </pt>
                <pt idx="18">
                  <v>-10.436</v>
                </pt>
                <pt idx="19">
                  <v>-12.1113</v>
                </pt>
                <pt idx="20">
                  <v>-13.504</v>
                </pt>
                <pt idx="21">
                  <v>-13.9411</v>
                </pt>
                <pt idx="22">
                  <v>-13.6475</v>
                </pt>
                <pt idx="23">
                  <v>-12.8962</v>
                </pt>
                <pt idx="24">
                  <v>-12.7455</v>
                </pt>
                <pt idx="25">
                  <v>-14.4254</v>
                </pt>
                <pt idx="26">
                  <v>-13.4981</v>
                </pt>
                <pt idx="27">
                  <v>-13.906</v>
                </pt>
                <pt idx="28">
                  <v>-13.0881</v>
                </pt>
                <pt idx="29">
                  <v>-13.6127</v>
                </pt>
                <pt idx="30">
                  <v>-14.2719</v>
                </pt>
                <pt idx="31">
                  <v>-14.7985</v>
                </pt>
                <pt idx="32">
                  <v>-13.5385</v>
                </pt>
                <pt idx="33">
                  <v>-11.8899</v>
                </pt>
                <pt idx="34">
                  <v>-12.8583</v>
                </pt>
                <pt idx="35">
                  <v>-13.4563</v>
                </pt>
                <pt idx="36">
                  <v>-12.6991</v>
                </pt>
                <pt idx="37">
                  <v>-13.133</v>
                </pt>
                <pt idx="38">
                  <v>-13.7487</v>
                </pt>
                <pt idx="39">
                  <v>-10.9233</v>
                </pt>
                <pt idx="40">
                  <v>-11.7922</v>
                </pt>
                <pt idx="41">
                  <v>-12.7939</v>
                </pt>
                <pt idx="42">
                  <v>-12.7378</v>
                </pt>
                <pt idx="43">
                  <v>-13.1998</v>
                </pt>
                <pt idx="44">
                  <v>-13.6732</v>
                </pt>
                <pt idx="45">
                  <v>-11.3457</v>
                </pt>
                <pt idx="46">
                  <v>-13.978</v>
                </pt>
                <pt idx="47">
                  <v>-11.7179</v>
                </pt>
                <pt idx="48">
                  <v>-15.3363</v>
                </pt>
                <pt idx="49">
                  <v>-13.8474</v>
                </pt>
                <pt idx="50">
                  <v>-14.5546</v>
                </pt>
                <pt idx="51">
                  <v>-13.6883</v>
                </pt>
                <pt idx="52">
                  <v>-14.7421</v>
                </pt>
                <pt idx="53">
                  <v>-15.0685</v>
                </pt>
                <pt idx="54">
                  <v>-15.131</v>
                </pt>
                <pt idx="55">
                  <v>-15.0729</v>
                </pt>
                <pt idx="56">
                  <v>-15.9044</v>
                </pt>
                <pt idx="57">
                  <v>-12.8935</v>
                </pt>
                <pt idx="58">
                  <v>-13.5031</v>
                </pt>
                <pt idx="59">
                  <v>-14.852</v>
                </pt>
                <pt idx="60">
                  <v>-14.4422</v>
                </pt>
                <pt idx="61">
                  <v>-14.3113</v>
                </pt>
                <pt idx="62">
                  <v>-14.1129</v>
                </pt>
                <pt idx="63">
                  <v>-15.6002</v>
                </pt>
                <pt idx="64">
                  <v>-14.6386</v>
                </pt>
                <pt idx="65">
                  <v>-14.2339</v>
                </pt>
                <pt idx="66">
                  <v>-13.939</v>
                </pt>
                <pt idx="67">
                  <v>-13.5924</v>
                </pt>
                <pt idx="68">
                  <v>-14.4164</v>
                </pt>
                <pt idx="69">
                  <v>-12.8097</v>
                </pt>
                <pt idx="70">
                  <v>-12.5524</v>
                </pt>
                <pt idx="71">
                  <v>-14.5814</v>
                </pt>
                <pt idx="72">
                  <v>-14.4591</v>
                </pt>
                <pt idx="73">
                  <v>-14.2467</v>
                </pt>
                <pt idx="74">
                  <v>-13.1987</v>
                </pt>
                <pt idx="75">
                  <v>-13.7272</v>
                </pt>
                <pt idx="76">
                  <v>-14.8943</v>
                </pt>
                <pt idx="77">
                  <v>-14.1244</v>
                </pt>
                <pt idx="78">
                  <v>-14.9331</v>
                </pt>
                <pt idx="79">
                  <v>-14.4843</v>
                </pt>
                <pt idx="80">
                  <v>-13.9704</v>
                </pt>
                <pt idx="81">
                  <v>-13.4672</v>
                </pt>
                <pt idx="82">
                  <v>-11.973</v>
                </pt>
                <pt idx="83">
                  <v>-14.0446</v>
                </pt>
                <pt idx="84">
                  <v>-14.8587</v>
                </pt>
                <pt idx="85">
                  <v>-17.5259</v>
                </pt>
                <pt idx="86">
                  <v>-16.6045</v>
                </pt>
                <pt idx="87">
                  <v>-15.8719</v>
                </pt>
                <pt idx="88">
                  <v>-14.683</v>
                </pt>
                <pt idx="89">
                  <v>-15.2051</v>
                </pt>
                <pt idx="90">
                  <v>-14.3461</v>
                </pt>
                <pt idx="91">
                  <v>-13.7967</v>
                </pt>
                <pt idx="92">
                  <v>-14.793</v>
                </pt>
                <pt idx="93">
                  <v>-12.9876</v>
                </pt>
                <pt idx="94">
                  <v>-16.6783</v>
                </pt>
                <pt idx="95">
                  <v>-17.8401</v>
                </pt>
                <pt idx="96">
                  <v>-16.38</v>
                </pt>
                <pt idx="97">
                  <v>-14.0697</v>
                </pt>
                <pt idx="98">
                  <v>-14.2184</v>
                </pt>
                <pt idx="99">
                  <v>-14.9019</v>
                </pt>
                <pt idx="100">
                  <v>-16.2079</v>
                </pt>
                <pt idx="101">
                  <v>-15.7586</v>
                </pt>
                <pt idx="102">
                  <v>-15.1148</v>
                </pt>
                <pt idx="103">
                  <v>-16.1115</v>
                </pt>
                <pt idx="104">
                  <v>-17.3927</v>
                </pt>
                <pt idx="105">
                  <v>-14.813</v>
                </pt>
                <pt idx="106">
                  <v>-16.4959</v>
                </pt>
                <pt idx="107">
                  <v>-15.9916</v>
                </pt>
                <pt idx="108">
                  <v>-15.6677</v>
                </pt>
                <pt idx="109">
                  <v>-15.3741</v>
                </pt>
                <pt idx="110">
                  <v>-16.5537</v>
                </pt>
                <pt idx="111">
                  <v>-16.2142</v>
                </pt>
                <pt idx="112">
                  <v>-15.9712</v>
                </pt>
                <pt idx="113">
                  <v>-16.4103</v>
                </pt>
                <pt idx="114">
                  <v>-15.8991</v>
                </pt>
                <pt idx="115">
                  <v>-19.1212</v>
                </pt>
                <pt idx="116">
                  <v>-16.9329</v>
                </pt>
                <pt idx="117">
                  <v>-16.0822</v>
                </pt>
                <pt idx="118">
                  <v>-16.3594</v>
                </pt>
                <pt idx="119">
                  <v>-17.662</v>
                </pt>
                <pt idx="120">
                  <v>-14.7202</v>
                </pt>
                <pt idx="121">
                  <v>-14.6885</v>
                </pt>
                <pt idx="122">
                  <v>-17.2074</v>
                </pt>
                <pt idx="123">
                  <v>-16.3548</v>
                </pt>
                <pt idx="124">
                  <v>-15.9164</v>
                </pt>
                <pt idx="125">
                  <v>-17.0907</v>
                </pt>
                <pt idx="126">
                  <v>-17.6193</v>
                </pt>
                <pt idx="127">
                  <v>-17.3853</v>
                </pt>
                <pt idx="128">
                  <v>-16.5895</v>
                </pt>
                <pt idx="129">
                  <v>-17.1345</v>
                </pt>
                <pt idx="130">
                  <v>-16.1617</v>
                </pt>
                <pt idx="131">
                  <v>-18.3685</v>
                </pt>
                <pt idx="132">
                  <v>-16.1442</v>
                </pt>
                <pt idx="133">
                  <v>-16.664</v>
                </pt>
                <pt idx="134">
                  <v>-17.2591</v>
                </pt>
                <pt idx="135">
                  <v>-17.1537</v>
                </pt>
                <pt idx="136">
                  <v>-17.5057</v>
                </pt>
                <pt idx="137">
                  <v>-17.066</v>
                </pt>
                <pt idx="138">
                  <v>-17.1635</v>
                </pt>
                <pt idx="139">
                  <v>-18.0043</v>
                </pt>
                <pt idx="140">
                  <v>-16.9774</v>
                </pt>
                <pt idx="141">
                  <v>-17.2578</v>
                </pt>
                <pt idx="142">
                  <v>-14.4405</v>
                </pt>
                <pt idx="143">
                  <v>-16.2683</v>
                </pt>
                <pt idx="144">
                  <v>-15.5797</v>
                </pt>
                <pt idx="145">
                  <v>-18.0498</v>
                </pt>
                <pt idx="146">
                  <v>-16.0271</v>
                </pt>
                <pt idx="147">
                  <v>-16.7868</v>
                </pt>
                <pt idx="148">
                  <v>-16.5193</v>
                </pt>
                <pt idx="149">
                  <v>-16.2659</v>
                </pt>
                <pt idx="150">
                  <v>-17.4027</v>
                </pt>
                <pt idx="151">
                  <v>-19.3555</v>
                </pt>
                <pt idx="152">
                  <v>-16.6891</v>
                </pt>
                <pt idx="153">
                  <v>-16.0145</v>
                </pt>
                <pt idx="154">
                  <v>-16.7814</v>
                </pt>
                <pt idx="155">
                  <v>-14.248</v>
                </pt>
                <pt idx="156">
                  <v>-16.882</v>
                </pt>
                <pt idx="157">
                  <v>-16.5929</v>
                </pt>
                <pt idx="158">
                  <v>-18.0845</v>
                </pt>
                <pt idx="159">
                  <v>-17.1391</v>
                </pt>
                <pt idx="160">
                  <v>-17.9604</v>
                </pt>
                <pt idx="161">
                  <v>-14.892</v>
                </pt>
                <pt idx="162">
                  <v>-16.716</v>
                </pt>
                <pt idx="163">
                  <v>-16.3256</v>
                </pt>
                <pt idx="164">
                  <v>-16.2846</v>
                </pt>
                <pt idx="165">
                  <v>-18.9238</v>
                </pt>
                <pt idx="166">
                  <v>-18.526</v>
                </pt>
                <pt idx="167">
                  <v>-17.8521</v>
                </pt>
                <pt idx="168">
                  <v>-17.1747</v>
                </pt>
                <pt idx="169">
                  <v>-16.7564</v>
                </pt>
                <pt idx="170">
                  <v>-18.9239</v>
                </pt>
                <pt idx="171">
                  <v>-18.3084</v>
                </pt>
                <pt idx="172">
                  <v>-17.3916</v>
                </pt>
                <pt idx="173">
                  <v>-16.804</v>
                </pt>
                <pt idx="174">
                  <v>-16.9763</v>
                </pt>
                <pt idx="175">
                  <v>-18.0645</v>
                </pt>
                <pt idx="176">
                  <v>-18.1587</v>
                </pt>
                <pt idx="177">
                  <v>-17.8265</v>
                </pt>
                <pt idx="178">
                  <v>-18.7103</v>
                </pt>
                <pt idx="179">
                  <v>-15.4486</v>
                </pt>
                <pt idx="180">
                  <v>-18.7454</v>
                </pt>
                <pt idx="181">
                  <v>-20.3365</v>
                </pt>
                <pt idx="182">
                  <v>-18.9252</v>
                </pt>
                <pt idx="183">
                  <v>-19.5754</v>
                </pt>
                <pt idx="184">
                  <v>-19.1358</v>
                </pt>
                <pt idx="185">
                  <v>-18.3896</v>
                </pt>
                <pt idx="186">
                  <v>-16.8718</v>
                </pt>
                <pt idx="187">
                  <v>-15.5593</v>
                </pt>
                <pt idx="188">
                  <v>-15.9483</v>
                </pt>
                <pt idx="189">
                  <v>-16.0996</v>
                </pt>
                <pt idx="190">
                  <v>-16.3486</v>
                </pt>
                <pt idx="191">
                  <v>-17.3846</v>
                </pt>
                <pt idx="192">
                  <v>-16.6051</v>
                </pt>
                <pt idx="193">
                  <v>-17.8991</v>
                </pt>
                <pt idx="194">
                  <v>-16.9257</v>
                </pt>
                <pt idx="195">
                  <v>-18.0711</v>
                </pt>
                <pt idx="196">
                  <v>-17.4038</v>
                </pt>
                <pt idx="197">
                  <v>-18.0416</v>
                </pt>
                <pt idx="198">
                  <v>-17.6334</v>
                </pt>
                <pt idx="199">
                  <v>-17.7789</v>
                </pt>
                <pt idx="200">
                  <v>-17.7248</v>
                </pt>
                <pt idx="201">
                  <v>-17.9675</v>
                </pt>
                <pt idx="202">
                  <v>-17.1243</v>
                </pt>
                <pt idx="203">
                  <v>-18.2037</v>
                </pt>
                <pt idx="204">
                  <v>-17.6948</v>
                </pt>
                <pt idx="205">
                  <v>-17.1401</v>
                </pt>
                <pt idx="206">
                  <v>-18.3008</v>
                </pt>
                <pt idx="207">
                  <v>-18.2184</v>
                </pt>
                <pt idx="208">
                  <v>-16.9313</v>
                </pt>
                <pt idx="209">
                  <v>-18.6046</v>
                </pt>
                <pt idx="210">
                  <v>-17.4964</v>
                </pt>
                <pt idx="211">
                  <v>-17.3532</v>
                </pt>
                <pt idx="212">
                  <v>-17.6774</v>
                </pt>
                <pt idx="213">
                  <v>-16.0986</v>
                </pt>
                <pt idx="214">
                  <v>-17.7699</v>
                </pt>
                <pt idx="215">
                  <v>-18.8009</v>
                </pt>
                <pt idx="216">
                  <v>-19.7702</v>
                </pt>
                <pt idx="217">
                  <v>-19.7031</v>
                </pt>
                <pt idx="218">
                  <v>-19.9606</v>
                </pt>
                <pt idx="219">
                  <v>-19.0468</v>
                </pt>
                <pt idx="220">
                  <v>-17.7711</v>
                </pt>
                <pt idx="221">
                  <v>-18.8257</v>
                </pt>
                <pt idx="222">
                  <v>-18.2341</v>
                </pt>
                <pt idx="223">
                  <v>-19.7584</v>
                </pt>
                <pt idx="224">
                  <v>-20.0157</v>
                </pt>
                <pt idx="225">
                  <v>-19.6781</v>
                </pt>
                <pt idx="226">
                  <v>-18.4144</v>
                </pt>
                <pt idx="227">
                  <v>-17.8792</v>
                </pt>
                <pt idx="228">
                  <v>-17.1972</v>
                </pt>
                <pt idx="229">
                  <v>-19.5228</v>
                </pt>
                <pt idx="230">
                  <v>-17.3348</v>
                </pt>
                <pt idx="231">
                  <v>-18.9572</v>
                </pt>
                <pt idx="232">
                  <v>-18.8653</v>
                </pt>
                <pt idx="233">
                  <v>-17.1459</v>
                </pt>
                <pt idx="234">
                  <v>-17.9178</v>
                </pt>
                <pt idx="235">
                  <v>-18.2806</v>
                </pt>
                <pt idx="236">
                  <v>-19.577</v>
                </pt>
                <pt idx="237">
                  <v>-19.3185</v>
                </pt>
                <pt idx="238">
                  <v>-20.6398</v>
                </pt>
                <pt idx="239">
                  <v>-19.5531</v>
                </pt>
                <pt idx="240">
                  <v>-18.9878</v>
                </pt>
                <pt idx="241">
                  <v>-18.3236</v>
                </pt>
                <pt idx="242">
                  <v>-19.716</v>
                </pt>
                <pt idx="243">
                  <v>-19.6821</v>
                </pt>
                <pt idx="244">
                  <v>-21.8307</v>
                </pt>
                <pt idx="245">
                  <v>-19.0429</v>
                </pt>
                <pt idx="246">
                  <v>-19.404</v>
                </pt>
                <pt idx="247">
                  <v>-21.2527</v>
                </pt>
                <pt idx="248">
                  <v>-20.4452</v>
                </pt>
                <pt idx="249">
                  <v>-19.484</v>
                </pt>
                <pt idx="250">
                  <v>-20.1412</v>
                </pt>
                <pt idx="251">
                  <v>-18.2965</v>
                </pt>
                <pt idx="252">
                  <v>-19.8691</v>
                </pt>
                <pt idx="253">
                  <v>-21.2843</v>
                </pt>
                <pt idx="254">
                  <v>-19.8952</v>
                </pt>
                <pt idx="255">
                  <v>-22.093</v>
                </pt>
                <pt idx="256">
                  <v>-20.2545</v>
                </pt>
                <pt idx="257">
                  <v>-18.61</v>
                </pt>
                <pt idx="258">
                  <v>-19.4603</v>
                </pt>
                <pt idx="259">
                  <v>-21.2194</v>
                </pt>
                <pt idx="260">
                  <v>-20.899</v>
                </pt>
                <pt idx="261">
                  <v>-21.1268</v>
                </pt>
                <pt idx="262">
                  <v>-21.3326</v>
                </pt>
                <pt idx="263">
                  <v>-19.8273</v>
                </pt>
                <pt idx="264">
                  <v>-20.0494</v>
                </pt>
                <pt idx="265">
                  <v>-18.419</v>
                </pt>
                <pt idx="266">
                  <v>-18.87</v>
                </pt>
                <pt idx="267">
                  <v>-19.6134</v>
                </pt>
                <pt idx="268">
                  <v>-22.0198</v>
                </pt>
                <pt idx="269">
                  <v>-23.0713</v>
                </pt>
                <pt idx="270">
                  <v>-21.6716</v>
                </pt>
                <pt idx="271">
                  <v>-22.294</v>
                </pt>
                <pt idx="272">
                  <v>-22.0805</v>
                </pt>
                <pt idx="273">
                  <v>-20.5675</v>
                </pt>
                <pt idx="274">
                  <v>-22.7302</v>
                </pt>
                <pt idx="275">
                  <v>-22.1435</v>
                </pt>
                <pt idx="276">
                  <v>-22.3623</v>
                </pt>
                <pt idx="277">
                  <v>-25.4892</v>
                </pt>
                <pt idx="278">
                  <v>-23.565</v>
                </pt>
                <pt idx="279">
                  <v>-23.0485</v>
                </pt>
                <pt idx="280">
                  <v>-22.2601</v>
                </pt>
                <pt idx="281">
                  <v>-21.2235</v>
                </pt>
                <pt idx="282">
                  <v>-21.1982</v>
                </pt>
                <pt idx="283">
                  <v>-21.7029</v>
                </pt>
                <pt idx="284">
                  <v>-21.6966</v>
                </pt>
                <pt idx="285">
                  <v>-23.1879</v>
                </pt>
                <pt idx="286">
                  <v>-23.2956</v>
                </pt>
                <pt idx="287">
                  <v>-23.1886</v>
                </pt>
                <pt idx="288">
                  <v>-21.2752</v>
                </pt>
                <pt idx="289">
                  <v>-22.5157</v>
                </pt>
                <pt idx="290">
                  <v>-22.422</v>
                </pt>
                <pt idx="291">
                  <v>-20.8357</v>
                </pt>
                <pt idx="292">
                  <v>-22.1726</v>
                </pt>
                <pt idx="293">
                  <v>-21.6537</v>
                </pt>
                <pt idx="294">
                  <v>-22.9984</v>
                </pt>
                <pt idx="295">
                  <v>-22.0988</v>
                </pt>
                <pt idx="296">
                  <v>-21.1657</v>
                </pt>
                <pt idx="297">
                  <v>-21.8473</v>
                </pt>
                <pt idx="298">
                  <v>-21.4033</v>
                </pt>
                <pt idx="299">
                  <v>-22.496</v>
                </pt>
              </numCache>
            </numRef>
          </val>
          <smooth val="1"/>
        </ser>
        <dLbls>
          <showLegendKey val="0"/>
          <showVal val="0"/>
          <showCatName val="0"/>
          <showSerName val="0"/>
          <showPercent val="0"/>
          <showBubbleSize val="0"/>
        </dLbls>
        <smooth val="0"/>
        <axId val="10"/>
        <axId val="100"/>
      </lineChart>
      <catAx>
        <axId val="10"/>
        <scaling>
          <orientation val="minMax"/>
        </scaling>
        <delete val="1"/>
        <axPos val="b"/>
        <title>
          <tx>
            <rich>
              <a:bodyPr xmlns:a="http://schemas.openxmlformats.org/drawingml/2006/main"/>
              <a:lstStyle xmlns:a="http://schemas.openxmlformats.org/drawingml/2006/main"/>
              <a:p xmlns:a="http://schemas.openxmlformats.org/drawingml/2006/main">
                <a:pPr>
                  <a:defRPr/>
                </a:pPr>
                <a:r>
                  <a:rPr lang="en-GB"/>
                  <a:t>Month</a:t>
                </a:r>
              </a:p>
            </rich>
          </tx>
          <overlay val="1"/>
        </title>
        <majorTickMark val="none"/>
        <minorTickMark val="none"/>
        <tickLblPos val="nextTo"/>
        <crossAx val="100"/>
        <crosses val="autoZero"/>
        <auto val="1"/>
        <lblAlgn val="ctr"/>
        <lblOffset val="100"/>
        <noMultiLvlLbl val="1"/>
      </catAx>
      <valAx>
        <axId val="100"/>
        <scaling>
          <orientation val="minMax"/>
        </scaling>
        <delete val="1"/>
        <axPos val="l"/>
        <majorGridlines/>
        <title>
          <tx>
            <rich>
              <a:bodyPr xmlns:a="http://schemas.openxmlformats.org/drawingml/2006/main"/>
              <a:lstStyle xmlns:a="http://schemas.openxmlformats.org/drawingml/2006/main"/>
              <a:p xmlns:a="http://schemas.openxmlformats.org/drawingml/2006/main">
                <a:pPr>
                  <a:defRPr/>
                </a:pPr>
                <a:r>
                  <a:rPr lang="en-GB"/>
                  <a:t>Capture Price (EUR/MWh)</a:t>
                </a:r>
              </a:p>
            </rich>
          </tx>
          <overlay val="1"/>
        </title>
        <numFmt formatCode="General" sourceLinked="1"/>
        <majorTickMark val="none"/>
        <minorTickMark val="none"/>
        <tickLblPos val="nextTo"/>
        <crossAx val="10"/>
        <crosses val="autoZero"/>
        <crossBetween val="between"/>
      </valAx>
    </plotArea>
    <legend>
      <legendPos val="r"/>
      <overlay val="1"/>
    </legend>
    <plotVisOnly val="1"/>
    <dispBlanksAs val="gap"/>
  </chart>
</chartSpace>
</file>

<file path=xl/charts/chart224.xml><?xml version="1.0" encoding="utf-8"?>
<chartSpace xmlns="http://schemas.openxmlformats.org/drawingml/2006/chart">
  <chart>
    <title>
      <tx>
        <rich>
          <a:bodyPr xmlns:a="http://schemas.openxmlformats.org/drawingml/2006/main"/>
          <a:lstStyle xmlns:a="http://schemas.openxmlformats.org/drawingml/2006/main"/>
          <a:p xmlns:a="http://schemas.openxmlformats.org/drawingml/2006/main">
            <a:pPr>
              <a:defRPr/>
            </a:pPr>
            <a:r>
              <a:rPr lang="en-GB"/>
              <a:t>P50/P90/P99 at Key Project Horizons — DK1 Primary</a:t>
            </a:r>
          </a:p>
        </rich>
      </tx>
      <overlay val="1"/>
    </title>
    <plotArea>
      <layout/>
      <barChart>
        <barDir val="col"/>
        <grouping val="clustered"/>
        <varyColors val="1"/>
        <ser>
          <idx val="0"/>
          <order val="0"/>
          <tx>
            <strRef>
              <f>Simulation!$L$2</f>
              <strCache>
                <ptCount val="1"/>
                <pt idx="0">
                  <v>P50</v>
                </pt>
              </strCache>
            </strRef>
          </tx>
          <spPr>
            <a:solidFill xmlns:a="http://schemas.openxmlformats.org/drawingml/2006/main">
              <a:srgbClr val="2E75B6"/>
            </a:solidFill>
            <a:ln xmlns:a="http://schemas.openxmlformats.org/drawingml/2006/main">
              <a:prstDash val="solid"/>
            </a:ln>
          </spPr>
          <invertIfNegative val="1"/>
          <cat>
            <strRef>
              <f>Simulation!$K$3:$K$7</f>
              <strCache>
                <ptCount val="5"/>
                <pt idx="0">
                  <v>Year 5</v>
                </pt>
                <pt idx="1">
                  <v>Year 10</v>
                </pt>
                <pt idx="2">
                  <v>Year 15</v>
                </pt>
                <pt idx="3">
                  <v>Year 20</v>
                </pt>
                <pt idx="4">
                  <v>Year 25</v>
                </pt>
              </strCache>
            </strRef>
          </cat>
          <val>
            <numRef>
              <f>Simulation!$L$3:$L$7</f>
              <numCache>
                <formatCode>General</formatCode>
                <ptCount val="5"/>
                <pt idx="0">
                  <v>62.42</v>
                </pt>
                <pt idx="1">
                  <v>60.67</v>
                </pt>
                <pt idx="2">
                  <v>58.52</v>
                </pt>
                <pt idx="3">
                  <v>57.43</v>
                </pt>
                <pt idx="4">
                  <v>54.79</v>
                </pt>
              </numCache>
            </numRef>
          </val>
        </ser>
        <ser>
          <idx val="1"/>
          <order val="1"/>
          <tx>
            <strRef>
              <f>Simulation!$M$2</f>
              <strCache>
                <ptCount val="1"/>
                <pt idx="0">
                  <v>P90</v>
                </pt>
              </strCache>
            </strRef>
          </tx>
          <spPr>
            <a:solidFill xmlns:a="http://schemas.openxmlformats.org/drawingml/2006/main">
              <a:srgbClr val="FF8C00"/>
            </a:solidFill>
            <a:ln xmlns:a="http://schemas.openxmlformats.org/drawingml/2006/main">
              <a:prstDash val="solid"/>
            </a:ln>
          </spPr>
          <invertIfNegative val="1"/>
          <cat>
            <strRef>
              <f>Simulation!$K$3:$K$7</f>
              <strCache>
                <ptCount val="5"/>
                <pt idx="0">
                  <v>Year 5</v>
                </pt>
                <pt idx="1">
                  <v>Year 10</v>
                </pt>
                <pt idx="2">
                  <v>Year 15</v>
                </pt>
                <pt idx="3">
                  <v>Year 20</v>
                </pt>
                <pt idx="4">
                  <v>Year 25</v>
                </pt>
              </strCache>
            </strRef>
          </cat>
          <val>
            <numRef>
              <f>Simulation!$M$3:$M$7</f>
              <numCache>
                <formatCode>General</formatCode>
                <ptCount val="5"/>
                <pt idx="0">
                  <v>19.97</v>
                </pt>
                <pt idx="1">
                  <v>18.27</v>
                </pt>
                <pt idx="2">
                  <v>16.52</v>
                </pt>
                <pt idx="3">
                  <v>14.71</v>
                </pt>
                <pt idx="4">
                  <v>12.55</v>
                </pt>
              </numCache>
            </numRef>
          </val>
        </ser>
        <ser>
          <idx val="2"/>
          <order val="2"/>
          <tx>
            <strRef>
              <f>Simulation!$N$2</f>
              <strCache>
                <ptCount val="1"/>
                <pt idx="0">
                  <v>P99</v>
                </pt>
              </strCache>
            </strRef>
          </tx>
          <spPr>
            <a:solidFill xmlns:a="http://schemas.openxmlformats.org/drawingml/2006/main">
              <a:srgbClr val="C00000"/>
            </a:solidFill>
            <a:ln xmlns:a="http://schemas.openxmlformats.org/drawingml/2006/main">
              <a:prstDash val="solid"/>
            </a:ln>
          </spPr>
          <invertIfNegative val="1"/>
          <cat>
            <strRef>
              <f>Simulation!$K$3:$K$7</f>
              <strCache>
                <ptCount val="5"/>
                <pt idx="0">
                  <v>Year 5</v>
                </pt>
                <pt idx="1">
                  <v>Year 10</v>
                </pt>
                <pt idx="2">
                  <v>Year 15</v>
                </pt>
                <pt idx="3">
                  <v>Year 20</v>
                </pt>
                <pt idx="4">
                  <v>Year 25</v>
                </pt>
              </strCache>
            </strRef>
          </cat>
          <val>
            <numRef>
              <f>Simulation!$N$3:$N$7</f>
              <numCache>
                <formatCode>General</formatCode>
                <ptCount val="5"/>
                <pt idx="0">
                  <v>-14.85</v>
                </pt>
                <pt idx="1">
                  <v>-17.66</v>
                </pt>
                <pt idx="2">
                  <v>-15.45</v>
                </pt>
                <pt idx="3">
                  <v>-19.55</v>
                </pt>
                <pt idx="4">
                  <v>-22.5</v>
                </pt>
              </numCache>
            </numRef>
          </val>
        </ser>
        <dLbls>
          <showLegendKey val="0"/>
          <showVal val="0"/>
          <showCatName val="0"/>
          <showSerName val="0"/>
          <showPercent val="0"/>
          <showBubbleSize val="0"/>
        </dLbls>
        <gapWidth val="150"/>
        <axId val="10"/>
        <axId val="100"/>
      </barChart>
      <catAx>
        <axId val="10"/>
        <scaling>
          <orientation val="minMax"/>
        </scaling>
        <delete val="1"/>
        <axPos val="b"/>
        <title>
          <tx>
            <rich>
              <a:bodyPr xmlns:a="http://schemas.openxmlformats.org/drawingml/2006/main"/>
              <a:lstStyle xmlns:a="http://schemas.openxmlformats.org/drawingml/2006/main"/>
              <a:p xmlns:a="http://schemas.openxmlformats.org/drawingml/2006/main">
                <a:pPr>
                  <a:defRPr/>
                </a:pPr>
                <a:r>
                  <a:rPr lang="en-GB"/>
                  <a:t>Project Year</a:t>
                </a:r>
              </a:p>
            </rich>
          </tx>
          <overlay val="1"/>
        </title>
        <numFmt formatCode="General" sourceLinked="1"/>
        <majorTickMark val="none"/>
        <minorTickMark val="none"/>
        <tickLblPos val="nextTo"/>
        <crossAx val="100"/>
        <crosses val="autoZero"/>
        <auto val="1"/>
        <lblAlgn val="ctr"/>
        <lblOffset val="100"/>
        <noMultiLvlLbl val="1"/>
      </catAx>
      <valAx>
        <axId val="100"/>
        <scaling>
          <orientation val="minMax"/>
        </scaling>
        <delete val="1"/>
        <axPos val="l"/>
        <majorGridlines/>
        <title>
          <tx>
            <rich>
              <a:bodyPr xmlns:a="http://schemas.openxmlformats.org/drawingml/2006/main"/>
              <a:lstStyle xmlns:a="http://schemas.openxmlformats.org/drawingml/2006/main"/>
              <a:p xmlns:a="http://schemas.openxmlformats.org/drawingml/2006/main">
                <a:pPr>
                  <a:defRPr/>
                </a:pPr>
                <a:r>
                  <a:rPr lang="en-GB"/>
                  <a:t>Capture Price (EUR/MWh)</a:t>
                </a:r>
              </a:p>
            </rich>
          </tx>
          <overlay val="1"/>
        </title>
        <numFmt formatCode="General" sourceLinked="1"/>
        <majorTickMark val="none"/>
        <minorTickMark val="none"/>
        <tickLblPos val="nextTo"/>
        <crossAx val="10"/>
        <crosses val="autoZero"/>
        <crossBetween val="between"/>
      </valAx>
    </plotArea>
    <legend>
      <legendPos val="r"/>
      <overlay val="1"/>
    </legend>
    <plotVisOnly val="1"/>
    <dispBlanksAs val="gap"/>
  </chart>
</chartSpace>
</file>

<file path=xl/charts/chart225.xml><?xml version="1.0" encoding="utf-8"?>
<chartSpace xmlns="http://schemas.openxmlformats.org/drawingml/2006/chart">
  <chart>
    <title>
      <tx>
        <rich>
          <a:bodyPr xmlns:a="http://schemas.openxmlformats.org/drawingml/2006/main"/>
          <a:lstStyle xmlns:a="http://schemas.openxmlformats.org/drawingml/2006/main"/>
          <a:p xmlns:a="http://schemas.openxmlformats.org/drawingml/2006/main">
            <a:pPr>
              <a:defRPr/>
            </a:pPr>
            <a:r>
              <a:rPr lang="en-GB"/>
              <a:t>MC Simulation - DK1 P50/P90/P99 Capture Price Paths</a:t>
            </a:r>
          </a:p>
        </rich>
      </tx>
      <overlay val="1"/>
    </title>
    <plotArea>
      <layout/>
      <lineChart>
        <grouping val="standard"/>
        <varyColors val="1"/>
        <ser>
          <idx val="0"/>
          <order val="0"/>
          <tx>
            <strRef>
              <f>Simulation!$C$1</f>
              <strCache>
                <ptCount val="1"/>
                <pt idx="0">
                  <v>mu_capture</v>
                </pt>
              </strCache>
            </strRef>
          </tx>
          <spPr>
            <a:ln xmlns:a="http://schemas.openxmlformats.org/drawingml/2006/main">
              <a:solidFill>
                <a:srgbClr val="70AD47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val>
            <numRef>
              <f>Simulation!$C$2:$C$301</f>
              <numCache>
                <formatCode>General</formatCode>
                <ptCount val="300"/>
                <pt idx="0">
                  <v>64.87990000000001</v>
                </pt>
                <pt idx="1">
                  <v>64.84569999999999</v>
                </pt>
                <pt idx="2">
                  <v>64.81140000000001</v>
                </pt>
                <pt idx="3">
                  <v>64.7771</v>
                </pt>
                <pt idx="4">
                  <v>64.74290000000001</v>
                </pt>
                <pt idx="5">
                  <v>64.7086</v>
                </pt>
                <pt idx="6">
                  <v>64.67440000000001</v>
                </pt>
                <pt idx="7">
                  <v>64.6401</v>
                </pt>
                <pt idx="8">
                  <v>64.6058</v>
                </pt>
                <pt idx="9">
                  <v>64.5716</v>
                </pt>
                <pt idx="10">
                  <v>64.5373</v>
                </pt>
                <pt idx="11">
                  <v>64.503</v>
                </pt>
                <pt idx="12">
                  <v>64.4688</v>
                </pt>
                <pt idx="13">
                  <v>64.4345</v>
                </pt>
                <pt idx="14">
                  <v>64.4003</v>
                </pt>
                <pt idx="15">
                  <v>64.366</v>
                </pt>
                <pt idx="16">
                  <v>64.3317</v>
                </pt>
                <pt idx="17">
                  <v>64.2975</v>
                </pt>
                <pt idx="18">
                  <v>64.2632</v>
                </pt>
                <pt idx="19">
                  <v>64.229</v>
                </pt>
                <pt idx="20">
                  <v>64.1947</v>
                </pt>
                <pt idx="21">
                  <v>64.1604</v>
                </pt>
                <pt idx="22">
                  <v>64.1262</v>
                </pt>
                <pt idx="23">
                  <v>64.0919</v>
                </pt>
                <pt idx="24">
                  <v>64.05759999999999</v>
                </pt>
                <pt idx="25">
                  <v>64.0234</v>
                </pt>
                <pt idx="26">
                  <v>63.9891</v>
                </pt>
                <pt idx="27">
                  <v>63.9549</v>
                </pt>
                <pt idx="28">
                  <v>63.9206</v>
                </pt>
                <pt idx="29">
                  <v>63.8863</v>
                </pt>
                <pt idx="30">
                  <v>63.8521</v>
                </pt>
                <pt idx="31">
                  <v>63.8178</v>
                </pt>
                <pt idx="32">
                  <v>63.7836</v>
                </pt>
                <pt idx="33">
                  <v>63.7493</v>
                </pt>
                <pt idx="34">
                  <v>63.715</v>
                </pt>
                <pt idx="35">
                  <v>63.6808</v>
                </pt>
                <pt idx="36">
                  <v>63.6465</v>
                </pt>
                <pt idx="37">
                  <v>63.6122</v>
                </pt>
                <pt idx="38">
                  <v>63.578</v>
                </pt>
                <pt idx="39">
                  <v>63.5437</v>
                </pt>
                <pt idx="40">
                  <v>63.5095</v>
                </pt>
                <pt idx="41">
                  <v>63.4752</v>
                </pt>
                <pt idx="42">
                  <v>63.4409</v>
                </pt>
                <pt idx="43">
                  <v>63.4067</v>
                </pt>
                <pt idx="44">
                  <v>63.3724</v>
                </pt>
                <pt idx="45">
                  <v>63.3382</v>
                </pt>
                <pt idx="46">
                  <v>63.3039</v>
                </pt>
                <pt idx="47">
                  <v>63.2696</v>
                </pt>
                <pt idx="48">
                  <v>63.2354</v>
                </pt>
                <pt idx="49">
                  <v>63.2011</v>
                </pt>
                <pt idx="50">
                  <v>63.1669</v>
                </pt>
                <pt idx="51">
                  <v>63.1326</v>
                </pt>
                <pt idx="52">
                  <v>63.0983</v>
                </pt>
                <pt idx="53">
                  <v>63.0641</v>
                </pt>
                <pt idx="54">
                  <v>63.0298</v>
                </pt>
                <pt idx="55">
                  <v>62.9955</v>
                </pt>
                <pt idx="56">
                  <v>62.9613</v>
                </pt>
                <pt idx="57">
                  <v>62.927</v>
                </pt>
                <pt idx="58">
                  <v>62.8928</v>
                </pt>
                <pt idx="59">
                  <v>62.8585</v>
                </pt>
                <pt idx="60">
                  <v>62.8242</v>
                </pt>
                <pt idx="61">
                  <v>62.79</v>
                </pt>
                <pt idx="62">
                  <v>62.7557</v>
                </pt>
                <pt idx="63">
                  <v>62.7215</v>
                </pt>
                <pt idx="64">
                  <v>62.6872</v>
                </pt>
                <pt idx="65">
                  <v>62.6529</v>
                </pt>
                <pt idx="66">
                  <v>62.6187</v>
                </pt>
                <pt idx="67">
                  <v>62.5844</v>
                </pt>
                <pt idx="68">
                  <v>62.5501</v>
                </pt>
                <pt idx="69">
                  <v>62.5159</v>
                </pt>
                <pt idx="70">
                  <v>62.4816</v>
                </pt>
                <pt idx="71">
                  <v>62.4474</v>
                </pt>
                <pt idx="72">
                  <v>62.4131</v>
                </pt>
                <pt idx="73">
                  <v>62.3788</v>
                </pt>
                <pt idx="74">
                  <v>62.3446</v>
                </pt>
                <pt idx="75">
                  <v>62.3103</v>
                </pt>
                <pt idx="76">
                  <v>62.2761</v>
                </pt>
                <pt idx="77">
                  <v>62.2418</v>
                </pt>
                <pt idx="78">
                  <v>62.2075</v>
                </pt>
                <pt idx="79">
                  <v>62.1733</v>
                </pt>
                <pt idx="80">
                  <v>62.139</v>
                </pt>
                <pt idx="81">
                  <v>62.1047</v>
                </pt>
                <pt idx="82">
                  <v>62.0705</v>
                </pt>
                <pt idx="83">
                  <v>62.0362</v>
                </pt>
                <pt idx="84">
                  <v>62.002</v>
                </pt>
                <pt idx="85">
                  <v>61.9677</v>
                </pt>
                <pt idx="86">
                  <v>61.9334</v>
                </pt>
                <pt idx="87">
                  <v>61.8992</v>
                </pt>
                <pt idx="88">
                  <v>61.8649</v>
                </pt>
                <pt idx="89">
                  <v>61.8307</v>
                </pt>
                <pt idx="90">
                  <v>61.7964</v>
                </pt>
                <pt idx="91">
                  <v>61.7621</v>
                </pt>
                <pt idx="92">
                  <v>61.7279</v>
                </pt>
                <pt idx="93">
                  <v>61.6936</v>
                </pt>
                <pt idx="94">
                  <v>61.6593</v>
                </pt>
                <pt idx="95">
                  <v>61.6251</v>
                </pt>
                <pt idx="96">
                  <v>61.5908</v>
                </pt>
                <pt idx="97">
                  <v>61.5566</v>
                </pt>
                <pt idx="98">
                  <v>61.5223</v>
                </pt>
                <pt idx="99">
                  <v>61.488</v>
                </pt>
                <pt idx="100">
                  <v>61.4538</v>
                </pt>
                <pt idx="101">
                  <v>61.4195</v>
                </pt>
                <pt idx="102">
                  <v>61.3853</v>
                </pt>
                <pt idx="103">
                  <v>61.351</v>
                </pt>
                <pt idx="104">
                  <v>61.3167</v>
                </pt>
                <pt idx="105">
                  <v>61.2825</v>
                </pt>
                <pt idx="106">
                  <v>61.2482</v>
                </pt>
                <pt idx="107">
                  <v>61.2139</v>
                </pt>
                <pt idx="108">
                  <v>61.1797</v>
                </pt>
                <pt idx="109">
                  <v>61.1454</v>
                </pt>
                <pt idx="110">
                  <v>61.1112</v>
                </pt>
                <pt idx="111">
                  <v>61.0769</v>
                </pt>
                <pt idx="112">
                  <v>61.0426</v>
                </pt>
                <pt idx="113">
                  <v>61.0084</v>
                </pt>
                <pt idx="114">
                  <v>60.9741</v>
                </pt>
                <pt idx="115">
                  <v>60.9399</v>
                </pt>
                <pt idx="116">
                  <v>60.9056</v>
                </pt>
                <pt idx="117">
                  <v>60.8713</v>
                </pt>
                <pt idx="118">
                  <v>60.8371</v>
                </pt>
                <pt idx="119">
                  <v>60.8028</v>
                </pt>
                <pt idx="120">
                  <v>60.7685</v>
                </pt>
                <pt idx="121">
                  <v>60.7343</v>
                </pt>
                <pt idx="122">
                  <v>60.7</v>
                </pt>
                <pt idx="123">
                  <v>60.6658</v>
                </pt>
                <pt idx="124">
                  <v>60.6315</v>
                </pt>
                <pt idx="125">
                  <v>60.5972</v>
                </pt>
                <pt idx="126">
                  <v>60.563</v>
                </pt>
                <pt idx="127">
                  <v>60.5287</v>
                </pt>
                <pt idx="128">
                  <v>60.4945</v>
                </pt>
                <pt idx="129">
                  <v>60.4602</v>
                </pt>
                <pt idx="130">
                  <v>60.4259</v>
                </pt>
                <pt idx="131">
                  <v>60.3917</v>
                </pt>
                <pt idx="132">
                  <v>60.3574</v>
                </pt>
                <pt idx="133">
                  <v>60.3231</v>
                </pt>
                <pt idx="134">
                  <v>60.2889</v>
                </pt>
                <pt idx="135">
                  <v>60.2546</v>
                </pt>
                <pt idx="136">
                  <v>60.2204</v>
                </pt>
                <pt idx="137">
                  <v>60.1861</v>
                </pt>
                <pt idx="138">
                  <v>60.1518</v>
                </pt>
                <pt idx="139">
                  <v>60.1176</v>
                </pt>
                <pt idx="140">
                  <v>60.0833</v>
                </pt>
                <pt idx="141">
                  <v>60.0491</v>
                </pt>
                <pt idx="142">
                  <v>60.0148</v>
                </pt>
                <pt idx="143">
                  <v>59.9805</v>
                </pt>
                <pt idx="144">
                  <v>59.9463</v>
                </pt>
                <pt idx="145">
                  <v>59.912</v>
                </pt>
                <pt idx="146">
                  <v>59.8777</v>
                </pt>
                <pt idx="147">
                  <v>59.8435</v>
                </pt>
                <pt idx="148">
                  <v>59.8092</v>
                </pt>
                <pt idx="149">
                  <v>59.775</v>
                </pt>
                <pt idx="150">
                  <v>59.7407</v>
                </pt>
                <pt idx="151">
                  <v>59.7064</v>
                </pt>
                <pt idx="152">
                  <v>59.6722</v>
                </pt>
                <pt idx="153">
                  <v>59.6379</v>
                </pt>
                <pt idx="154">
                  <v>59.6037</v>
                </pt>
                <pt idx="155">
                  <v>59.5694</v>
                </pt>
                <pt idx="156">
                  <v>59.5351</v>
                </pt>
                <pt idx="157">
                  <v>59.5009</v>
                </pt>
                <pt idx="158">
                  <v>59.4666</v>
                </pt>
                <pt idx="159">
                  <v>59.4323</v>
                </pt>
                <pt idx="160">
                  <v>59.3981</v>
                </pt>
                <pt idx="161">
                  <v>59.3638</v>
                </pt>
                <pt idx="162">
                  <v>59.3296</v>
                </pt>
                <pt idx="163">
                  <v>59.2953</v>
                </pt>
                <pt idx="164">
                  <v>59.261</v>
                </pt>
                <pt idx="165">
                  <v>59.2268</v>
                </pt>
                <pt idx="166">
                  <v>59.1925</v>
                </pt>
                <pt idx="167">
                  <v>59.1583</v>
                </pt>
                <pt idx="168">
                  <v>59.124</v>
                </pt>
                <pt idx="169">
                  <v>59.0897</v>
                </pt>
                <pt idx="170">
                  <v>59.0555</v>
                </pt>
                <pt idx="171">
                  <v>59.0212</v>
                </pt>
                <pt idx="172">
                  <v>58.9869</v>
                </pt>
                <pt idx="173">
                  <v>58.9527</v>
                </pt>
                <pt idx="174">
                  <v>58.9184</v>
                </pt>
                <pt idx="175">
                  <v>58.8842</v>
                </pt>
                <pt idx="176">
                  <v>58.8499</v>
                </pt>
                <pt idx="177">
                  <v>58.8156</v>
                </pt>
                <pt idx="178">
                  <v>58.7814</v>
                </pt>
                <pt idx="179">
                  <v>58.7471</v>
                </pt>
                <pt idx="180">
                  <v>58.7129</v>
                </pt>
                <pt idx="181">
                  <v>58.6786</v>
                </pt>
                <pt idx="182">
                  <v>58.6443</v>
                </pt>
                <pt idx="183">
                  <v>58.6101</v>
                </pt>
                <pt idx="184">
                  <v>58.5758</v>
                </pt>
                <pt idx="185">
                  <v>58.5415</v>
                </pt>
                <pt idx="186">
                  <v>58.5073</v>
                </pt>
                <pt idx="187">
                  <v>58.473</v>
                </pt>
                <pt idx="188">
                  <v>58.4388</v>
                </pt>
                <pt idx="189">
                  <v>58.4045</v>
                </pt>
                <pt idx="190">
                  <v>58.3702</v>
                </pt>
                <pt idx="191">
                  <v>58.336</v>
                </pt>
                <pt idx="192">
                  <v>58.3017</v>
                </pt>
                <pt idx="193">
                  <v>58.2675</v>
                </pt>
                <pt idx="194">
                  <v>58.2332</v>
                </pt>
                <pt idx="195">
                  <v>58.1989</v>
                </pt>
                <pt idx="196">
                  <v>58.1647</v>
                </pt>
                <pt idx="197">
                  <v>58.1304</v>
                </pt>
                <pt idx="198">
                  <v>58.0961</v>
                </pt>
                <pt idx="199">
                  <v>58.0619</v>
                </pt>
                <pt idx="200">
                  <v>58.0276</v>
                </pt>
                <pt idx="201">
                  <v>57.9934</v>
                </pt>
                <pt idx="202">
                  <v>57.9591</v>
                </pt>
                <pt idx="203">
                  <v>57.9248</v>
                </pt>
                <pt idx="204">
                  <v>57.8906</v>
                </pt>
                <pt idx="205">
                  <v>57.8563</v>
                </pt>
                <pt idx="206">
                  <v>57.8221</v>
                </pt>
                <pt idx="207">
                  <v>57.7878</v>
                </pt>
                <pt idx="208">
                  <v>57.7535</v>
                </pt>
                <pt idx="209">
                  <v>57.7193</v>
                </pt>
                <pt idx="210">
                  <v>57.685</v>
                </pt>
                <pt idx="211">
                  <v>57.6507</v>
                </pt>
                <pt idx="212">
                  <v>57.6165</v>
                </pt>
                <pt idx="213">
                  <v>57.5822</v>
                </pt>
                <pt idx="214">
                  <v>57.548</v>
                </pt>
                <pt idx="215">
                  <v>57.5137</v>
                </pt>
                <pt idx="216">
                  <v>57.4794</v>
                </pt>
                <pt idx="217">
                  <v>57.4452</v>
                </pt>
                <pt idx="218">
                  <v>57.4109</v>
                </pt>
                <pt idx="219">
                  <v>57.3767</v>
                </pt>
                <pt idx="220">
                  <v>57.3424</v>
                </pt>
                <pt idx="221">
                  <v>57.3081</v>
                </pt>
                <pt idx="222">
                  <v>57.2739</v>
                </pt>
                <pt idx="223">
                  <v>57.2396</v>
                </pt>
                <pt idx="224">
                  <v>57.2053</v>
                </pt>
                <pt idx="225">
                  <v>57.1711</v>
                </pt>
                <pt idx="226">
                  <v>57.1368</v>
                </pt>
                <pt idx="227">
                  <v>57.1026</v>
                </pt>
                <pt idx="228">
                  <v>57.0683</v>
                </pt>
                <pt idx="229">
                  <v>57.034</v>
                </pt>
                <pt idx="230">
                  <v>56.9998</v>
                </pt>
                <pt idx="231">
                  <v>56.9655</v>
                </pt>
                <pt idx="232">
                  <v>56.9313</v>
                </pt>
                <pt idx="233">
                  <v>56.897</v>
                </pt>
                <pt idx="234">
                  <v>56.8627</v>
                </pt>
                <pt idx="235">
                  <v>56.8285</v>
                </pt>
                <pt idx="236">
                  <v>56.7942</v>
                </pt>
                <pt idx="237">
                  <v>56.7599</v>
                </pt>
                <pt idx="238">
                  <v>56.7257</v>
                </pt>
                <pt idx="239">
                  <v>56.6914</v>
                </pt>
                <pt idx="240">
                  <v>56.6572</v>
                </pt>
                <pt idx="241">
                  <v>56.6229</v>
                </pt>
                <pt idx="242">
                  <v>56.5886</v>
                </pt>
                <pt idx="243">
                  <v>56.5544</v>
                </pt>
                <pt idx="244">
                  <v>56.5201</v>
                </pt>
                <pt idx="245">
                  <v>56.4859</v>
                </pt>
                <pt idx="246">
                  <v>56.4516</v>
                </pt>
                <pt idx="247">
                  <v>56.4173</v>
                </pt>
                <pt idx="248">
                  <v>56.3831</v>
                </pt>
                <pt idx="249">
                  <v>56.3488</v>
                </pt>
                <pt idx="250">
                  <v>56.3145</v>
                </pt>
                <pt idx="251">
                  <v>56.2803</v>
                </pt>
                <pt idx="252">
                  <v>56.246</v>
                </pt>
                <pt idx="253">
                  <v>56.2118</v>
                </pt>
                <pt idx="254">
                  <v>56.1775</v>
                </pt>
                <pt idx="255">
                  <v>56.1432</v>
                </pt>
                <pt idx="256">
                  <v>56.109</v>
                </pt>
                <pt idx="257">
                  <v>56.0747</v>
                </pt>
                <pt idx="258">
                  <v>56.0405</v>
                </pt>
                <pt idx="259">
                  <v>56.0062</v>
                </pt>
                <pt idx="260">
                  <v>55.9719</v>
                </pt>
                <pt idx="261">
                  <v>55.9377</v>
                </pt>
                <pt idx="262">
                  <v>55.9034</v>
                </pt>
                <pt idx="263">
                  <v>55.8691</v>
                </pt>
                <pt idx="264">
                  <v>55.8349</v>
                </pt>
                <pt idx="265">
                  <v>55.8006</v>
                </pt>
                <pt idx="266">
                  <v>55.7664</v>
                </pt>
                <pt idx="267">
                  <v>55.7321</v>
                </pt>
                <pt idx="268">
                  <v>55.6978</v>
                </pt>
                <pt idx="269">
                  <v>55.6636</v>
                </pt>
                <pt idx="270">
                  <v>55.6293</v>
                </pt>
                <pt idx="271">
                  <v>55.5951</v>
                </pt>
                <pt idx="272">
                  <v>55.5608</v>
                </pt>
                <pt idx="273">
                  <v>55.5265</v>
                </pt>
                <pt idx="274">
                  <v>55.4923</v>
                </pt>
                <pt idx="275">
                  <v>55.458</v>
                </pt>
                <pt idx="276">
                  <v>55.4237</v>
                </pt>
                <pt idx="277">
                  <v>55.3895</v>
                </pt>
                <pt idx="278">
                  <v>55.3552</v>
                </pt>
                <pt idx="279">
                  <v>55.321</v>
                </pt>
                <pt idx="280">
                  <v>55.2867</v>
                </pt>
                <pt idx="281">
                  <v>55.2524</v>
                </pt>
                <pt idx="282">
                  <v>55.2182</v>
                </pt>
                <pt idx="283">
                  <v>55.1839</v>
                </pt>
                <pt idx="284">
                  <v>55.1497</v>
                </pt>
                <pt idx="285">
                  <v>55.1154</v>
                </pt>
                <pt idx="286">
                  <v>55.0811</v>
                </pt>
                <pt idx="287">
                  <v>55.0469</v>
                </pt>
                <pt idx="288">
                  <v>55.0126</v>
                </pt>
                <pt idx="289">
                  <v>54.9783</v>
                </pt>
                <pt idx="290">
                  <v>54.9441</v>
                </pt>
                <pt idx="291">
                  <v>54.9098</v>
                </pt>
                <pt idx="292">
                  <v>54.8756</v>
                </pt>
                <pt idx="293">
                  <v>54.8413</v>
                </pt>
                <pt idx="294">
                  <v>54.807</v>
                </pt>
                <pt idx="295">
                  <v>54.7728</v>
                </pt>
                <pt idx="296">
                  <v>54.7385</v>
                </pt>
                <pt idx="297">
                  <v>54.7043</v>
                </pt>
                <pt idx="298">
                  <v>54.67</v>
                </pt>
                <pt idx="299">
                  <v>54.6357</v>
                </pt>
              </numCache>
            </numRef>
          </val>
          <smooth val="1"/>
        </ser>
        <ser>
          <idx val="1"/>
          <order val="1"/>
          <tx>
            <strRef>
              <f>Simulation!$D$1</f>
              <strCache>
                <ptCount val="1"/>
                <pt idx="0">
                  <v>P50</v>
                </pt>
              </strCache>
            </strRef>
          </tx>
          <spPr>
            <a:ln xmlns:a="http://schemas.openxmlformats.org/drawingml/2006/main">
              <a:solidFill>
                <a:srgbClr val="2E75B6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val>
            <numRef>
              <f>Simulation!$D$2:$D$301</f>
              <numCache>
                <formatCode>General</formatCode>
                <ptCount val="300"/>
                <pt idx="0">
                  <v>68.29470000000001</v>
                </pt>
                <pt idx="1">
                  <v>67.8014</v>
                </pt>
                <pt idx="2">
                  <v>67.71599999999999</v>
                </pt>
                <pt idx="3">
                  <v>67.0428</v>
                </pt>
                <pt idx="4">
                  <v>66.6091</v>
                </pt>
                <pt idx="5">
                  <v>66.60039999999999</v>
                </pt>
                <pt idx="6">
                  <v>66.3599</v>
                </pt>
                <pt idx="7">
                  <v>66.1206</v>
                </pt>
                <pt idx="8">
                  <v>65.93049999999999</v>
                </pt>
                <pt idx="9">
                  <v>65.7839</v>
                </pt>
                <pt idx="10">
                  <v>65.3835</v>
                </pt>
                <pt idx="11">
                  <v>65.49639999999999</v>
                </pt>
                <pt idx="12">
                  <v>65.4259</v>
                </pt>
                <pt idx="13">
                  <v>65.3168</v>
                </pt>
                <pt idx="14">
                  <v>65.3124</v>
                </pt>
                <pt idx="15">
                  <v>65.4709</v>
                </pt>
                <pt idx="16">
                  <v>65.0741</v>
                </pt>
                <pt idx="17">
                  <v>65.3845</v>
                </pt>
                <pt idx="18">
                  <v>65.3837</v>
                </pt>
                <pt idx="19">
                  <v>64.92100000000001</v>
                </pt>
                <pt idx="20">
                  <v>64.67189999999999</v>
                </pt>
                <pt idx="21">
                  <v>64.66589999999999</v>
                </pt>
                <pt idx="22">
                  <v>64.5806</v>
                </pt>
                <pt idx="23">
                  <v>64.753</v>
                </pt>
                <pt idx="24">
                  <v>64.5184</v>
                </pt>
                <pt idx="25">
                  <v>63.9402</v>
                </pt>
                <pt idx="26">
                  <v>64.05119999999999</v>
                </pt>
                <pt idx="27">
                  <v>63.356</v>
                </pt>
                <pt idx="28">
                  <v>63.4926</v>
                </pt>
                <pt idx="29">
                  <v>63.8812</v>
                </pt>
                <pt idx="30">
                  <v>63.8228</v>
                </pt>
                <pt idx="31">
                  <v>63.6116</v>
                </pt>
                <pt idx="32">
                  <v>63.6882</v>
                </pt>
                <pt idx="33">
                  <v>63.7051</v>
                </pt>
                <pt idx="34">
                  <v>63.2599</v>
                </pt>
                <pt idx="35">
                  <v>63.4638</v>
                </pt>
                <pt idx="36">
                  <v>63.5791</v>
                </pt>
                <pt idx="37">
                  <v>63.822</v>
                </pt>
                <pt idx="38">
                  <v>63.89</v>
                </pt>
                <pt idx="39">
                  <v>64.0026</v>
                </pt>
                <pt idx="40">
                  <v>63.5872</v>
                </pt>
                <pt idx="41">
                  <v>63.6273</v>
                </pt>
                <pt idx="42">
                  <v>63.3573</v>
                </pt>
                <pt idx="43">
                  <v>62.892</v>
                </pt>
                <pt idx="44">
                  <v>63.6131</v>
                </pt>
                <pt idx="45">
                  <v>63.198</v>
                </pt>
                <pt idx="46">
                  <v>63.0624</v>
                </pt>
                <pt idx="47">
                  <v>62.845</v>
                </pt>
                <pt idx="48">
                  <v>62.6145</v>
                </pt>
                <pt idx="49">
                  <v>63.1053</v>
                </pt>
                <pt idx="50">
                  <v>62.8602</v>
                </pt>
                <pt idx="51">
                  <v>62.9103</v>
                </pt>
                <pt idx="52">
                  <v>62.3016</v>
                </pt>
                <pt idx="53">
                  <v>62.4812</v>
                </pt>
                <pt idx="54">
                  <v>62.362</v>
                </pt>
                <pt idx="55">
                  <v>62.5664</v>
                </pt>
                <pt idx="56">
                  <v>62.7613</v>
                </pt>
                <pt idx="57">
                  <v>63.3374</v>
                </pt>
                <pt idx="58">
                  <v>62.7833</v>
                </pt>
                <pt idx="59">
                  <v>62.4226</v>
                </pt>
                <pt idx="60">
                  <v>62.5881</v>
                </pt>
                <pt idx="61">
                  <v>62.3565</v>
                </pt>
                <pt idx="62">
                  <v>62.6133</v>
                </pt>
                <pt idx="63">
                  <v>62.5835</v>
                </pt>
                <pt idx="64">
                  <v>63.0146</v>
                </pt>
                <pt idx="65">
                  <v>62.8042</v>
                </pt>
                <pt idx="66">
                  <v>62.8996</v>
                </pt>
                <pt idx="67">
                  <v>62.9281</v>
                </pt>
                <pt idx="68">
                  <v>62.6208</v>
                </pt>
                <pt idx="69">
                  <v>62.8201</v>
                </pt>
                <pt idx="70">
                  <v>63.2874</v>
                </pt>
                <pt idx="71">
                  <v>63.1687</v>
                </pt>
                <pt idx="72">
                  <v>62.8916</v>
                </pt>
                <pt idx="73">
                  <v>62.7213</v>
                </pt>
                <pt idx="74">
                  <v>62.9305</v>
                </pt>
                <pt idx="75">
                  <v>62.6355</v>
                </pt>
                <pt idx="76">
                  <v>62.6489</v>
                </pt>
                <pt idx="77">
                  <v>62.8141</v>
                </pt>
                <pt idx="78">
                  <v>63.0745</v>
                </pt>
                <pt idx="79">
                  <v>62.9874</v>
                </pt>
                <pt idx="80">
                  <v>62.4777</v>
                </pt>
                <pt idx="81">
                  <v>62.5201</v>
                </pt>
                <pt idx="82">
                  <v>62.2743</v>
                </pt>
                <pt idx="83">
                  <v>62.398</v>
                </pt>
                <pt idx="84">
                  <v>62.1767</v>
                </pt>
                <pt idx="85">
                  <v>62.0783</v>
                </pt>
                <pt idx="86">
                  <v>61.8828</v>
                </pt>
                <pt idx="87">
                  <v>61.7588</v>
                </pt>
                <pt idx="88">
                  <v>62.4898</v>
                </pt>
                <pt idx="89">
                  <v>62.0116</v>
                </pt>
                <pt idx="90">
                  <v>61.8201</v>
                </pt>
                <pt idx="91">
                  <v>61.529</v>
                </pt>
                <pt idx="92">
                  <v>61.6442</v>
                </pt>
                <pt idx="93">
                  <v>61.4838</v>
                </pt>
                <pt idx="94">
                  <v>61.343</v>
                </pt>
                <pt idx="95">
                  <v>60.9542</v>
                </pt>
                <pt idx="96">
                  <v>60.434</v>
                </pt>
                <pt idx="97">
                  <v>60.3001</v>
                </pt>
                <pt idx="98">
                  <v>60.473</v>
                </pt>
                <pt idx="99">
                  <v>60.8696</v>
                </pt>
                <pt idx="100">
                  <v>60.9672</v>
                </pt>
                <pt idx="101">
                  <v>60.7791</v>
                </pt>
                <pt idx="102">
                  <v>61.3644</v>
                </pt>
                <pt idx="103">
                  <v>61.2554</v>
                </pt>
                <pt idx="104">
                  <v>61.0374</v>
                </pt>
                <pt idx="105">
                  <v>61.084</v>
                </pt>
                <pt idx="106">
                  <v>61.1586</v>
                </pt>
                <pt idx="107">
                  <v>61.5774</v>
                </pt>
                <pt idx="108">
                  <v>61.2402</v>
                </pt>
                <pt idx="109">
                  <v>61.5023</v>
                </pt>
                <pt idx="110">
                  <v>60.8356</v>
                </pt>
                <pt idx="111">
                  <v>61.0535</v>
                </pt>
                <pt idx="112">
                  <v>60.5295</v>
                </pt>
                <pt idx="113">
                  <v>60.994</v>
                </pt>
                <pt idx="114">
                  <v>60.7776</v>
                </pt>
                <pt idx="115">
                  <v>60.9892</v>
                </pt>
                <pt idx="116">
                  <v>60.859</v>
                </pt>
                <pt idx="117">
                  <v>60.9684</v>
                </pt>
                <pt idx="118">
                  <v>60.7264</v>
                </pt>
                <pt idx="119">
                  <v>60.6705</v>
                </pt>
                <pt idx="120">
                  <v>61.1463</v>
                </pt>
                <pt idx="121">
                  <v>61.2064</v>
                </pt>
                <pt idx="122">
                  <v>61.7537</v>
                </pt>
                <pt idx="123">
                  <v>61.6866</v>
                </pt>
                <pt idx="124">
                  <v>60.9476</v>
                </pt>
                <pt idx="125">
                  <v>60.8869</v>
                </pt>
                <pt idx="126">
                  <v>60.4458</v>
                </pt>
                <pt idx="127">
                  <v>60.1503</v>
                </pt>
                <pt idx="128">
                  <v>60.157</v>
                </pt>
                <pt idx="129">
                  <v>60.2788</v>
                </pt>
                <pt idx="130">
                  <v>59.5874</v>
                </pt>
                <pt idx="131">
                  <v>59.3136</v>
                </pt>
                <pt idx="132">
                  <v>59.3775</v>
                </pt>
                <pt idx="133">
                  <v>59.4079</v>
                </pt>
                <pt idx="134">
                  <v>59.7418</v>
                </pt>
                <pt idx="135">
                  <v>59.4624</v>
                </pt>
                <pt idx="136">
                  <v>59.7893</v>
                </pt>
                <pt idx="137">
                  <v>59.8724</v>
                </pt>
                <pt idx="138">
                  <v>59.9164</v>
                </pt>
                <pt idx="139">
                  <v>60.4144</v>
                </pt>
                <pt idx="140">
                  <v>60.186</v>
                </pt>
                <pt idx="141">
                  <v>60.0311</v>
                </pt>
                <pt idx="142">
                  <v>60.1254</v>
                </pt>
                <pt idx="143">
                  <v>59.9196</v>
                </pt>
                <pt idx="144">
                  <v>59.5949</v>
                </pt>
                <pt idx="145">
                  <v>59.6674</v>
                </pt>
                <pt idx="146">
                  <v>59.4913</v>
                </pt>
                <pt idx="147">
                  <v>59.7985</v>
                </pt>
                <pt idx="148">
                  <v>60.2316</v>
                </pt>
                <pt idx="149">
                  <v>60.2002</v>
                </pt>
                <pt idx="150">
                  <v>59.999</v>
                </pt>
                <pt idx="151">
                  <v>59.9414</v>
                </pt>
                <pt idx="152">
                  <v>60.1516</v>
                </pt>
                <pt idx="153">
                  <v>60.0906</v>
                </pt>
                <pt idx="154">
                  <v>59.853</v>
                </pt>
                <pt idx="155">
                  <v>59.8376</v>
                </pt>
                <pt idx="156">
                  <v>59.904</v>
                </pt>
                <pt idx="157">
                  <v>60.0644</v>
                </pt>
                <pt idx="158">
                  <v>60.2468</v>
                </pt>
                <pt idx="159">
                  <v>59.7396</v>
                </pt>
                <pt idx="160">
                  <v>59.5252</v>
                </pt>
                <pt idx="161">
                  <v>59.8279</v>
                </pt>
                <pt idx="162">
                  <v>59.8146</v>
                </pt>
                <pt idx="163">
                  <v>59.2046</v>
                </pt>
                <pt idx="164">
                  <v>59.7766</v>
                </pt>
                <pt idx="165">
                  <v>59.2354</v>
                </pt>
                <pt idx="166">
                  <v>59.4606</v>
                </pt>
                <pt idx="167">
                  <v>59.3208</v>
                </pt>
                <pt idx="168">
                  <v>59.4766</v>
                </pt>
                <pt idx="169">
                  <v>59.3121</v>
                </pt>
                <pt idx="170">
                  <v>59.9682</v>
                </pt>
                <pt idx="171">
                  <v>59.1549</v>
                </pt>
                <pt idx="172">
                  <v>59.2273</v>
                </pt>
                <pt idx="173">
                  <v>58.9161</v>
                </pt>
                <pt idx="174">
                  <v>58.9017</v>
                </pt>
                <pt idx="175">
                  <v>58.7956</v>
                </pt>
                <pt idx="176">
                  <v>58.6365</v>
                </pt>
                <pt idx="177">
                  <v>58.4118</v>
                </pt>
                <pt idx="178">
                  <v>59.1246</v>
                </pt>
                <pt idx="179">
                  <v>58.5243</v>
                </pt>
                <pt idx="180">
                  <v>58.8064</v>
                </pt>
                <pt idx="181">
                  <v>58.637</v>
                </pt>
                <pt idx="182">
                  <v>58.4211</v>
                </pt>
                <pt idx="183">
                  <v>58.7488</v>
                </pt>
                <pt idx="184">
                  <v>58.4166</v>
                </pt>
                <pt idx="185">
                  <v>58.8138</v>
                </pt>
                <pt idx="186">
                  <v>59.0899</v>
                </pt>
                <pt idx="187">
                  <v>59.006</v>
                </pt>
                <pt idx="188">
                  <v>59.0999</v>
                </pt>
                <pt idx="189">
                  <v>58.6771</v>
                </pt>
                <pt idx="190">
                  <v>58.0019</v>
                </pt>
                <pt idx="191">
                  <v>58.121</v>
                </pt>
                <pt idx="192">
                  <v>58.1759</v>
                </pt>
                <pt idx="193">
                  <v>58.3137</v>
                </pt>
                <pt idx="194">
                  <v>58.3165</v>
                </pt>
                <pt idx="195">
                  <v>59.062</v>
                </pt>
                <pt idx="196">
                  <v>58.6237</v>
                </pt>
                <pt idx="197">
                  <v>58.7284</v>
                </pt>
                <pt idx="198">
                  <v>58.8114</v>
                </pt>
                <pt idx="199">
                  <v>58.8203</v>
                </pt>
                <pt idx="200">
                  <v>59.1943</v>
                </pt>
                <pt idx="201">
                  <v>58.0992</v>
                </pt>
                <pt idx="202">
                  <v>57.7616</v>
                </pt>
                <pt idx="203">
                  <v>58.1124</v>
                </pt>
                <pt idx="204">
                  <v>58.2211</v>
                </pt>
                <pt idx="205">
                  <v>57.7232</v>
                </pt>
                <pt idx="206">
                  <v>57.6884</v>
                </pt>
                <pt idx="207">
                  <v>57.7402</v>
                </pt>
                <pt idx="208">
                  <v>57.6617</v>
                </pt>
                <pt idx="209">
                  <v>57.8493</v>
                </pt>
                <pt idx="210">
                  <v>57.8661</v>
                </pt>
                <pt idx="211">
                  <v>57.3616</v>
                </pt>
                <pt idx="212">
                  <v>57.8898</v>
                </pt>
                <pt idx="213">
                  <v>57.6279</v>
                </pt>
                <pt idx="214">
                  <v>57.4751</v>
                </pt>
                <pt idx="215">
                  <v>57.3662</v>
                </pt>
                <pt idx="216">
                  <v>57.3809</v>
                </pt>
                <pt idx="217">
                  <v>57.518</v>
                </pt>
                <pt idx="218">
                  <v>57.3351</v>
                </pt>
                <pt idx="219">
                  <v>57.7783</v>
                </pt>
                <pt idx="220">
                  <v>57.7556</v>
                </pt>
                <pt idx="221">
                  <v>57.5916</v>
                </pt>
                <pt idx="222">
                  <v>57.9828</v>
                </pt>
                <pt idx="223">
                  <v>58.2971</v>
                </pt>
                <pt idx="224">
                  <v>58.331</v>
                </pt>
                <pt idx="225">
                  <v>58.041</v>
                </pt>
                <pt idx="226">
                  <v>57.4548</v>
                </pt>
                <pt idx="227">
                  <v>57.5411</v>
                </pt>
                <pt idx="228">
                  <v>57.6358</v>
                </pt>
                <pt idx="229">
                  <v>57.8448</v>
                </pt>
                <pt idx="230">
                  <v>57.8627</v>
                </pt>
                <pt idx="231">
                  <v>57.5878</v>
                </pt>
                <pt idx="232">
                  <v>57.7993</v>
                </pt>
                <pt idx="233">
                  <v>57.1838</v>
                </pt>
                <pt idx="234">
                  <v>57.2447</v>
                </pt>
                <pt idx="235">
                  <v>57.2389</v>
                </pt>
                <pt idx="236">
                  <v>57.3693</v>
                </pt>
                <pt idx="237">
                  <v>57.9752</v>
                </pt>
                <pt idx="238">
                  <v>57.5632</v>
                </pt>
                <pt idx="239">
                  <v>57.4317</v>
                </pt>
                <pt idx="240">
                  <v>57.0598</v>
                </pt>
                <pt idx="241">
                  <v>57.0195</v>
                </pt>
                <pt idx="242">
                  <v>57.0637</v>
                </pt>
                <pt idx="243">
                  <v>57.3524</v>
                </pt>
                <pt idx="244">
                  <v>57.4925</v>
                </pt>
                <pt idx="245">
                  <v>56.9798</v>
                </pt>
                <pt idx="246">
                  <v>57.0544</v>
                </pt>
                <pt idx="247">
                  <v>56.621</v>
                </pt>
                <pt idx="248">
                  <v>56.5454</v>
                </pt>
                <pt idx="249">
                  <v>56.3178</v>
                </pt>
                <pt idx="250">
                  <v>56.3433</v>
                </pt>
                <pt idx="251">
                  <v>56.1339</v>
                </pt>
                <pt idx="252">
                  <v>56.3073</v>
                </pt>
                <pt idx="253">
                  <v>56.3294</v>
                </pt>
                <pt idx="254">
                  <v>56.0401</v>
                </pt>
                <pt idx="255">
                  <v>55.6009</v>
                </pt>
                <pt idx="256">
                  <v>55.8668</v>
                </pt>
                <pt idx="257">
                  <v>56.1177</v>
                </pt>
                <pt idx="258">
                  <v>56.3879</v>
                </pt>
                <pt idx="259">
                  <v>56.37</v>
                </pt>
                <pt idx="260">
                  <v>56.2838</v>
                </pt>
                <pt idx="261">
                  <v>56.1534</v>
                </pt>
                <pt idx="262">
                  <v>55.9422</v>
                </pt>
                <pt idx="263">
                  <v>56.0491</v>
                </pt>
                <pt idx="264">
                  <v>56.027</v>
                </pt>
                <pt idx="265">
                  <v>56.2921</v>
                </pt>
                <pt idx="266">
                  <v>56.0201</v>
                </pt>
                <pt idx="267">
                  <v>55.5751</v>
                </pt>
                <pt idx="268">
                  <v>55.4308</v>
                </pt>
                <pt idx="269">
                  <v>55.919</v>
                </pt>
                <pt idx="270">
                  <v>55.1798</v>
                </pt>
                <pt idx="271">
                  <v>55.4411</v>
                </pt>
                <pt idx="272">
                  <v>55.449</v>
                </pt>
                <pt idx="273">
                  <v>54.766</v>
                </pt>
                <pt idx="274">
                  <v>54.488</v>
                </pt>
                <pt idx="275">
                  <v>54.8748</v>
                </pt>
                <pt idx="276">
                  <v>54.855</v>
                </pt>
                <pt idx="277">
                  <v>54.9947</v>
                </pt>
                <pt idx="278">
                  <v>55.0124</v>
                </pt>
                <pt idx="279">
                  <v>55.2999</v>
                </pt>
                <pt idx="280">
                  <v>55.0475</v>
                </pt>
                <pt idx="281">
                  <v>54.9583</v>
                </pt>
                <pt idx="282">
                  <v>55.6361</v>
                </pt>
                <pt idx="283">
                  <v>55.5285</v>
                </pt>
                <pt idx="284">
                  <v>55.3486</v>
                </pt>
                <pt idx="285">
                  <v>54.8767</v>
                </pt>
                <pt idx="286">
                  <v>54.9223</v>
                </pt>
                <pt idx="287">
                  <v>55.137</v>
                </pt>
                <pt idx="288">
                  <v>55.7804</v>
                </pt>
                <pt idx="289">
                  <v>55.0518</v>
                </pt>
                <pt idx="290">
                  <v>55.1855</v>
                </pt>
                <pt idx="291">
                  <v>55.2732</v>
                </pt>
                <pt idx="292">
                  <v>54.8977</v>
                </pt>
                <pt idx="293">
                  <v>55.2318</v>
                </pt>
                <pt idx="294">
                  <v>55.4008</v>
                </pt>
                <pt idx="295">
                  <v>55.4494</v>
                </pt>
                <pt idx="296">
                  <v>55.0685</v>
                </pt>
                <pt idx="297">
                  <v>55.1671</v>
                </pt>
                <pt idx="298">
                  <v>55.2036</v>
                </pt>
                <pt idx="299">
                  <v>54.7877</v>
                </pt>
              </numCache>
            </numRef>
          </val>
          <smooth val="1"/>
        </ser>
        <ser>
          <idx val="2"/>
          <order val="2"/>
          <tx>
            <strRef>
              <f>Simulation!$F$1</f>
              <strCache>
                <ptCount val="1"/>
                <pt idx="0">
                  <v>P90</v>
                </pt>
              </strCache>
            </strRef>
          </tx>
          <spPr>
            <a:ln xmlns:a="http://schemas.openxmlformats.org/drawingml/2006/main">
              <a:solidFill>
                <a:srgbClr val="FF8C00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val>
            <numRef>
              <f>Simulation!$F$2:$F$301</f>
              <numCache>
                <formatCode>General</formatCode>
                <ptCount val="300"/>
                <pt idx="0">
                  <v>68.29470000000001</v>
                </pt>
                <pt idx="1">
                  <v>88.792</v>
                </pt>
                <pt idx="2">
                  <v>95.42189999999999</v>
                </pt>
                <pt idx="3">
                  <v>99.4051</v>
                </pt>
                <pt idx="4">
                  <v>101.8293</v>
                </pt>
                <pt idx="5">
                  <v>103.2061</v>
                </pt>
                <pt idx="6">
                  <v>104.5352</v>
                </pt>
                <pt idx="7">
                  <v>105.3618</v>
                </pt>
                <pt idx="8">
                  <v>106.6822</v>
                </pt>
                <pt idx="9">
                  <v>106.2259</v>
                </pt>
                <pt idx="10">
                  <v>106.8023</v>
                </pt>
                <pt idx="11">
                  <v>107.4839</v>
                </pt>
                <pt idx="12">
                  <v>107.7007</v>
                </pt>
                <pt idx="13">
                  <v>107.1667</v>
                </pt>
                <pt idx="14">
                  <v>106.9542</v>
                </pt>
                <pt idx="15">
                  <v>107.1016</v>
                </pt>
                <pt idx="16">
                  <v>106.7117</v>
                </pt>
                <pt idx="17">
                  <v>106.6975</v>
                </pt>
                <pt idx="18">
                  <v>107.0715</v>
                </pt>
                <pt idx="19">
                  <v>106.3661</v>
                </pt>
                <pt idx="20">
                  <v>106.0552</v>
                </pt>
                <pt idx="21">
                  <v>106.5405</v>
                </pt>
                <pt idx="22">
                  <v>106.2385</v>
                </pt>
                <pt idx="23">
                  <v>107.0212</v>
                </pt>
                <pt idx="24">
                  <v>106.5809</v>
                </pt>
                <pt idx="25">
                  <v>106.9217</v>
                </pt>
                <pt idx="26">
                  <v>106.3179</v>
                </pt>
                <pt idx="27">
                  <v>106.5489</v>
                </pt>
                <pt idx="28">
                  <v>107.0071</v>
                </pt>
                <pt idx="29">
                  <v>106.4804</v>
                </pt>
                <pt idx="30">
                  <v>106.7461</v>
                </pt>
                <pt idx="31">
                  <v>106.2849</v>
                </pt>
                <pt idx="32">
                  <v>105.9304</v>
                </pt>
                <pt idx="33">
                  <v>106.3858</v>
                </pt>
                <pt idx="34">
                  <v>106.3125</v>
                </pt>
                <pt idx="35">
                  <v>106.0824</v>
                </pt>
                <pt idx="36">
                  <v>106.5273</v>
                </pt>
                <pt idx="37">
                  <v>106.0641</v>
                </pt>
                <pt idx="38">
                  <v>106.3878</v>
                </pt>
                <pt idx="39">
                  <v>107.0149</v>
                </pt>
                <pt idx="40">
                  <v>106.5256</v>
                </pt>
                <pt idx="41">
                  <v>105.9055</v>
                </pt>
                <pt idx="42">
                  <v>105.6174</v>
                </pt>
                <pt idx="43">
                  <v>106.7486</v>
                </pt>
                <pt idx="44">
                  <v>106.6917</v>
                </pt>
                <pt idx="45">
                  <v>105.9963</v>
                </pt>
                <pt idx="46">
                  <v>106.3837</v>
                </pt>
                <pt idx="47">
                  <v>105.5379</v>
                </pt>
                <pt idx="48">
                  <v>105.8738</v>
                </pt>
                <pt idx="49">
                  <v>105.4202</v>
                </pt>
                <pt idx="50">
                  <v>105.9263</v>
                </pt>
                <pt idx="51">
                  <v>105.9239</v>
                </pt>
                <pt idx="52">
                  <v>107.0939</v>
                </pt>
                <pt idx="53">
                  <v>106.594</v>
                </pt>
                <pt idx="54">
                  <v>106.0158</v>
                </pt>
                <pt idx="55">
                  <v>105.8965</v>
                </pt>
                <pt idx="56">
                  <v>105.8864</v>
                </pt>
                <pt idx="57">
                  <v>105.3491</v>
                </pt>
                <pt idx="58">
                  <v>105.0819</v>
                </pt>
                <pt idx="59">
                  <v>104.7962</v>
                </pt>
                <pt idx="60">
                  <v>104.6194</v>
                </pt>
                <pt idx="61">
                  <v>104.5851</v>
                </pt>
                <pt idx="62">
                  <v>104.4287</v>
                </pt>
                <pt idx="63">
                  <v>105.0498</v>
                </pt>
                <pt idx="64">
                  <v>105.0173</v>
                </pt>
                <pt idx="65">
                  <v>104.7948</v>
                </pt>
                <pt idx="66">
                  <v>105.1039</v>
                </pt>
                <pt idx="67">
                  <v>104.6435</v>
                </pt>
                <pt idx="68">
                  <v>105.5846</v>
                </pt>
                <pt idx="69">
                  <v>105.0303</v>
                </pt>
                <pt idx="70">
                  <v>104.8195</v>
                </pt>
                <pt idx="71">
                  <v>104.794</v>
                </pt>
                <pt idx="72">
                  <v>104.2356</v>
                </pt>
                <pt idx="73">
                  <v>105.1266</v>
                </pt>
                <pt idx="74">
                  <v>104.3575</v>
                </pt>
                <pt idx="75">
                  <v>104.0579</v>
                </pt>
                <pt idx="76">
                  <v>104.7451</v>
                </pt>
                <pt idx="77">
                  <v>105.3045</v>
                </pt>
                <pt idx="78">
                  <v>104.739</v>
                </pt>
                <pt idx="79">
                  <v>104.8005</v>
                </pt>
                <pt idx="80">
                  <v>105.56</v>
                </pt>
                <pt idx="81">
                  <v>105.2755</v>
                </pt>
                <pt idx="82">
                  <v>105.3585</v>
                </pt>
                <pt idx="83">
                  <v>104.9301</v>
                </pt>
                <pt idx="84">
                  <v>104.1937</v>
                </pt>
                <pt idx="85">
                  <v>104.4503</v>
                </pt>
                <pt idx="86">
                  <v>104.4059</v>
                </pt>
                <pt idx="87">
                  <v>104.6636</v>
                </pt>
                <pt idx="88">
                  <v>103.9323</v>
                </pt>
                <pt idx="89">
                  <v>104.3646</v>
                </pt>
                <pt idx="90">
                  <v>104.1167</v>
                </pt>
                <pt idx="91">
                  <v>103.1152</v>
                </pt>
                <pt idx="92">
                  <v>103.5711</v>
                </pt>
                <pt idx="93">
                  <v>103.7415</v>
                </pt>
                <pt idx="94">
                  <v>103.0638</v>
                </pt>
                <pt idx="95">
                  <v>103.2438</v>
                </pt>
                <pt idx="96">
                  <v>103.4725</v>
                </pt>
                <pt idx="97">
                  <v>104.0874</v>
                </pt>
                <pt idx="98">
                  <v>103.7557</v>
                </pt>
                <pt idx="99">
                  <v>103.3719</v>
                </pt>
                <pt idx="100">
                  <v>102.8931</v>
                </pt>
                <pt idx="101">
                  <v>103.48</v>
                </pt>
                <pt idx="102">
                  <v>103.4362</v>
                </pt>
                <pt idx="103">
                  <v>103.6602</v>
                </pt>
                <pt idx="104">
                  <v>103.876</v>
                </pt>
                <pt idx="105">
                  <v>103.3539</v>
                </pt>
                <pt idx="106">
                  <v>104.0643</v>
                </pt>
                <pt idx="107">
                  <v>103.729</v>
                </pt>
                <pt idx="108">
                  <v>103.124</v>
                </pt>
                <pt idx="109">
                  <v>104.1474</v>
                </pt>
                <pt idx="110">
                  <v>103.8365</v>
                </pt>
                <pt idx="111">
                  <v>103.6278</v>
                </pt>
                <pt idx="112">
                  <v>103.6986</v>
                </pt>
                <pt idx="113">
                  <v>104.1523</v>
                </pt>
                <pt idx="114">
                  <v>103.7169</v>
                </pt>
                <pt idx="115">
                  <v>102.9686</v>
                </pt>
                <pt idx="116">
                  <v>104.0425</v>
                </pt>
                <pt idx="117">
                  <v>103.405</v>
                </pt>
                <pt idx="118">
                  <v>104.0852</v>
                </pt>
                <pt idx="119">
                  <v>102.6712</v>
                </pt>
                <pt idx="120">
                  <v>102.8569</v>
                </pt>
                <pt idx="121">
                  <v>103.6764</v>
                </pt>
                <pt idx="122">
                  <v>102.9127</v>
                </pt>
                <pt idx="123">
                  <v>103.0419</v>
                </pt>
                <pt idx="124">
                  <v>102.3314</v>
                </pt>
                <pt idx="125">
                  <v>102.2066</v>
                </pt>
                <pt idx="126">
                  <v>102.4005</v>
                </pt>
                <pt idx="127">
                  <v>103.4308</v>
                </pt>
                <pt idx="128">
                  <v>102.1999</v>
                </pt>
                <pt idx="129">
                  <v>102.2739</v>
                </pt>
                <pt idx="130">
                  <v>102.513</v>
                </pt>
                <pt idx="131">
                  <v>102.4083</v>
                </pt>
                <pt idx="132">
                  <v>103.0194</v>
                </pt>
                <pt idx="133">
                  <v>102.6127</v>
                </pt>
                <pt idx="134">
                  <v>103.1204</v>
                </pt>
                <pt idx="135">
                  <v>102.2724</v>
                </pt>
                <pt idx="136">
                  <v>102.1324</v>
                </pt>
                <pt idx="137">
                  <v>102.3941</v>
                </pt>
                <pt idx="138">
                  <v>101.6505</v>
                </pt>
                <pt idx="139">
                  <v>101.8997</v>
                </pt>
                <pt idx="140">
                  <v>102.251</v>
                </pt>
                <pt idx="141">
                  <v>102.3168</v>
                </pt>
                <pt idx="142">
                  <v>103.2574</v>
                </pt>
                <pt idx="143">
                  <v>102.6332</v>
                </pt>
                <pt idx="144">
                  <v>102.9134</v>
                </pt>
                <pt idx="145">
                  <v>102.5651</v>
                </pt>
                <pt idx="146">
                  <v>102.9928</v>
                </pt>
                <pt idx="147">
                  <v>102.6515</v>
                </pt>
                <pt idx="148">
                  <v>101.6013</v>
                </pt>
                <pt idx="149">
                  <v>102.0462</v>
                </pt>
                <pt idx="150">
                  <v>102.433</v>
                </pt>
                <pt idx="151">
                  <v>101.9917</v>
                </pt>
                <pt idx="152">
                  <v>101.5997</v>
                </pt>
                <pt idx="153">
                  <v>101.5175</v>
                </pt>
                <pt idx="154">
                  <v>101.8118</v>
                </pt>
                <pt idx="155">
                  <v>101.7285</v>
                </pt>
                <pt idx="156">
                  <v>101.8431</v>
                </pt>
                <pt idx="157">
                  <v>102.3386</v>
                </pt>
                <pt idx="158">
                  <v>102.0985</v>
                </pt>
                <pt idx="159">
                  <v>102.7665</v>
                </pt>
                <pt idx="160">
                  <v>102.9953</v>
                </pt>
                <pt idx="161">
                  <v>102.5698</v>
                </pt>
                <pt idx="162">
                  <v>101.4092</v>
                </pt>
                <pt idx="163">
                  <v>102.2935</v>
                </pt>
                <pt idx="164">
                  <v>102.4416</v>
                </pt>
                <pt idx="165">
                  <v>102.2416</v>
                </pt>
                <pt idx="166">
                  <v>102.7966</v>
                </pt>
                <pt idx="167">
                  <v>102.2007</v>
                </pt>
                <pt idx="168">
                  <v>101.8429</v>
                </pt>
                <pt idx="169">
                  <v>101.6437</v>
                </pt>
                <pt idx="170">
                  <v>101.0901</v>
                </pt>
                <pt idx="171">
                  <v>101.4506</v>
                </pt>
                <pt idx="172">
                  <v>101.3641</v>
                </pt>
                <pt idx="173">
                  <v>101.1601</v>
                </pt>
                <pt idx="174">
                  <v>101.6997</v>
                </pt>
                <pt idx="175">
                  <v>101.7558</v>
                </pt>
                <pt idx="176">
                  <v>101.642</v>
                </pt>
                <pt idx="177">
                  <v>101.2408</v>
                </pt>
                <pt idx="178">
                  <v>101.8401</v>
                </pt>
                <pt idx="179">
                  <v>102.1248</v>
                </pt>
                <pt idx="180">
                  <v>102.1787</v>
                </pt>
                <pt idx="181">
                  <v>101.4373</v>
                </pt>
                <pt idx="182">
                  <v>101.8087</v>
                </pt>
                <pt idx="183">
                  <v>101.7594</v>
                </pt>
                <pt idx="184">
                  <v>100.8886</v>
                </pt>
                <pt idx="185">
                  <v>101.7694</v>
                </pt>
                <pt idx="186">
                  <v>101.6969</v>
                </pt>
                <pt idx="187">
                  <v>100.7578</v>
                </pt>
                <pt idx="188">
                  <v>100.8995</v>
                </pt>
                <pt idx="189">
                  <v>101.2963</v>
                </pt>
                <pt idx="190">
                  <v>101.434</v>
                </pt>
                <pt idx="191">
                  <v>101.2519</v>
                </pt>
                <pt idx="192">
                  <v>101.3538</v>
                </pt>
                <pt idx="193">
                  <v>101.0924</v>
                </pt>
                <pt idx="194">
                  <v>100.7328</v>
                </pt>
                <pt idx="195">
                  <v>101.4028</v>
                </pt>
                <pt idx="196">
                  <v>100.315</v>
                </pt>
                <pt idx="197">
                  <v>100.7097</v>
                </pt>
                <pt idx="198">
                  <v>99.9366</v>
                </pt>
                <pt idx="199">
                  <v>100.5244</v>
                </pt>
                <pt idx="200">
                  <v>100.5298</v>
                </pt>
                <pt idx="201">
                  <v>100.5627</v>
                </pt>
                <pt idx="202">
                  <v>101.2673</v>
                </pt>
                <pt idx="203">
                  <v>100.318</v>
                </pt>
                <pt idx="204">
                  <v>101.1466</v>
                </pt>
                <pt idx="205">
                  <v>100.3979</v>
                </pt>
                <pt idx="206">
                  <v>100.2668</v>
                </pt>
                <pt idx="207">
                  <v>100.4824</v>
                </pt>
                <pt idx="208">
                  <v>100.1611</v>
                </pt>
                <pt idx="209">
                  <v>100.7315</v>
                </pt>
                <pt idx="210">
                  <v>100.955</v>
                </pt>
                <pt idx="211">
                  <v>100.3673</v>
                </pt>
                <pt idx="212">
                  <v>100.2337</v>
                </pt>
                <pt idx="213">
                  <v>100.1961</v>
                </pt>
                <pt idx="214">
                  <v>99.87050000000001</v>
                </pt>
                <pt idx="215">
                  <v>99.5544</v>
                </pt>
                <pt idx="216">
                  <v>99.72790000000001</v>
                </pt>
                <pt idx="217">
                  <v>100.1896</v>
                </pt>
                <pt idx="218">
                  <v>99.7891</v>
                </pt>
                <pt idx="219">
                  <v>100.845</v>
                </pt>
                <pt idx="220">
                  <v>100.5524</v>
                </pt>
                <pt idx="221">
                  <v>100.7236</v>
                </pt>
                <pt idx="222">
                  <v>100.8315</v>
                </pt>
                <pt idx="223">
                  <v>99.8914</v>
                </pt>
                <pt idx="224">
                  <v>100.8745</v>
                </pt>
                <pt idx="225">
                  <v>100.4917</v>
                </pt>
                <pt idx="226">
                  <v>100.3511</v>
                </pt>
                <pt idx="227">
                  <v>100.3754</v>
                </pt>
                <pt idx="228">
                  <v>100.0886</v>
                </pt>
                <pt idx="229">
                  <v>100.5529</v>
                </pt>
                <pt idx="230">
                  <v>99.4909</v>
                </pt>
                <pt idx="231">
                  <v>100.2533</v>
                </pt>
                <pt idx="232">
                  <v>99.63500000000001</v>
                </pt>
                <pt idx="233">
                  <v>99.3278</v>
                </pt>
                <pt idx="234">
                  <v>100.0309</v>
                </pt>
                <pt idx="235">
                  <v>99.2757</v>
                </pt>
                <pt idx="236">
                  <v>99.9058</v>
                </pt>
                <pt idx="237">
                  <v>99.7174</v>
                </pt>
                <pt idx="238">
                  <v>99.5018</v>
                </pt>
                <pt idx="239">
                  <v>100.2013</v>
                </pt>
                <pt idx="240">
                  <v>99.9246</v>
                </pt>
                <pt idx="241">
                  <v>99.6434</v>
                </pt>
                <pt idx="242">
                  <v>100.2641</v>
                </pt>
                <pt idx="243">
                  <v>99.8237</v>
                </pt>
                <pt idx="244">
                  <v>99.42230000000001</v>
                </pt>
                <pt idx="245">
                  <v>100.1323</v>
                </pt>
                <pt idx="246">
                  <v>99.1823</v>
                </pt>
                <pt idx="247">
                  <v>98.9118</v>
                </pt>
                <pt idx="248">
                  <v>98.70269999999999</v>
                </pt>
                <pt idx="249">
                  <v>98.4175</v>
                </pt>
                <pt idx="250">
                  <v>99.02800000000001</v>
                </pt>
                <pt idx="251">
                  <v>99.0368</v>
                </pt>
                <pt idx="252">
                  <v>99.2328</v>
                </pt>
                <pt idx="253">
                  <v>98.9131</v>
                </pt>
                <pt idx="254">
                  <v>99.4319</v>
                </pt>
                <pt idx="255">
                  <v>99.1493</v>
                </pt>
                <pt idx="256">
                  <v>99.0012</v>
                </pt>
                <pt idx="257">
                  <v>98.4109</v>
                </pt>
                <pt idx="258">
                  <v>98.4072</v>
                </pt>
                <pt idx="259">
                  <v>98.1311</v>
                </pt>
                <pt idx="260">
                  <v>98.1285</v>
                </pt>
                <pt idx="261">
                  <v>98.0806</v>
                </pt>
                <pt idx="262">
                  <v>97.7235</v>
                </pt>
                <pt idx="263">
                  <v>98.4692</v>
                </pt>
                <pt idx="264">
                  <v>97.91160000000001</v>
                </pt>
                <pt idx="265">
                  <v>98.0792</v>
                </pt>
                <pt idx="266">
                  <v>98.4958</v>
                </pt>
                <pt idx="267">
                  <v>98.35120000000001</v>
                </pt>
                <pt idx="268">
                  <v>97.2551</v>
                </pt>
                <pt idx="269">
                  <v>97.2608</v>
                </pt>
                <pt idx="270">
                  <v>97.0364</v>
                </pt>
                <pt idx="271">
                  <v>97.0638</v>
                </pt>
                <pt idx="272">
                  <v>96.84990000000001</v>
                </pt>
                <pt idx="273">
                  <v>96.5766</v>
                </pt>
                <pt idx="274">
                  <v>97.29730000000001</v>
                </pt>
                <pt idx="275">
                  <v>97.02290000000001</v>
                </pt>
                <pt idx="276">
                  <v>96.8068</v>
                </pt>
                <pt idx="277">
                  <v>97.0909</v>
                </pt>
                <pt idx="278">
                  <v>97.3078</v>
                </pt>
                <pt idx="279">
                  <v>98.0068</v>
                </pt>
                <pt idx="280">
                  <v>97.8</v>
                </pt>
                <pt idx="281">
                  <v>97.2159</v>
                </pt>
                <pt idx="282">
                  <v>97.4074</v>
                </pt>
                <pt idx="283">
                  <v>97</v>
                </pt>
                <pt idx="284">
                  <v>97.2948</v>
                </pt>
                <pt idx="285">
                  <v>98.6802</v>
                </pt>
                <pt idx="286">
                  <v>97.7824</v>
                </pt>
                <pt idx="287">
                  <v>97.39579999999999</v>
                </pt>
                <pt idx="288">
                  <v>97.2426</v>
                </pt>
                <pt idx="289">
                  <v>97.2084</v>
                </pt>
                <pt idx="290">
                  <v>97.20659999999999</v>
                </pt>
                <pt idx="291">
                  <v>97.3946</v>
                </pt>
                <pt idx="292">
                  <v>98.3224</v>
                </pt>
                <pt idx="293">
                  <v>97.3133</v>
                </pt>
                <pt idx="294">
                  <v>97.4803</v>
                </pt>
                <pt idx="295">
                  <v>98.0406</v>
                </pt>
                <pt idx="296">
                  <v>97.7028</v>
                </pt>
                <pt idx="297">
                  <v>97.2149</v>
                </pt>
                <pt idx="298">
                  <v>97.2471</v>
                </pt>
                <pt idx="299">
                  <v>97.01649999999999</v>
                </pt>
              </numCache>
            </numRef>
          </val>
          <smooth val="1"/>
        </ser>
        <ser>
          <idx val="3"/>
          <order val="3"/>
          <tx>
            <strRef>
              <f>Simulation!$I$1</f>
              <strCache>
                <ptCount val="1"/>
                <pt idx="0">
                  <v>P1</v>
                </pt>
              </strCache>
            </strRef>
          </tx>
          <spPr>
            <a:ln xmlns:a="http://schemas.openxmlformats.org/drawingml/2006/main">
              <a:solidFill>
                <a:srgbClr val="C00000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val>
            <numRef>
              <f>Simulation!$I$2:$I$301</f>
              <numCache>
                <formatCode>General</formatCode>
                <ptCount val="300"/>
                <pt idx="0">
                  <v>68.29470000000001</v>
                </pt>
                <pt idx="1">
                  <v>29.9044</v>
                </pt>
                <pt idx="2">
                  <v>16.7822</v>
                </pt>
                <pt idx="3">
                  <v>8.3993</v>
                </pt>
                <pt idx="4">
                  <v>1.8518</v>
                </pt>
                <pt idx="5">
                  <v>-0.5872000000000001</v>
                </pt>
                <pt idx="6">
                  <v>-3.1092</v>
                </pt>
                <pt idx="7">
                  <v>-3.7243</v>
                </pt>
                <pt idx="8">
                  <v>-6.282</v>
                </pt>
                <pt idx="9">
                  <v>-7.1671</v>
                </pt>
                <pt idx="10">
                  <v>-9.9291</v>
                </pt>
                <pt idx="11">
                  <v>-10.277</v>
                </pt>
                <pt idx="12">
                  <v>-10.3538</v>
                </pt>
                <pt idx="13">
                  <v>-10.6224</v>
                </pt>
                <pt idx="14">
                  <v>-11.7282</v>
                </pt>
                <pt idx="15">
                  <v>-10.7847</v>
                </pt>
                <pt idx="16">
                  <v>-10.3581</v>
                </pt>
                <pt idx="17">
                  <v>-10.7838</v>
                </pt>
                <pt idx="18">
                  <v>-10.436</v>
                </pt>
                <pt idx="19">
                  <v>-12.1113</v>
                </pt>
                <pt idx="20">
                  <v>-13.504</v>
                </pt>
                <pt idx="21">
                  <v>-13.9411</v>
                </pt>
                <pt idx="22">
                  <v>-13.6475</v>
                </pt>
                <pt idx="23">
                  <v>-12.8962</v>
                </pt>
                <pt idx="24">
                  <v>-12.7455</v>
                </pt>
                <pt idx="25">
                  <v>-14.4254</v>
                </pt>
                <pt idx="26">
                  <v>-13.4981</v>
                </pt>
                <pt idx="27">
                  <v>-13.906</v>
                </pt>
                <pt idx="28">
                  <v>-13.0881</v>
                </pt>
                <pt idx="29">
                  <v>-13.6127</v>
                </pt>
                <pt idx="30">
                  <v>-14.2719</v>
                </pt>
                <pt idx="31">
                  <v>-14.7985</v>
                </pt>
                <pt idx="32">
                  <v>-13.5385</v>
                </pt>
                <pt idx="33">
                  <v>-11.8899</v>
                </pt>
                <pt idx="34">
                  <v>-12.8583</v>
                </pt>
                <pt idx="35">
                  <v>-13.4563</v>
                </pt>
                <pt idx="36">
                  <v>-12.6991</v>
                </pt>
                <pt idx="37">
                  <v>-13.133</v>
                </pt>
                <pt idx="38">
                  <v>-13.7487</v>
                </pt>
                <pt idx="39">
                  <v>-10.9233</v>
                </pt>
                <pt idx="40">
                  <v>-11.7922</v>
                </pt>
                <pt idx="41">
                  <v>-12.7939</v>
                </pt>
                <pt idx="42">
                  <v>-12.7378</v>
                </pt>
                <pt idx="43">
                  <v>-13.1998</v>
                </pt>
                <pt idx="44">
                  <v>-13.6732</v>
                </pt>
                <pt idx="45">
                  <v>-11.3457</v>
                </pt>
                <pt idx="46">
                  <v>-13.978</v>
                </pt>
                <pt idx="47">
                  <v>-11.7179</v>
                </pt>
                <pt idx="48">
                  <v>-15.3363</v>
                </pt>
                <pt idx="49">
                  <v>-13.8474</v>
                </pt>
                <pt idx="50">
                  <v>-14.5546</v>
                </pt>
                <pt idx="51">
                  <v>-13.6883</v>
                </pt>
                <pt idx="52">
                  <v>-14.7421</v>
                </pt>
                <pt idx="53">
                  <v>-15.0685</v>
                </pt>
                <pt idx="54">
                  <v>-15.131</v>
                </pt>
                <pt idx="55">
                  <v>-15.0729</v>
                </pt>
                <pt idx="56">
                  <v>-15.9044</v>
                </pt>
                <pt idx="57">
                  <v>-12.8935</v>
                </pt>
                <pt idx="58">
                  <v>-13.5031</v>
                </pt>
                <pt idx="59">
                  <v>-14.852</v>
                </pt>
                <pt idx="60">
                  <v>-14.4422</v>
                </pt>
                <pt idx="61">
                  <v>-14.3113</v>
                </pt>
                <pt idx="62">
                  <v>-14.1129</v>
                </pt>
                <pt idx="63">
                  <v>-15.6002</v>
                </pt>
                <pt idx="64">
                  <v>-14.6386</v>
                </pt>
                <pt idx="65">
                  <v>-14.2339</v>
                </pt>
                <pt idx="66">
                  <v>-13.939</v>
                </pt>
                <pt idx="67">
                  <v>-13.5924</v>
                </pt>
                <pt idx="68">
                  <v>-14.4164</v>
                </pt>
                <pt idx="69">
                  <v>-12.8097</v>
                </pt>
                <pt idx="70">
                  <v>-12.5524</v>
                </pt>
                <pt idx="71">
                  <v>-14.5814</v>
                </pt>
                <pt idx="72">
                  <v>-14.4591</v>
                </pt>
                <pt idx="73">
                  <v>-14.2467</v>
                </pt>
                <pt idx="74">
                  <v>-13.1987</v>
                </pt>
                <pt idx="75">
                  <v>-13.7272</v>
                </pt>
                <pt idx="76">
                  <v>-14.8943</v>
                </pt>
                <pt idx="77">
                  <v>-14.1244</v>
                </pt>
                <pt idx="78">
                  <v>-14.9331</v>
                </pt>
                <pt idx="79">
                  <v>-14.4843</v>
                </pt>
                <pt idx="80">
                  <v>-13.9704</v>
                </pt>
                <pt idx="81">
                  <v>-13.4672</v>
                </pt>
                <pt idx="82">
                  <v>-11.973</v>
                </pt>
                <pt idx="83">
                  <v>-14.0446</v>
                </pt>
                <pt idx="84">
                  <v>-14.8587</v>
                </pt>
                <pt idx="85">
                  <v>-17.5259</v>
                </pt>
                <pt idx="86">
                  <v>-16.6045</v>
                </pt>
                <pt idx="87">
                  <v>-15.8719</v>
                </pt>
                <pt idx="88">
                  <v>-14.683</v>
                </pt>
                <pt idx="89">
                  <v>-15.2051</v>
                </pt>
                <pt idx="90">
                  <v>-14.3461</v>
                </pt>
                <pt idx="91">
                  <v>-13.7967</v>
                </pt>
                <pt idx="92">
                  <v>-14.793</v>
                </pt>
                <pt idx="93">
                  <v>-12.9876</v>
                </pt>
                <pt idx="94">
                  <v>-16.6783</v>
                </pt>
                <pt idx="95">
                  <v>-17.8401</v>
                </pt>
                <pt idx="96">
                  <v>-16.38</v>
                </pt>
                <pt idx="97">
                  <v>-14.0697</v>
                </pt>
                <pt idx="98">
                  <v>-14.2184</v>
                </pt>
                <pt idx="99">
                  <v>-14.9019</v>
                </pt>
                <pt idx="100">
                  <v>-16.2079</v>
                </pt>
                <pt idx="101">
                  <v>-15.7586</v>
                </pt>
                <pt idx="102">
                  <v>-15.1148</v>
                </pt>
                <pt idx="103">
                  <v>-16.1115</v>
                </pt>
                <pt idx="104">
                  <v>-17.3927</v>
                </pt>
                <pt idx="105">
                  <v>-14.813</v>
                </pt>
                <pt idx="106">
                  <v>-16.4959</v>
                </pt>
                <pt idx="107">
                  <v>-15.9916</v>
                </pt>
                <pt idx="108">
                  <v>-15.6677</v>
                </pt>
                <pt idx="109">
                  <v>-15.3741</v>
                </pt>
                <pt idx="110">
                  <v>-16.5537</v>
                </pt>
                <pt idx="111">
                  <v>-16.2142</v>
                </pt>
                <pt idx="112">
                  <v>-15.9712</v>
                </pt>
                <pt idx="113">
                  <v>-16.4103</v>
                </pt>
                <pt idx="114">
                  <v>-15.8991</v>
                </pt>
                <pt idx="115">
                  <v>-19.1212</v>
                </pt>
                <pt idx="116">
                  <v>-16.9329</v>
                </pt>
                <pt idx="117">
                  <v>-16.0822</v>
                </pt>
                <pt idx="118">
                  <v>-16.3594</v>
                </pt>
                <pt idx="119">
                  <v>-17.662</v>
                </pt>
                <pt idx="120">
                  <v>-14.7202</v>
                </pt>
                <pt idx="121">
                  <v>-14.6885</v>
                </pt>
                <pt idx="122">
                  <v>-17.2074</v>
                </pt>
                <pt idx="123">
                  <v>-16.3548</v>
                </pt>
                <pt idx="124">
                  <v>-15.9164</v>
                </pt>
                <pt idx="125">
                  <v>-17.0907</v>
                </pt>
                <pt idx="126">
                  <v>-17.6193</v>
                </pt>
                <pt idx="127">
                  <v>-17.3853</v>
                </pt>
                <pt idx="128">
                  <v>-16.5895</v>
                </pt>
                <pt idx="129">
                  <v>-17.1345</v>
                </pt>
                <pt idx="130">
                  <v>-16.1617</v>
                </pt>
                <pt idx="131">
                  <v>-18.3685</v>
                </pt>
                <pt idx="132">
                  <v>-16.1442</v>
                </pt>
                <pt idx="133">
                  <v>-16.664</v>
                </pt>
                <pt idx="134">
                  <v>-17.2591</v>
                </pt>
                <pt idx="135">
                  <v>-17.1537</v>
                </pt>
                <pt idx="136">
                  <v>-17.5057</v>
                </pt>
                <pt idx="137">
                  <v>-17.066</v>
                </pt>
                <pt idx="138">
                  <v>-17.1635</v>
                </pt>
                <pt idx="139">
                  <v>-18.0043</v>
                </pt>
                <pt idx="140">
                  <v>-16.9774</v>
                </pt>
                <pt idx="141">
                  <v>-17.2578</v>
                </pt>
                <pt idx="142">
                  <v>-14.4405</v>
                </pt>
                <pt idx="143">
                  <v>-16.2683</v>
                </pt>
                <pt idx="144">
                  <v>-15.5797</v>
                </pt>
                <pt idx="145">
                  <v>-18.0498</v>
                </pt>
                <pt idx="146">
                  <v>-16.0271</v>
                </pt>
                <pt idx="147">
                  <v>-16.7868</v>
                </pt>
                <pt idx="148">
                  <v>-16.5193</v>
                </pt>
                <pt idx="149">
                  <v>-16.2659</v>
                </pt>
                <pt idx="150">
                  <v>-17.4027</v>
                </pt>
                <pt idx="151">
                  <v>-19.3555</v>
                </pt>
                <pt idx="152">
                  <v>-16.6891</v>
                </pt>
                <pt idx="153">
                  <v>-16.0145</v>
                </pt>
                <pt idx="154">
                  <v>-16.7814</v>
                </pt>
                <pt idx="155">
                  <v>-14.248</v>
                </pt>
                <pt idx="156">
                  <v>-16.882</v>
                </pt>
                <pt idx="157">
                  <v>-16.5929</v>
                </pt>
                <pt idx="158">
                  <v>-18.0845</v>
                </pt>
                <pt idx="159">
                  <v>-17.1391</v>
                </pt>
                <pt idx="160">
                  <v>-17.9604</v>
                </pt>
                <pt idx="161">
                  <v>-14.892</v>
                </pt>
                <pt idx="162">
                  <v>-16.716</v>
                </pt>
                <pt idx="163">
                  <v>-16.3256</v>
                </pt>
                <pt idx="164">
                  <v>-16.2846</v>
                </pt>
                <pt idx="165">
                  <v>-18.9238</v>
                </pt>
                <pt idx="166">
                  <v>-18.526</v>
                </pt>
                <pt idx="167">
                  <v>-17.8521</v>
                </pt>
                <pt idx="168">
                  <v>-17.1747</v>
                </pt>
                <pt idx="169">
                  <v>-16.7564</v>
                </pt>
                <pt idx="170">
                  <v>-18.9239</v>
                </pt>
                <pt idx="171">
                  <v>-18.3084</v>
                </pt>
                <pt idx="172">
                  <v>-17.3916</v>
                </pt>
                <pt idx="173">
                  <v>-16.804</v>
                </pt>
                <pt idx="174">
                  <v>-16.9763</v>
                </pt>
                <pt idx="175">
                  <v>-18.0645</v>
                </pt>
                <pt idx="176">
                  <v>-18.1587</v>
                </pt>
                <pt idx="177">
                  <v>-17.8265</v>
                </pt>
                <pt idx="178">
                  <v>-18.7103</v>
                </pt>
                <pt idx="179">
                  <v>-15.4486</v>
                </pt>
                <pt idx="180">
                  <v>-18.7454</v>
                </pt>
                <pt idx="181">
                  <v>-20.3365</v>
                </pt>
                <pt idx="182">
                  <v>-18.9252</v>
                </pt>
                <pt idx="183">
                  <v>-19.5754</v>
                </pt>
                <pt idx="184">
                  <v>-19.1358</v>
                </pt>
                <pt idx="185">
                  <v>-18.3896</v>
                </pt>
                <pt idx="186">
                  <v>-16.8718</v>
                </pt>
                <pt idx="187">
                  <v>-15.5593</v>
                </pt>
                <pt idx="188">
                  <v>-15.9483</v>
                </pt>
                <pt idx="189">
                  <v>-16.0996</v>
                </pt>
                <pt idx="190">
                  <v>-16.3486</v>
                </pt>
                <pt idx="191">
                  <v>-17.3846</v>
                </pt>
                <pt idx="192">
                  <v>-16.6051</v>
                </pt>
                <pt idx="193">
                  <v>-17.8991</v>
                </pt>
                <pt idx="194">
                  <v>-16.9257</v>
                </pt>
                <pt idx="195">
                  <v>-18.0711</v>
                </pt>
                <pt idx="196">
                  <v>-17.4038</v>
                </pt>
                <pt idx="197">
                  <v>-18.0416</v>
                </pt>
                <pt idx="198">
                  <v>-17.6334</v>
                </pt>
                <pt idx="199">
                  <v>-17.7789</v>
                </pt>
                <pt idx="200">
                  <v>-17.7248</v>
                </pt>
                <pt idx="201">
                  <v>-17.9675</v>
                </pt>
                <pt idx="202">
                  <v>-17.1243</v>
                </pt>
                <pt idx="203">
                  <v>-18.2037</v>
                </pt>
                <pt idx="204">
                  <v>-17.6948</v>
                </pt>
                <pt idx="205">
                  <v>-17.1401</v>
                </pt>
                <pt idx="206">
                  <v>-18.3008</v>
                </pt>
                <pt idx="207">
                  <v>-18.2184</v>
                </pt>
                <pt idx="208">
                  <v>-16.9313</v>
                </pt>
                <pt idx="209">
                  <v>-18.6046</v>
                </pt>
                <pt idx="210">
                  <v>-17.4964</v>
                </pt>
                <pt idx="211">
                  <v>-17.3532</v>
                </pt>
                <pt idx="212">
                  <v>-17.6774</v>
                </pt>
                <pt idx="213">
                  <v>-16.0986</v>
                </pt>
                <pt idx="214">
                  <v>-17.7699</v>
                </pt>
                <pt idx="215">
                  <v>-18.8009</v>
                </pt>
                <pt idx="216">
                  <v>-19.7702</v>
                </pt>
                <pt idx="217">
                  <v>-19.7031</v>
                </pt>
                <pt idx="218">
                  <v>-19.9606</v>
                </pt>
                <pt idx="219">
                  <v>-19.0468</v>
                </pt>
                <pt idx="220">
                  <v>-17.7711</v>
                </pt>
                <pt idx="221">
                  <v>-18.8257</v>
                </pt>
                <pt idx="222">
                  <v>-18.2341</v>
                </pt>
                <pt idx="223">
                  <v>-19.7584</v>
                </pt>
                <pt idx="224">
                  <v>-20.0157</v>
                </pt>
                <pt idx="225">
                  <v>-19.6781</v>
                </pt>
                <pt idx="226">
                  <v>-18.4144</v>
                </pt>
                <pt idx="227">
                  <v>-17.8792</v>
                </pt>
                <pt idx="228">
                  <v>-17.1972</v>
                </pt>
                <pt idx="229">
                  <v>-19.5228</v>
                </pt>
                <pt idx="230">
                  <v>-17.3348</v>
                </pt>
                <pt idx="231">
                  <v>-18.9572</v>
                </pt>
                <pt idx="232">
                  <v>-18.8653</v>
                </pt>
                <pt idx="233">
                  <v>-17.1459</v>
                </pt>
                <pt idx="234">
                  <v>-17.9178</v>
                </pt>
                <pt idx="235">
                  <v>-18.2806</v>
                </pt>
                <pt idx="236">
                  <v>-19.577</v>
                </pt>
                <pt idx="237">
                  <v>-19.3185</v>
                </pt>
                <pt idx="238">
                  <v>-20.6398</v>
                </pt>
                <pt idx="239">
                  <v>-19.5531</v>
                </pt>
                <pt idx="240">
                  <v>-18.9878</v>
                </pt>
                <pt idx="241">
                  <v>-18.3236</v>
                </pt>
                <pt idx="242">
                  <v>-19.716</v>
                </pt>
                <pt idx="243">
                  <v>-19.6821</v>
                </pt>
                <pt idx="244">
                  <v>-21.8307</v>
                </pt>
                <pt idx="245">
                  <v>-19.0429</v>
                </pt>
                <pt idx="246">
                  <v>-19.404</v>
                </pt>
                <pt idx="247">
                  <v>-21.2527</v>
                </pt>
                <pt idx="248">
                  <v>-20.4452</v>
                </pt>
                <pt idx="249">
                  <v>-19.484</v>
                </pt>
                <pt idx="250">
                  <v>-20.1412</v>
                </pt>
                <pt idx="251">
                  <v>-18.2965</v>
                </pt>
                <pt idx="252">
                  <v>-19.8691</v>
                </pt>
                <pt idx="253">
                  <v>-21.2843</v>
                </pt>
                <pt idx="254">
                  <v>-19.8952</v>
                </pt>
                <pt idx="255">
                  <v>-22.093</v>
                </pt>
                <pt idx="256">
                  <v>-20.2545</v>
                </pt>
                <pt idx="257">
                  <v>-18.61</v>
                </pt>
                <pt idx="258">
                  <v>-19.4603</v>
                </pt>
                <pt idx="259">
                  <v>-21.2194</v>
                </pt>
                <pt idx="260">
                  <v>-20.899</v>
                </pt>
                <pt idx="261">
                  <v>-21.1268</v>
                </pt>
                <pt idx="262">
                  <v>-21.3326</v>
                </pt>
                <pt idx="263">
                  <v>-19.8273</v>
                </pt>
                <pt idx="264">
                  <v>-20.0494</v>
                </pt>
                <pt idx="265">
                  <v>-18.419</v>
                </pt>
                <pt idx="266">
                  <v>-18.87</v>
                </pt>
                <pt idx="267">
                  <v>-19.6134</v>
                </pt>
                <pt idx="268">
                  <v>-22.0198</v>
                </pt>
                <pt idx="269">
                  <v>-23.0713</v>
                </pt>
                <pt idx="270">
                  <v>-21.6716</v>
                </pt>
                <pt idx="271">
                  <v>-22.294</v>
                </pt>
                <pt idx="272">
                  <v>-22.0805</v>
                </pt>
                <pt idx="273">
                  <v>-20.5675</v>
                </pt>
                <pt idx="274">
                  <v>-22.7302</v>
                </pt>
                <pt idx="275">
                  <v>-22.1435</v>
                </pt>
                <pt idx="276">
                  <v>-22.3623</v>
                </pt>
                <pt idx="277">
                  <v>-25.4892</v>
                </pt>
                <pt idx="278">
                  <v>-23.565</v>
                </pt>
                <pt idx="279">
                  <v>-23.0485</v>
                </pt>
                <pt idx="280">
                  <v>-22.2601</v>
                </pt>
                <pt idx="281">
                  <v>-21.2235</v>
                </pt>
                <pt idx="282">
                  <v>-21.1982</v>
                </pt>
                <pt idx="283">
                  <v>-21.7029</v>
                </pt>
                <pt idx="284">
                  <v>-21.6966</v>
                </pt>
                <pt idx="285">
                  <v>-23.1879</v>
                </pt>
                <pt idx="286">
                  <v>-23.2956</v>
                </pt>
                <pt idx="287">
                  <v>-23.1886</v>
                </pt>
                <pt idx="288">
                  <v>-21.2752</v>
                </pt>
                <pt idx="289">
                  <v>-22.5157</v>
                </pt>
                <pt idx="290">
                  <v>-22.422</v>
                </pt>
                <pt idx="291">
                  <v>-20.8357</v>
                </pt>
                <pt idx="292">
                  <v>-22.1726</v>
                </pt>
                <pt idx="293">
                  <v>-21.6537</v>
                </pt>
                <pt idx="294">
                  <v>-22.9984</v>
                </pt>
                <pt idx="295">
                  <v>-22.0988</v>
                </pt>
                <pt idx="296">
                  <v>-21.1657</v>
                </pt>
                <pt idx="297">
                  <v>-21.8473</v>
                </pt>
                <pt idx="298">
                  <v>-21.4033</v>
                </pt>
                <pt idx="299">
                  <v>-22.496</v>
                </pt>
              </numCache>
            </numRef>
          </val>
          <smooth val="1"/>
        </ser>
        <dLbls>
          <showLegendKey val="0"/>
          <showVal val="0"/>
          <showCatName val="0"/>
          <showSerName val="0"/>
          <showPercent val="0"/>
          <showBubbleSize val="0"/>
        </dLbls>
        <smooth val="0"/>
        <axId val="10"/>
        <axId val="100"/>
      </lineChart>
      <catAx>
        <axId val="10"/>
        <scaling>
          <orientation val="minMax"/>
        </scaling>
        <delete val="1"/>
        <axPos val="b"/>
        <title>
          <tx>
            <rich>
              <a:bodyPr xmlns:a="http://schemas.openxmlformats.org/drawingml/2006/main"/>
              <a:lstStyle xmlns:a="http://schemas.openxmlformats.org/drawingml/2006/main"/>
              <a:p xmlns:a="http://schemas.openxmlformats.org/drawingml/2006/main">
                <a:pPr>
                  <a:defRPr/>
                </a:pPr>
                <a:r>
                  <a:rPr lang="en-GB"/>
                  <a:t>Month</a:t>
                </a:r>
              </a:p>
            </rich>
          </tx>
          <overlay val="1"/>
        </title>
        <majorTickMark val="none"/>
        <minorTickMark val="none"/>
        <tickLblPos val="nextTo"/>
        <crossAx val="100"/>
        <crosses val="autoZero"/>
        <auto val="1"/>
        <lblAlgn val="ctr"/>
        <lblOffset val="100"/>
        <noMultiLvlLbl val="1"/>
      </catAx>
      <valAx>
        <axId val="100"/>
        <scaling>
          <orientation val="minMax"/>
        </scaling>
        <delete val="1"/>
        <axPos val="l"/>
        <majorGridlines/>
        <title>
          <tx>
            <rich>
              <a:bodyPr xmlns:a="http://schemas.openxmlformats.org/drawingml/2006/main"/>
              <a:lstStyle xmlns:a="http://schemas.openxmlformats.org/drawingml/2006/main"/>
              <a:p xmlns:a="http://schemas.openxmlformats.org/drawingml/2006/main">
                <a:pPr>
                  <a:defRPr/>
                </a:pPr>
                <a:r>
                  <a:rPr lang="en-GB"/>
                  <a:t>Capture Price (EUR/MWh)</a:t>
                </a:r>
              </a:p>
            </rich>
          </tx>
          <overlay val="1"/>
        </title>
        <numFmt formatCode="General" sourceLinked="1"/>
        <majorTickMark val="none"/>
        <minorTickMark val="none"/>
        <tickLblPos val="nextTo"/>
        <crossAx val="10"/>
        <crosses val="autoZero"/>
        <crossBetween val="between"/>
      </valAx>
    </plotArea>
    <legend>
      <legendPos val="r"/>
      <overlay val="1"/>
    </legend>
    <plotVisOnly val="1"/>
    <dispBlanksAs val="gap"/>
  </chart>
</chartSpace>
</file>

<file path=xl/charts/chart226.xml><?xml version="1.0" encoding="utf-8"?>
<chartSpace xmlns="http://schemas.openxmlformats.org/drawingml/2006/chart">
  <chart>
    <title>
      <tx>
        <rich>
          <a:bodyPr xmlns:a="http://schemas.openxmlformats.org/drawingml/2006/main"/>
          <a:lstStyle xmlns:a="http://schemas.openxmlformats.org/drawingml/2006/main"/>
          <a:p xmlns:a="http://schemas.openxmlformats.org/drawingml/2006/main">
            <a:pPr>
              <a:defRPr/>
            </a:pPr>
            <a:r>
              <a:rPr lang="en-GB"/>
              <a:t>P50/P90/P99 at Key Project Horizons — DK1 Primary</a:t>
            </a:r>
          </a:p>
        </rich>
      </tx>
      <overlay val="1"/>
    </title>
    <plotArea>
      <layout/>
      <barChart>
        <barDir val="col"/>
        <grouping val="clustered"/>
        <varyColors val="1"/>
        <ser>
          <idx val="0"/>
          <order val="0"/>
          <tx>
            <strRef>
              <f>Simulation!$L$2</f>
              <strCache>
                <ptCount val="1"/>
                <pt idx="0">
                  <v>P50</v>
                </pt>
              </strCache>
            </strRef>
          </tx>
          <spPr>
            <a:solidFill xmlns:a="http://schemas.openxmlformats.org/drawingml/2006/main">
              <a:srgbClr val="2E75B6"/>
            </a:solidFill>
            <a:ln xmlns:a="http://schemas.openxmlformats.org/drawingml/2006/main">
              <a:prstDash val="solid"/>
            </a:ln>
          </spPr>
          <invertIfNegative val="1"/>
          <cat>
            <strRef>
              <f>Simulation!$K$3:$K$7</f>
              <strCache>
                <ptCount val="5"/>
                <pt idx="0">
                  <v>Year 5</v>
                </pt>
                <pt idx="1">
                  <v>Year 10</v>
                </pt>
                <pt idx="2">
                  <v>Year 15</v>
                </pt>
                <pt idx="3">
                  <v>Year 20</v>
                </pt>
                <pt idx="4">
                  <v>Year 25</v>
                </pt>
              </strCache>
            </strRef>
          </cat>
          <val>
            <numRef>
              <f>Simulation!$L$3:$L$7</f>
              <numCache>
                <formatCode>General</formatCode>
                <ptCount val="5"/>
                <pt idx="0">
                  <v>62.42</v>
                </pt>
                <pt idx="1">
                  <v>60.67</v>
                </pt>
                <pt idx="2">
                  <v>58.52</v>
                </pt>
                <pt idx="3">
                  <v>57.43</v>
                </pt>
                <pt idx="4">
                  <v>54.79</v>
                </pt>
              </numCache>
            </numRef>
          </val>
        </ser>
        <ser>
          <idx val="1"/>
          <order val="1"/>
          <tx>
            <strRef>
              <f>Simulation!$M$2</f>
              <strCache>
                <ptCount val="1"/>
                <pt idx="0">
                  <v>P90</v>
                </pt>
              </strCache>
            </strRef>
          </tx>
          <spPr>
            <a:solidFill xmlns:a="http://schemas.openxmlformats.org/drawingml/2006/main">
              <a:srgbClr val="FF8C00"/>
            </a:solidFill>
            <a:ln xmlns:a="http://schemas.openxmlformats.org/drawingml/2006/main">
              <a:prstDash val="solid"/>
            </a:ln>
          </spPr>
          <invertIfNegative val="1"/>
          <cat>
            <strRef>
              <f>Simulation!$K$3:$K$7</f>
              <strCache>
                <ptCount val="5"/>
                <pt idx="0">
                  <v>Year 5</v>
                </pt>
                <pt idx="1">
                  <v>Year 10</v>
                </pt>
                <pt idx="2">
                  <v>Year 15</v>
                </pt>
                <pt idx="3">
                  <v>Year 20</v>
                </pt>
                <pt idx="4">
                  <v>Year 25</v>
                </pt>
              </strCache>
            </strRef>
          </cat>
          <val>
            <numRef>
              <f>Simulation!$M$3:$M$7</f>
              <numCache>
                <formatCode>General</formatCode>
                <ptCount val="5"/>
                <pt idx="0">
                  <v>19.97</v>
                </pt>
                <pt idx="1">
                  <v>18.27</v>
                </pt>
                <pt idx="2">
                  <v>16.52</v>
                </pt>
                <pt idx="3">
                  <v>14.71</v>
                </pt>
                <pt idx="4">
                  <v>12.55</v>
                </pt>
              </numCache>
            </numRef>
          </val>
        </ser>
        <ser>
          <idx val="2"/>
          <order val="2"/>
          <tx>
            <strRef>
              <f>Simulation!$N$2</f>
              <strCache>
                <ptCount val="1"/>
                <pt idx="0">
                  <v>P99</v>
                </pt>
              </strCache>
            </strRef>
          </tx>
          <spPr>
            <a:solidFill xmlns:a="http://schemas.openxmlformats.org/drawingml/2006/main">
              <a:srgbClr val="C00000"/>
            </a:solidFill>
            <a:ln xmlns:a="http://schemas.openxmlformats.org/drawingml/2006/main">
              <a:prstDash val="solid"/>
            </a:ln>
          </spPr>
          <invertIfNegative val="1"/>
          <cat>
            <strRef>
              <f>Simulation!$K$3:$K$7</f>
              <strCache>
                <ptCount val="5"/>
                <pt idx="0">
                  <v>Year 5</v>
                </pt>
                <pt idx="1">
                  <v>Year 10</v>
                </pt>
                <pt idx="2">
                  <v>Year 15</v>
                </pt>
                <pt idx="3">
                  <v>Year 20</v>
                </pt>
                <pt idx="4">
                  <v>Year 25</v>
                </pt>
              </strCache>
            </strRef>
          </cat>
          <val>
            <numRef>
              <f>Simulation!$N$3:$N$7</f>
              <numCache>
                <formatCode>General</formatCode>
                <ptCount val="5"/>
                <pt idx="0">
                  <v>-14.85</v>
                </pt>
                <pt idx="1">
                  <v>-17.66</v>
                </pt>
                <pt idx="2">
                  <v>-15.45</v>
                </pt>
                <pt idx="3">
                  <v>-19.55</v>
                </pt>
                <pt idx="4">
                  <v>-22.5</v>
                </pt>
              </numCache>
            </numRef>
          </val>
        </ser>
        <dLbls>
          <showLegendKey val="0"/>
          <showVal val="0"/>
          <showCatName val="0"/>
          <showSerName val="0"/>
          <showPercent val="0"/>
          <showBubbleSize val="0"/>
        </dLbls>
        <gapWidth val="150"/>
        <axId val="10"/>
        <axId val="100"/>
      </barChart>
      <catAx>
        <axId val="10"/>
        <scaling>
          <orientation val="minMax"/>
        </scaling>
        <delete val="1"/>
        <axPos val="b"/>
        <title>
          <tx>
            <rich>
              <a:bodyPr xmlns:a="http://schemas.openxmlformats.org/drawingml/2006/main"/>
              <a:lstStyle xmlns:a="http://schemas.openxmlformats.org/drawingml/2006/main"/>
              <a:p xmlns:a="http://schemas.openxmlformats.org/drawingml/2006/main">
                <a:pPr>
                  <a:defRPr/>
                </a:pPr>
                <a:r>
                  <a:rPr lang="en-GB"/>
                  <a:t>Project Year</a:t>
                </a:r>
              </a:p>
            </rich>
          </tx>
          <overlay val="1"/>
        </title>
        <numFmt formatCode="General" sourceLinked="1"/>
        <majorTickMark val="none"/>
        <minorTickMark val="none"/>
        <tickLblPos val="nextTo"/>
        <crossAx val="100"/>
        <crosses val="autoZero"/>
        <auto val="1"/>
        <lblAlgn val="ctr"/>
        <lblOffset val="100"/>
        <noMultiLvlLbl val="1"/>
      </catAx>
      <valAx>
        <axId val="100"/>
        <scaling>
          <orientation val="minMax"/>
        </scaling>
        <delete val="1"/>
        <axPos val="l"/>
        <majorGridlines/>
        <title>
          <tx>
            <rich>
              <a:bodyPr xmlns:a="http://schemas.openxmlformats.org/drawingml/2006/main"/>
              <a:lstStyle xmlns:a="http://schemas.openxmlformats.org/drawingml/2006/main"/>
              <a:p xmlns:a="http://schemas.openxmlformats.org/drawingml/2006/main">
                <a:pPr>
                  <a:defRPr/>
                </a:pPr>
                <a:r>
                  <a:rPr lang="en-GB"/>
                  <a:t>Capture Price (EUR/MWh)</a:t>
                </a:r>
              </a:p>
            </rich>
          </tx>
          <overlay val="1"/>
        </title>
        <numFmt formatCode="General" sourceLinked="1"/>
        <majorTickMark val="none"/>
        <minorTickMark val="none"/>
        <tickLblPos val="nextTo"/>
        <crossAx val="10"/>
        <crosses val="autoZero"/>
        <crossBetween val="between"/>
      </valAx>
    </plotArea>
    <legend>
      <legendPos val="r"/>
      <overlay val="1"/>
    </legend>
    <plotVisOnly val="1"/>
    <dispBlanksAs val="gap"/>
  </chart>
</chartSpace>
</file>

<file path=xl/charts/chart227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MC Simulation - DK1 P50/P90/P99 Capture Price Paths</a:t>
            </a:r>
          </a:p>
        </rich>
      </tx>
    </title>
    <plotArea>
      <lineChart>
        <grouping val="standard"/>
        <ser>
          <idx val="0"/>
          <order val="0"/>
          <tx>
            <strRef>
              <f>'Simulation'!C1</f>
            </strRef>
          </tx>
          <spPr>
            <a:ln xmlns:a="http://schemas.openxmlformats.org/drawingml/2006/main">
              <a:solidFill>
                <a:srgbClr val="70AD47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val>
            <numRef>
              <f>'Simulation'!$C$2:$C$301</f>
            </numRef>
          </val>
        </ser>
        <ser>
          <idx val="1"/>
          <order val="1"/>
          <tx>
            <strRef>
              <f>'Simulation'!D1</f>
            </strRef>
          </tx>
          <spPr>
            <a:ln xmlns:a="http://schemas.openxmlformats.org/drawingml/2006/main">
              <a:solidFill>
                <a:srgbClr val="2E75B6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val>
            <numRef>
              <f>'Simulation'!$D$2:$D$301</f>
            </numRef>
          </val>
        </ser>
        <ser>
          <idx val="2"/>
          <order val="2"/>
          <tx>
            <strRef>
              <f>'Simulation'!F1</f>
            </strRef>
          </tx>
          <spPr>
            <a:ln xmlns:a="http://schemas.openxmlformats.org/drawingml/2006/main">
              <a:solidFill>
                <a:srgbClr val="FF8C00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val>
            <numRef>
              <f>'Simulation'!$F$2:$F$301</f>
            </numRef>
          </val>
        </ser>
        <ser>
          <idx val="3"/>
          <order val="3"/>
          <tx>
            <strRef>
              <f>'Simulation'!I1</f>
            </strRef>
          </tx>
          <spPr>
            <a:ln xmlns:a="http://schemas.openxmlformats.org/drawingml/2006/main">
              <a:solidFill>
                <a:srgbClr val="C00000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val>
            <numRef>
              <f>'Simulation'!$I$2:$I$301</f>
            </numRef>
          </val>
        </ser>
        <axId val="10"/>
        <axId val="100"/>
      </lineChart>
      <catAx>
        <axId val="10"/>
        <scaling>
          <orientation val="minMax"/>
        </scaling>
        <axPos val="l"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Month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Capture Price (EUR/MWh)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228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P50/P90/P99 at Key Project Horizons — DK1 Primary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'Simulation'!L2</f>
            </strRef>
          </tx>
          <spPr>
            <a:solidFill xmlns:a="http://schemas.openxmlformats.org/drawingml/2006/main">
              <a:srgbClr val="2E75B6"/>
            </a:solidFill>
            <a:ln xmlns:a="http://schemas.openxmlformats.org/drawingml/2006/main">
              <a:prstDash val="solid"/>
            </a:ln>
          </spPr>
          <cat>
            <numRef>
              <f>'Simulation'!$K$3:$K$7</f>
            </numRef>
          </cat>
          <val>
            <numRef>
              <f>'Simulation'!$L$3:$L$7</f>
            </numRef>
          </val>
        </ser>
        <ser>
          <idx val="1"/>
          <order val="1"/>
          <tx>
            <strRef>
              <f>'Simulation'!M2</f>
            </strRef>
          </tx>
          <spPr>
            <a:solidFill xmlns:a="http://schemas.openxmlformats.org/drawingml/2006/main">
              <a:srgbClr val="FF8C00"/>
            </a:solidFill>
            <a:ln xmlns:a="http://schemas.openxmlformats.org/drawingml/2006/main">
              <a:prstDash val="solid"/>
            </a:ln>
          </spPr>
          <cat>
            <numRef>
              <f>'Simulation'!$K$3:$K$7</f>
            </numRef>
          </cat>
          <val>
            <numRef>
              <f>'Simulation'!$M$3:$M$7</f>
            </numRef>
          </val>
        </ser>
        <ser>
          <idx val="2"/>
          <order val="2"/>
          <tx>
            <strRef>
              <f>'Simulation'!N2</f>
            </strRef>
          </tx>
          <spPr>
            <a:solidFill xmlns:a="http://schemas.openxmlformats.org/drawingml/2006/main">
              <a:srgbClr val="C00000"/>
            </a:solidFill>
            <a:ln xmlns:a="http://schemas.openxmlformats.org/drawingml/2006/main">
              <a:prstDash val="solid"/>
            </a:ln>
          </spPr>
          <cat>
            <numRef>
              <f>'Simulation'!$K$3:$K$7</f>
            </numRef>
          </cat>
          <val>
            <numRef>
              <f>'Simulation'!$N$3:$N$7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Project Year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Capture Price (EUR/MWh)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229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MC Simulation - DK1 P50/P90/P99 Capture Price Paths</a:t>
            </a:r>
          </a:p>
        </rich>
      </tx>
    </title>
    <plotArea>
      <lineChart>
        <grouping val="standard"/>
        <ser>
          <idx val="0"/>
          <order val="0"/>
          <tx>
            <strRef>
              <f>'Simulation'!C1</f>
            </strRef>
          </tx>
          <spPr>
            <a:ln xmlns:a="http://schemas.openxmlformats.org/drawingml/2006/main">
              <a:solidFill>
                <a:srgbClr val="70AD47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val>
            <numRef>
              <f>'Simulation'!$C$2:$C$301</f>
            </numRef>
          </val>
        </ser>
        <ser>
          <idx val="1"/>
          <order val="1"/>
          <tx>
            <strRef>
              <f>'Simulation'!D1</f>
            </strRef>
          </tx>
          <spPr>
            <a:ln xmlns:a="http://schemas.openxmlformats.org/drawingml/2006/main">
              <a:solidFill>
                <a:srgbClr val="2E75B6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val>
            <numRef>
              <f>'Simulation'!$D$2:$D$301</f>
            </numRef>
          </val>
        </ser>
        <ser>
          <idx val="2"/>
          <order val="2"/>
          <tx>
            <strRef>
              <f>'Simulation'!F1</f>
            </strRef>
          </tx>
          <spPr>
            <a:ln xmlns:a="http://schemas.openxmlformats.org/drawingml/2006/main">
              <a:solidFill>
                <a:srgbClr val="FF8C00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val>
            <numRef>
              <f>'Simulation'!$F$2:$F$301</f>
            </numRef>
          </val>
        </ser>
        <ser>
          <idx val="3"/>
          <order val="3"/>
          <tx>
            <strRef>
              <f>'Simulation'!I1</f>
            </strRef>
          </tx>
          <spPr>
            <a:ln xmlns:a="http://schemas.openxmlformats.org/drawingml/2006/main">
              <a:solidFill>
                <a:srgbClr val="C00000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val>
            <numRef>
              <f>'Simulation'!$I$2:$I$301</f>
            </numRef>
          </val>
        </ser>
        <axId val="10"/>
        <axId val="100"/>
      </lineChart>
      <catAx>
        <axId val="10"/>
        <scaling>
          <orientation val="minMax"/>
        </scaling>
        <axPos val="l"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Month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Capture Price (EUR/MWh)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230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P50/P90/P99 at Key Project Horizons — DK1 Primary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'Simulation'!L2</f>
            </strRef>
          </tx>
          <spPr>
            <a:solidFill xmlns:a="http://schemas.openxmlformats.org/drawingml/2006/main">
              <a:srgbClr val="2E75B6"/>
            </a:solidFill>
            <a:ln xmlns:a="http://schemas.openxmlformats.org/drawingml/2006/main">
              <a:prstDash val="solid"/>
            </a:ln>
          </spPr>
          <cat>
            <numRef>
              <f>'Simulation'!$K$3:$K$7</f>
            </numRef>
          </cat>
          <val>
            <numRef>
              <f>'Simulation'!$L$3:$L$7</f>
            </numRef>
          </val>
        </ser>
        <ser>
          <idx val="1"/>
          <order val="1"/>
          <tx>
            <strRef>
              <f>'Simulation'!M2</f>
            </strRef>
          </tx>
          <spPr>
            <a:solidFill xmlns:a="http://schemas.openxmlformats.org/drawingml/2006/main">
              <a:srgbClr val="FF8C00"/>
            </a:solidFill>
            <a:ln xmlns:a="http://schemas.openxmlformats.org/drawingml/2006/main">
              <a:prstDash val="solid"/>
            </a:ln>
          </spPr>
          <cat>
            <numRef>
              <f>'Simulation'!$K$3:$K$7</f>
            </numRef>
          </cat>
          <val>
            <numRef>
              <f>'Simulation'!$M$3:$M$7</f>
            </numRef>
          </val>
        </ser>
        <ser>
          <idx val="2"/>
          <order val="2"/>
          <tx>
            <strRef>
              <f>'Simulation'!N2</f>
            </strRef>
          </tx>
          <spPr>
            <a:solidFill xmlns:a="http://schemas.openxmlformats.org/drawingml/2006/main">
              <a:srgbClr val="C00000"/>
            </a:solidFill>
            <a:ln xmlns:a="http://schemas.openxmlformats.org/drawingml/2006/main">
              <a:prstDash val="solid"/>
            </a:ln>
          </spPr>
          <cat>
            <numRef>
              <f>'Simulation'!$K$3:$K$7</f>
            </numRef>
          </cat>
          <val>
            <numRef>
              <f>'Simulation'!$N$3:$N$7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Project Year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Capture Price (EUR/MWh)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231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MC Simulation - DK1 P50/P90/P99 Capture Price Paths</a:t>
            </a:r>
          </a:p>
        </rich>
      </tx>
    </title>
    <plotArea>
      <lineChart>
        <grouping val="standard"/>
        <ser>
          <idx val="0"/>
          <order val="0"/>
          <tx>
            <strRef>
              <f>'Simulation'!C1</f>
            </strRef>
          </tx>
          <spPr>
            <a:ln xmlns:a="http://schemas.openxmlformats.org/drawingml/2006/main">
              <a:solidFill>
                <a:srgbClr val="70AD47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val>
            <numRef>
              <f>'Simulation'!$C$2:$C$301</f>
            </numRef>
          </val>
        </ser>
        <ser>
          <idx val="1"/>
          <order val="1"/>
          <tx>
            <strRef>
              <f>'Simulation'!D1</f>
            </strRef>
          </tx>
          <spPr>
            <a:ln xmlns:a="http://schemas.openxmlformats.org/drawingml/2006/main">
              <a:solidFill>
                <a:srgbClr val="2E75B6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val>
            <numRef>
              <f>'Simulation'!$D$2:$D$301</f>
            </numRef>
          </val>
        </ser>
        <ser>
          <idx val="2"/>
          <order val="2"/>
          <tx>
            <strRef>
              <f>'Simulation'!F1</f>
            </strRef>
          </tx>
          <spPr>
            <a:ln xmlns:a="http://schemas.openxmlformats.org/drawingml/2006/main">
              <a:solidFill>
                <a:srgbClr val="FF8C00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val>
            <numRef>
              <f>'Simulation'!$F$2:$F$301</f>
            </numRef>
          </val>
        </ser>
        <ser>
          <idx val="3"/>
          <order val="3"/>
          <tx>
            <strRef>
              <f>'Simulation'!I1</f>
            </strRef>
          </tx>
          <spPr>
            <a:ln xmlns:a="http://schemas.openxmlformats.org/drawingml/2006/main">
              <a:solidFill>
                <a:srgbClr val="C00000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val>
            <numRef>
              <f>'Simulation'!$I$2:$I$301</f>
            </numRef>
          </val>
        </ser>
        <axId val="10"/>
        <axId val="100"/>
      </lineChart>
      <catAx>
        <axId val="10"/>
        <scaling>
          <orientation val="minMax"/>
        </scaling>
        <axPos val="l"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Month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Capture Price (EUR/MWh)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232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P50/P90/P99 at Key Project Horizons — DK1 Primary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'Simulation'!L2</f>
            </strRef>
          </tx>
          <spPr>
            <a:solidFill xmlns:a="http://schemas.openxmlformats.org/drawingml/2006/main">
              <a:srgbClr val="2E75B6"/>
            </a:solidFill>
            <a:ln xmlns:a="http://schemas.openxmlformats.org/drawingml/2006/main">
              <a:prstDash val="solid"/>
            </a:ln>
          </spPr>
          <cat>
            <numRef>
              <f>'Simulation'!$K$3:$K$7</f>
            </numRef>
          </cat>
          <val>
            <numRef>
              <f>'Simulation'!$L$3:$L$7</f>
            </numRef>
          </val>
        </ser>
        <ser>
          <idx val="1"/>
          <order val="1"/>
          <tx>
            <strRef>
              <f>'Simulation'!M2</f>
            </strRef>
          </tx>
          <spPr>
            <a:solidFill xmlns:a="http://schemas.openxmlformats.org/drawingml/2006/main">
              <a:srgbClr val="FF8C00"/>
            </a:solidFill>
            <a:ln xmlns:a="http://schemas.openxmlformats.org/drawingml/2006/main">
              <a:prstDash val="solid"/>
            </a:ln>
          </spPr>
          <cat>
            <numRef>
              <f>'Simulation'!$K$3:$K$7</f>
            </numRef>
          </cat>
          <val>
            <numRef>
              <f>'Simulation'!$M$3:$M$7</f>
            </numRef>
          </val>
        </ser>
        <ser>
          <idx val="2"/>
          <order val="2"/>
          <tx>
            <strRef>
              <f>'Simulation'!N2</f>
            </strRef>
          </tx>
          <spPr>
            <a:solidFill xmlns:a="http://schemas.openxmlformats.org/drawingml/2006/main">
              <a:srgbClr val="C00000"/>
            </a:solidFill>
            <a:ln xmlns:a="http://schemas.openxmlformats.org/drawingml/2006/main">
              <a:prstDash val="solid"/>
            </a:ln>
          </spPr>
          <cat>
            <numRef>
              <f>'Simulation'!$K$3:$K$7</f>
            </numRef>
          </cat>
          <val>
            <numRef>
              <f>'Simulation'!$N$3:$N$7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Project Year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Capture Price (EUR/MWh)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233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MC Simulation - DK1 P50/P90/P99 Capture Price Paths</a:t>
            </a:r>
          </a:p>
        </rich>
      </tx>
    </title>
    <plotArea>
      <lineChart>
        <grouping val="standard"/>
        <ser>
          <idx val="0"/>
          <order val="0"/>
          <tx>
            <strRef>
              <f>'Simulation'!C1</f>
            </strRef>
          </tx>
          <spPr>
            <a:ln xmlns:a="http://schemas.openxmlformats.org/drawingml/2006/main">
              <a:solidFill>
                <a:srgbClr val="70AD47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val>
            <numRef>
              <f>'Simulation'!$C$2:$C$301</f>
            </numRef>
          </val>
        </ser>
        <ser>
          <idx val="1"/>
          <order val="1"/>
          <tx>
            <strRef>
              <f>'Simulation'!D1</f>
            </strRef>
          </tx>
          <spPr>
            <a:ln xmlns:a="http://schemas.openxmlformats.org/drawingml/2006/main">
              <a:solidFill>
                <a:srgbClr val="2E75B6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val>
            <numRef>
              <f>'Simulation'!$D$2:$D$301</f>
            </numRef>
          </val>
        </ser>
        <ser>
          <idx val="2"/>
          <order val="2"/>
          <tx>
            <strRef>
              <f>'Simulation'!F1</f>
            </strRef>
          </tx>
          <spPr>
            <a:ln xmlns:a="http://schemas.openxmlformats.org/drawingml/2006/main">
              <a:solidFill>
                <a:srgbClr val="FF8C00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val>
            <numRef>
              <f>'Simulation'!$F$2:$F$301</f>
            </numRef>
          </val>
        </ser>
        <ser>
          <idx val="3"/>
          <order val="3"/>
          <tx>
            <strRef>
              <f>'Simulation'!I1</f>
            </strRef>
          </tx>
          <spPr>
            <a:ln xmlns:a="http://schemas.openxmlformats.org/drawingml/2006/main">
              <a:solidFill>
                <a:srgbClr val="C00000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val>
            <numRef>
              <f>'Simulation'!$I$2:$I$301</f>
            </numRef>
          </val>
        </ser>
        <axId val="10"/>
        <axId val="100"/>
      </lineChart>
      <catAx>
        <axId val="10"/>
        <scaling>
          <orientation val="minMax"/>
        </scaling>
        <axPos val="l"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Month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Capture Price (EUR/MWh)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234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P50/P90/P99 at Key Project Horizons — DK1 Primary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'Simulation'!L2</f>
            </strRef>
          </tx>
          <spPr>
            <a:solidFill xmlns:a="http://schemas.openxmlformats.org/drawingml/2006/main">
              <a:srgbClr val="2E75B6"/>
            </a:solidFill>
            <a:ln xmlns:a="http://schemas.openxmlformats.org/drawingml/2006/main">
              <a:prstDash val="solid"/>
            </a:ln>
          </spPr>
          <cat>
            <numRef>
              <f>'Simulation'!$K$3:$K$7</f>
            </numRef>
          </cat>
          <val>
            <numRef>
              <f>'Simulation'!$L$3:$L$7</f>
            </numRef>
          </val>
        </ser>
        <ser>
          <idx val="1"/>
          <order val="1"/>
          <tx>
            <strRef>
              <f>'Simulation'!M2</f>
            </strRef>
          </tx>
          <spPr>
            <a:solidFill xmlns:a="http://schemas.openxmlformats.org/drawingml/2006/main">
              <a:srgbClr val="FF8C00"/>
            </a:solidFill>
            <a:ln xmlns:a="http://schemas.openxmlformats.org/drawingml/2006/main">
              <a:prstDash val="solid"/>
            </a:ln>
          </spPr>
          <cat>
            <numRef>
              <f>'Simulation'!$K$3:$K$7</f>
            </numRef>
          </cat>
          <val>
            <numRef>
              <f>'Simulation'!$M$3:$M$7</f>
            </numRef>
          </val>
        </ser>
        <ser>
          <idx val="2"/>
          <order val="2"/>
          <tx>
            <strRef>
              <f>'Simulation'!N2</f>
            </strRef>
          </tx>
          <spPr>
            <a:solidFill xmlns:a="http://schemas.openxmlformats.org/drawingml/2006/main">
              <a:srgbClr val="C00000"/>
            </a:solidFill>
            <a:ln xmlns:a="http://schemas.openxmlformats.org/drawingml/2006/main">
              <a:prstDash val="solid"/>
            </a:ln>
          </spPr>
          <cat>
            <numRef>
              <f>'Simulation'!$K$3:$K$7</f>
            </numRef>
          </cat>
          <val>
            <numRef>
              <f>'Simulation'!$N$3:$N$7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Project Year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Capture Price (EUR/MWh)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235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MC Simulation - DK1 P50/P90/P99 Capture Price Paths</a:t>
            </a:r>
          </a:p>
        </rich>
      </tx>
    </title>
    <plotArea>
      <lineChart>
        <grouping val="standard"/>
        <ser>
          <idx val="0"/>
          <order val="0"/>
          <tx>
            <strRef>
              <f>'Simulation'!C1</f>
            </strRef>
          </tx>
          <spPr>
            <a:ln xmlns:a="http://schemas.openxmlformats.org/drawingml/2006/main">
              <a:solidFill>
                <a:srgbClr val="70AD47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val>
            <numRef>
              <f>'Simulation'!$C$2:$C$301</f>
            </numRef>
          </val>
        </ser>
        <ser>
          <idx val="1"/>
          <order val="1"/>
          <tx>
            <strRef>
              <f>'Simulation'!D1</f>
            </strRef>
          </tx>
          <spPr>
            <a:ln xmlns:a="http://schemas.openxmlformats.org/drawingml/2006/main">
              <a:solidFill>
                <a:srgbClr val="2E75B6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val>
            <numRef>
              <f>'Simulation'!$D$2:$D$301</f>
            </numRef>
          </val>
        </ser>
        <ser>
          <idx val="2"/>
          <order val="2"/>
          <tx>
            <strRef>
              <f>'Simulation'!F1</f>
            </strRef>
          </tx>
          <spPr>
            <a:ln xmlns:a="http://schemas.openxmlformats.org/drawingml/2006/main">
              <a:solidFill>
                <a:srgbClr val="FF8C00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val>
            <numRef>
              <f>'Simulation'!$F$2:$F$301</f>
            </numRef>
          </val>
        </ser>
        <ser>
          <idx val="3"/>
          <order val="3"/>
          <tx>
            <strRef>
              <f>'Simulation'!I1</f>
            </strRef>
          </tx>
          <spPr>
            <a:ln xmlns:a="http://schemas.openxmlformats.org/drawingml/2006/main">
              <a:solidFill>
                <a:srgbClr val="C00000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val>
            <numRef>
              <f>'Simulation'!$I$2:$I$301</f>
            </numRef>
          </val>
        </ser>
        <axId val="10"/>
        <axId val="100"/>
      </lineChart>
      <catAx>
        <axId val="10"/>
        <scaling>
          <orientation val="minMax"/>
        </scaling>
        <axPos val="l"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Month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Capture Price (EUR/MWh)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236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P50/P90/P99 at Key Project Horizons — DK1 Primary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'Simulation'!L2</f>
            </strRef>
          </tx>
          <spPr>
            <a:solidFill xmlns:a="http://schemas.openxmlformats.org/drawingml/2006/main">
              <a:srgbClr val="2E75B6"/>
            </a:solidFill>
            <a:ln xmlns:a="http://schemas.openxmlformats.org/drawingml/2006/main">
              <a:prstDash val="solid"/>
            </a:ln>
          </spPr>
          <cat>
            <numRef>
              <f>'Simulation'!$K$3:$K$7</f>
            </numRef>
          </cat>
          <val>
            <numRef>
              <f>'Simulation'!$L$3:$L$7</f>
            </numRef>
          </val>
        </ser>
        <ser>
          <idx val="1"/>
          <order val="1"/>
          <tx>
            <strRef>
              <f>'Simulation'!M2</f>
            </strRef>
          </tx>
          <spPr>
            <a:solidFill xmlns:a="http://schemas.openxmlformats.org/drawingml/2006/main">
              <a:srgbClr val="FF8C00"/>
            </a:solidFill>
            <a:ln xmlns:a="http://schemas.openxmlformats.org/drawingml/2006/main">
              <a:prstDash val="solid"/>
            </a:ln>
          </spPr>
          <cat>
            <numRef>
              <f>'Simulation'!$K$3:$K$7</f>
            </numRef>
          </cat>
          <val>
            <numRef>
              <f>'Simulation'!$M$3:$M$7</f>
            </numRef>
          </val>
        </ser>
        <ser>
          <idx val="2"/>
          <order val="2"/>
          <tx>
            <strRef>
              <f>'Simulation'!N2</f>
            </strRef>
          </tx>
          <spPr>
            <a:solidFill xmlns:a="http://schemas.openxmlformats.org/drawingml/2006/main">
              <a:srgbClr val="C00000"/>
            </a:solidFill>
            <a:ln xmlns:a="http://schemas.openxmlformats.org/drawingml/2006/main">
              <a:prstDash val="solid"/>
            </a:ln>
          </spPr>
          <cat>
            <numRef>
              <f>'Simulation'!$K$3:$K$7</f>
            </numRef>
          </cat>
          <val>
            <numRef>
              <f>'Simulation'!$N$3:$N$7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Project Year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Capture Price (EUR/MWh)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237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MC Simulation - DK1 P50/P90/P99 Capture Price Paths</a:t>
            </a:r>
          </a:p>
        </rich>
      </tx>
    </title>
    <plotArea>
      <lineChart>
        <grouping val="standard"/>
        <ser>
          <idx val="0"/>
          <order val="0"/>
          <tx>
            <strRef>
              <f>'Simulation'!C1</f>
            </strRef>
          </tx>
          <spPr>
            <a:ln xmlns:a="http://schemas.openxmlformats.org/drawingml/2006/main">
              <a:solidFill>
                <a:srgbClr val="70AD47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val>
            <numRef>
              <f>'Simulation'!$C$2:$C$301</f>
            </numRef>
          </val>
        </ser>
        <ser>
          <idx val="1"/>
          <order val="1"/>
          <tx>
            <strRef>
              <f>'Simulation'!D1</f>
            </strRef>
          </tx>
          <spPr>
            <a:ln xmlns:a="http://schemas.openxmlformats.org/drawingml/2006/main">
              <a:solidFill>
                <a:srgbClr val="2E75B6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val>
            <numRef>
              <f>'Simulation'!$D$2:$D$301</f>
            </numRef>
          </val>
        </ser>
        <ser>
          <idx val="2"/>
          <order val="2"/>
          <tx>
            <strRef>
              <f>'Simulation'!F1</f>
            </strRef>
          </tx>
          <spPr>
            <a:ln xmlns:a="http://schemas.openxmlformats.org/drawingml/2006/main">
              <a:solidFill>
                <a:srgbClr val="FF8C00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val>
            <numRef>
              <f>'Simulation'!$F$2:$F$301</f>
            </numRef>
          </val>
        </ser>
        <ser>
          <idx val="3"/>
          <order val="3"/>
          <tx>
            <strRef>
              <f>'Simulation'!I1</f>
            </strRef>
          </tx>
          <spPr>
            <a:ln xmlns:a="http://schemas.openxmlformats.org/drawingml/2006/main">
              <a:solidFill>
                <a:srgbClr val="C00000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val>
            <numRef>
              <f>'Simulation'!$I$2:$I$301</f>
            </numRef>
          </val>
        </ser>
        <axId val="10"/>
        <axId val="100"/>
      </lineChart>
      <catAx>
        <axId val="10"/>
        <scaling>
          <orientation val="minMax"/>
        </scaling>
        <axPos val="l"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Month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Capture Price (EUR/MWh)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238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P50/P90/P99 at Key Project Horizons — DK1 Primary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'Simulation'!L2</f>
            </strRef>
          </tx>
          <spPr>
            <a:solidFill xmlns:a="http://schemas.openxmlformats.org/drawingml/2006/main">
              <a:srgbClr val="2E75B6"/>
            </a:solidFill>
            <a:ln xmlns:a="http://schemas.openxmlformats.org/drawingml/2006/main">
              <a:prstDash val="solid"/>
            </a:ln>
          </spPr>
          <cat>
            <numRef>
              <f>'Simulation'!$K$3:$K$7</f>
            </numRef>
          </cat>
          <val>
            <numRef>
              <f>'Simulation'!$L$3:$L$7</f>
            </numRef>
          </val>
        </ser>
        <ser>
          <idx val="1"/>
          <order val="1"/>
          <tx>
            <strRef>
              <f>'Simulation'!M2</f>
            </strRef>
          </tx>
          <spPr>
            <a:solidFill xmlns:a="http://schemas.openxmlformats.org/drawingml/2006/main">
              <a:srgbClr val="FF8C00"/>
            </a:solidFill>
            <a:ln xmlns:a="http://schemas.openxmlformats.org/drawingml/2006/main">
              <a:prstDash val="solid"/>
            </a:ln>
          </spPr>
          <cat>
            <numRef>
              <f>'Simulation'!$K$3:$K$7</f>
            </numRef>
          </cat>
          <val>
            <numRef>
              <f>'Simulation'!$M$3:$M$7</f>
            </numRef>
          </val>
        </ser>
        <ser>
          <idx val="2"/>
          <order val="2"/>
          <tx>
            <strRef>
              <f>'Simulation'!N2</f>
            </strRef>
          </tx>
          <spPr>
            <a:solidFill xmlns:a="http://schemas.openxmlformats.org/drawingml/2006/main">
              <a:srgbClr val="C00000"/>
            </a:solidFill>
            <a:ln xmlns:a="http://schemas.openxmlformats.org/drawingml/2006/main">
              <a:prstDash val="solid"/>
            </a:ln>
          </spPr>
          <cat>
            <numRef>
              <f>'Simulation'!$K$3:$K$7</f>
            </numRef>
          </cat>
          <val>
            <numRef>
              <f>'Simulation'!$N$3:$N$7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Project Year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Capture Price (EUR/MWh)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239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MC Simulation - DK1 P50/P90/P99 Capture Price Paths</a:t>
            </a:r>
          </a:p>
        </rich>
      </tx>
    </title>
    <plotArea>
      <lineChart>
        <grouping val="standard"/>
        <ser>
          <idx val="0"/>
          <order val="0"/>
          <tx>
            <strRef>
              <f>'Simulation'!C1</f>
            </strRef>
          </tx>
          <spPr>
            <a:ln xmlns:a="http://schemas.openxmlformats.org/drawingml/2006/main">
              <a:solidFill>
                <a:srgbClr val="70AD47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val>
            <numRef>
              <f>'Simulation'!$C$2:$C$301</f>
            </numRef>
          </val>
        </ser>
        <ser>
          <idx val="1"/>
          <order val="1"/>
          <tx>
            <strRef>
              <f>'Simulation'!D1</f>
            </strRef>
          </tx>
          <spPr>
            <a:ln xmlns:a="http://schemas.openxmlformats.org/drawingml/2006/main">
              <a:solidFill>
                <a:srgbClr val="2E75B6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val>
            <numRef>
              <f>'Simulation'!$D$2:$D$301</f>
            </numRef>
          </val>
        </ser>
        <ser>
          <idx val="2"/>
          <order val="2"/>
          <tx>
            <strRef>
              <f>'Simulation'!F1</f>
            </strRef>
          </tx>
          <spPr>
            <a:ln xmlns:a="http://schemas.openxmlformats.org/drawingml/2006/main">
              <a:solidFill>
                <a:srgbClr val="FF8C00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val>
            <numRef>
              <f>'Simulation'!$F$2:$F$301</f>
            </numRef>
          </val>
        </ser>
        <ser>
          <idx val="3"/>
          <order val="3"/>
          <tx>
            <strRef>
              <f>'Simulation'!I1</f>
            </strRef>
          </tx>
          <spPr>
            <a:ln xmlns:a="http://schemas.openxmlformats.org/drawingml/2006/main">
              <a:solidFill>
                <a:srgbClr val="C00000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val>
            <numRef>
              <f>'Simulation'!$I$2:$I$301</f>
            </numRef>
          </val>
        </ser>
        <axId val="10"/>
        <axId val="100"/>
      </lineChart>
      <catAx>
        <axId val="10"/>
        <scaling>
          <orientation val="minMax"/>
        </scaling>
        <axPos val="l"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Month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Capture Price (EUR/MWh)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240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P50/P90/P99 at Key Project Horizons — DK1 Primary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'Simulation'!L2</f>
            </strRef>
          </tx>
          <spPr>
            <a:solidFill xmlns:a="http://schemas.openxmlformats.org/drawingml/2006/main">
              <a:srgbClr val="2E75B6"/>
            </a:solidFill>
            <a:ln xmlns:a="http://schemas.openxmlformats.org/drawingml/2006/main">
              <a:prstDash val="solid"/>
            </a:ln>
          </spPr>
          <cat>
            <numRef>
              <f>'Simulation'!$K$3:$K$7</f>
            </numRef>
          </cat>
          <val>
            <numRef>
              <f>'Simulation'!$L$3:$L$7</f>
            </numRef>
          </val>
        </ser>
        <ser>
          <idx val="1"/>
          <order val="1"/>
          <tx>
            <strRef>
              <f>'Simulation'!M2</f>
            </strRef>
          </tx>
          <spPr>
            <a:solidFill xmlns:a="http://schemas.openxmlformats.org/drawingml/2006/main">
              <a:srgbClr val="FF8C00"/>
            </a:solidFill>
            <a:ln xmlns:a="http://schemas.openxmlformats.org/drawingml/2006/main">
              <a:prstDash val="solid"/>
            </a:ln>
          </spPr>
          <cat>
            <numRef>
              <f>'Simulation'!$K$3:$K$7</f>
            </numRef>
          </cat>
          <val>
            <numRef>
              <f>'Simulation'!$M$3:$M$7</f>
            </numRef>
          </val>
        </ser>
        <ser>
          <idx val="2"/>
          <order val="2"/>
          <tx>
            <strRef>
              <f>'Simulation'!N2</f>
            </strRef>
          </tx>
          <spPr>
            <a:solidFill xmlns:a="http://schemas.openxmlformats.org/drawingml/2006/main">
              <a:srgbClr val="C00000"/>
            </a:solidFill>
            <a:ln xmlns:a="http://schemas.openxmlformats.org/drawingml/2006/main">
              <a:prstDash val="solid"/>
            </a:ln>
          </spPr>
          <cat>
            <numRef>
              <f>'Simulation'!$K$3:$K$7</f>
            </numRef>
          </cat>
          <val>
            <numRef>
              <f>'Simulation'!$N$3:$N$7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Project Year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Capture Price (EUR/MWh)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241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MC Simulation - DK1 P50/P90/P99 Capture Price Paths</a:t>
            </a:r>
          </a:p>
        </rich>
      </tx>
    </title>
    <plotArea>
      <lineChart>
        <grouping val="standard"/>
        <ser>
          <idx val="0"/>
          <order val="0"/>
          <tx>
            <strRef>
              <f>'Simulation'!C1</f>
            </strRef>
          </tx>
          <spPr>
            <a:ln xmlns:a="http://schemas.openxmlformats.org/drawingml/2006/main">
              <a:solidFill>
                <a:srgbClr val="70AD47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val>
            <numRef>
              <f>'Simulation'!$C$2:$C$301</f>
            </numRef>
          </val>
        </ser>
        <ser>
          <idx val="1"/>
          <order val="1"/>
          <tx>
            <strRef>
              <f>'Simulation'!D1</f>
            </strRef>
          </tx>
          <spPr>
            <a:ln xmlns:a="http://schemas.openxmlformats.org/drawingml/2006/main">
              <a:solidFill>
                <a:srgbClr val="2E75B6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val>
            <numRef>
              <f>'Simulation'!$D$2:$D$301</f>
            </numRef>
          </val>
        </ser>
        <ser>
          <idx val="2"/>
          <order val="2"/>
          <tx>
            <strRef>
              <f>'Simulation'!F1</f>
            </strRef>
          </tx>
          <spPr>
            <a:ln xmlns:a="http://schemas.openxmlformats.org/drawingml/2006/main">
              <a:solidFill>
                <a:srgbClr val="FF8C00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val>
            <numRef>
              <f>'Simulation'!$F$2:$F$301</f>
            </numRef>
          </val>
        </ser>
        <ser>
          <idx val="3"/>
          <order val="3"/>
          <tx>
            <strRef>
              <f>'Simulation'!I1</f>
            </strRef>
          </tx>
          <spPr>
            <a:ln xmlns:a="http://schemas.openxmlformats.org/drawingml/2006/main">
              <a:solidFill>
                <a:srgbClr val="C00000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val>
            <numRef>
              <f>'Simulation'!$I$2:$I$301</f>
            </numRef>
          </val>
        </ser>
        <axId val="10"/>
        <axId val="100"/>
      </lineChart>
      <catAx>
        <axId val="10"/>
        <scaling>
          <orientation val="minMax"/>
        </scaling>
        <axPos val="l"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Month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Capture Price (EUR/MWh)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242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P50/P90/P99 at Key Project Horizons — DK1 Primary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'Simulation'!L2</f>
            </strRef>
          </tx>
          <spPr>
            <a:solidFill xmlns:a="http://schemas.openxmlformats.org/drawingml/2006/main">
              <a:srgbClr val="2E75B6"/>
            </a:solidFill>
            <a:ln xmlns:a="http://schemas.openxmlformats.org/drawingml/2006/main">
              <a:prstDash val="solid"/>
            </a:ln>
          </spPr>
          <cat>
            <numRef>
              <f>'Simulation'!$K$3:$K$7</f>
            </numRef>
          </cat>
          <val>
            <numRef>
              <f>'Simulation'!$L$3:$L$7</f>
            </numRef>
          </val>
        </ser>
        <ser>
          <idx val="1"/>
          <order val="1"/>
          <tx>
            <strRef>
              <f>'Simulation'!M2</f>
            </strRef>
          </tx>
          <spPr>
            <a:solidFill xmlns:a="http://schemas.openxmlformats.org/drawingml/2006/main">
              <a:srgbClr val="FF8C00"/>
            </a:solidFill>
            <a:ln xmlns:a="http://schemas.openxmlformats.org/drawingml/2006/main">
              <a:prstDash val="solid"/>
            </a:ln>
          </spPr>
          <cat>
            <numRef>
              <f>'Simulation'!$K$3:$K$7</f>
            </numRef>
          </cat>
          <val>
            <numRef>
              <f>'Simulation'!$M$3:$M$7</f>
            </numRef>
          </val>
        </ser>
        <ser>
          <idx val="2"/>
          <order val="2"/>
          <tx>
            <strRef>
              <f>'Simulation'!N2</f>
            </strRef>
          </tx>
          <spPr>
            <a:solidFill xmlns:a="http://schemas.openxmlformats.org/drawingml/2006/main">
              <a:srgbClr val="C00000"/>
            </a:solidFill>
            <a:ln xmlns:a="http://schemas.openxmlformats.org/drawingml/2006/main">
              <a:prstDash val="solid"/>
            </a:ln>
          </spPr>
          <cat>
            <numRef>
              <f>'Simulation'!$K$3:$K$7</f>
            </numRef>
          </cat>
          <val>
            <numRef>
              <f>'Simulation'!$N$3:$N$7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Project Year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Capture Price (EUR/MWh)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243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MC Simulation - DK1 P50/P90/P99 Capture Price Paths</a:t>
            </a:r>
          </a:p>
        </rich>
      </tx>
    </title>
    <plotArea>
      <lineChart>
        <grouping val="standard"/>
        <ser>
          <idx val="0"/>
          <order val="0"/>
          <tx>
            <strRef>
              <f>'Simulation'!C1</f>
            </strRef>
          </tx>
          <spPr>
            <a:ln xmlns:a="http://schemas.openxmlformats.org/drawingml/2006/main">
              <a:solidFill>
                <a:srgbClr val="70AD47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val>
            <numRef>
              <f>'Simulation'!$C$2:$C$301</f>
            </numRef>
          </val>
        </ser>
        <ser>
          <idx val="1"/>
          <order val="1"/>
          <tx>
            <strRef>
              <f>'Simulation'!D1</f>
            </strRef>
          </tx>
          <spPr>
            <a:ln xmlns:a="http://schemas.openxmlformats.org/drawingml/2006/main">
              <a:solidFill>
                <a:srgbClr val="2E75B6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val>
            <numRef>
              <f>'Simulation'!$D$2:$D$301</f>
            </numRef>
          </val>
        </ser>
        <ser>
          <idx val="2"/>
          <order val="2"/>
          <tx>
            <strRef>
              <f>'Simulation'!F1</f>
            </strRef>
          </tx>
          <spPr>
            <a:ln xmlns:a="http://schemas.openxmlformats.org/drawingml/2006/main">
              <a:solidFill>
                <a:srgbClr val="FF8C00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val>
            <numRef>
              <f>'Simulation'!$F$2:$F$301</f>
            </numRef>
          </val>
        </ser>
        <ser>
          <idx val="3"/>
          <order val="3"/>
          <tx>
            <strRef>
              <f>'Simulation'!I1</f>
            </strRef>
          </tx>
          <spPr>
            <a:ln xmlns:a="http://schemas.openxmlformats.org/drawingml/2006/main">
              <a:solidFill>
                <a:srgbClr val="C00000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val>
            <numRef>
              <f>'Simulation'!$I$2:$I$301</f>
            </numRef>
          </val>
        </ser>
        <axId val="10"/>
        <axId val="100"/>
      </lineChart>
      <catAx>
        <axId val="10"/>
        <scaling>
          <orientation val="minMax"/>
        </scaling>
        <axPos val="l"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Month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Capture Price (EUR/MWh)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244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P50/P90/P99 at Key Project Horizons — DK1 Primary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'Simulation'!L2</f>
            </strRef>
          </tx>
          <spPr>
            <a:solidFill xmlns:a="http://schemas.openxmlformats.org/drawingml/2006/main">
              <a:srgbClr val="2E75B6"/>
            </a:solidFill>
            <a:ln xmlns:a="http://schemas.openxmlformats.org/drawingml/2006/main">
              <a:prstDash val="solid"/>
            </a:ln>
          </spPr>
          <cat>
            <numRef>
              <f>'Simulation'!$K$3:$K$7</f>
            </numRef>
          </cat>
          <val>
            <numRef>
              <f>'Simulation'!$L$3:$L$7</f>
            </numRef>
          </val>
        </ser>
        <ser>
          <idx val="1"/>
          <order val="1"/>
          <tx>
            <strRef>
              <f>'Simulation'!M2</f>
            </strRef>
          </tx>
          <spPr>
            <a:solidFill xmlns:a="http://schemas.openxmlformats.org/drawingml/2006/main">
              <a:srgbClr val="FF8C00"/>
            </a:solidFill>
            <a:ln xmlns:a="http://schemas.openxmlformats.org/drawingml/2006/main">
              <a:prstDash val="solid"/>
            </a:ln>
          </spPr>
          <cat>
            <numRef>
              <f>'Simulation'!$K$3:$K$7</f>
            </numRef>
          </cat>
          <val>
            <numRef>
              <f>'Simulation'!$M$3:$M$7</f>
            </numRef>
          </val>
        </ser>
        <ser>
          <idx val="2"/>
          <order val="2"/>
          <tx>
            <strRef>
              <f>'Simulation'!N2</f>
            </strRef>
          </tx>
          <spPr>
            <a:solidFill xmlns:a="http://schemas.openxmlformats.org/drawingml/2006/main">
              <a:srgbClr val="C00000"/>
            </a:solidFill>
            <a:ln xmlns:a="http://schemas.openxmlformats.org/drawingml/2006/main">
              <a:prstDash val="solid"/>
            </a:ln>
          </spPr>
          <cat>
            <numRef>
              <f>'Simulation'!$K$3:$K$7</f>
            </numRef>
          </cat>
          <val>
            <numRef>
              <f>'Simulation'!$N$3:$N$7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Project Year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Capture Price (EUR/MWh)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245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MC Simulation - DK1 P50/P90/P99 Capture Price Paths</a:t>
            </a:r>
          </a:p>
        </rich>
      </tx>
    </title>
    <plotArea>
      <lineChart>
        <grouping val="standard"/>
        <ser>
          <idx val="0"/>
          <order val="0"/>
          <tx>
            <strRef>
              <f>'Simulation'!C1</f>
            </strRef>
          </tx>
          <spPr>
            <a:ln xmlns:a="http://schemas.openxmlformats.org/drawingml/2006/main">
              <a:solidFill>
                <a:srgbClr val="70AD47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val>
            <numRef>
              <f>'Simulation'!$C$2:$C$301</f>
            </numRef>
          </val>
        </ser>
        <ser>
          <idx val="1"/>
          <order val="1"/>
          <tx>
            <strRef>
              <f>'Simulation'!D1</f>
            </strRef>
          </tx>
          <spPr>
            <a:ln xmlns:a="http://schemas.openxmlformats.org/drawingml/2006/main">
              <a:solidFill>
                <a:srgbClr val="2E75B6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val>
            <numRef>
              <f>'Simulation'!$D$2:$D$301</f>
            </numRef>
          </val>
        </ser>
        <ser>
          <idx val="2"/>
          <order val="2"/>
          <tx>
            <strRef>
              <f>'Simulation'!F1</f>
            </strRef>
          </tx>
          <spPr>
            <a:ln xmlns:a="http://schemas.openxmlformats.org/drawingml/2006/main">
              <a:solidFill>
                <a:srgbClr val="FF8C00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val>
            <numRef>
              <f>'Simulation'!$F$2:$F$301</f>
            </numRef>
          </val>
        </ser>
        <ser>
          <idx val="3"/>
          <order val="3"/>
          <tx>
            <strRef>
              <f>'Simulation'!I1</f>
            </strRef>
          </tx>
          <spPr>
            <a:ln xmlns:a="http://schemas.openxmlformats.org/drawingml/2006/main">
              <a:solidFill>
                <a:srgbClr val="C00000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val>
            <numRef>
              <f>'Simulation'!$I$2:$I$301</f>
            </numRef>
          </val>
        </ser>
        <axId val="10"/>
        <axId val="100"/>
      </lineChart>
      <catAx>
        <axId val="10"/>
        <scaling>
          <orientation val="minMax"/>
        </scaling>
        <axPos val="l"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Month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Capture Price (EUR/MWh)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246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P50/P90/P99 at Key Project Horizons — DK1 Primary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'Simulation'!L2</f>
            </strRef>
          </tx>
          <spPr>
            <a:solidFill xmlns:a="http://schemas.openxmlformats.org/drawingml/2006/main">
              <a:srgbClr val="2E75B6"/>
            </a:solidFill>
            <a:ln xmlns:a="http://schemas.openxmlformats.org/drawingml/2006/main">
              <a:prstDash val="solid"/>
            </a:ln>
          </spPr>
          <cat>
            <numRef>
              <f>'Simulation'!$K$3:$K$7</f>
            </numRef>
          </cat>
          <val>
            <numRef>
              <f>'Simulation'!$L$3:$L$7</f>
            </numRef>
          </val>
        </ser>
        <ser>
          <idx val="1"/>
          <order val="1"/>
          <tx>
            <strRef>
              <f>'Simulation'!M2</f>
            </strRef>
          </tx>
          <spPr>
            <a:solidFill xmlns:a="http://schemas.openxmlformats.org/drawingml/2006/main">
              <a:srgbClr val="FF8C00"/>
            </a:solidFill>
            <a:ln xmlns:a="http://schemas.openxmlformats.org/drawingml/2006/main">
              <a:prstDash val="solid"/>
            </a:ln>
          </spPr>
          <cat>
            <numRef>
              <f>'Simulation'!$K$3:$K$7</f>
            </numRef>
          </cat>
          <val>
            <numRef>
              <f>'Simulation'!$M$3:$M$7</f>
            </numRef>
          </val>
        </ser>
        <ser>
          <idx val="2"/>
          <order val="2"/>
          <tx>
            <strRef>
              <f>'Simulation'!N2</f>
            </strRef>
          </tx>
          <spPr>
            <a:solidFill xmlns:a="http://schemas.openxmlformats.org/drawingml/2006/main">
              <a:srgbClr val="C00000"/>
            </a:solidFill>
            <a:ln xmlns:a="http://schemas.openxmlformats.org/drawingml/2006/main">
              <a:prstDash val="solid"/>
            </a:ln>
          </spPr>
          <cat>
            <numRef>
              <f>'Simulation'!$K$3:$K$7</f>
            </numRef>
          </cat>
          <val>
            <numRef>
              <f>'Simulation'!$N$3:$N$7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Project Year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Capture Price (EUR/MWh)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247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MC Simulation - DK1 P50/P90/P99 Capture Price Paths</a:t>
            </a:r>
          </a:p>
        </rich>
      </tx>
    </title>
    <plotArea>
      <lineChart>
        <grouping val="standard"/>
        <ser>
          <idx val="0"/>
          <order val="0"/>
          <tx>
            <strRef>
              <f>'Simulation'!C1</f>
            </strRef>
          </tx>
          <spPr>
            <a:ln xmlns:a="http://schemas.openxmlformats.org/drawingml/2006/main">
              <a:solidFill>
                <a:srgbClr val="70AD47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val>
            <numRef>
              <f>'Simulation'!$C$2:$C$301</f>
            </numRef>
          </val>
        </ser>
        <ser>
          <idx val="1"/>
          <order val="1"/>
          <tx>
            <strRef>
              <f>'Simulation'!D1</f>
            </strRef>
          </tx>
          <spPr>
            <a:ln xmlns:a="http://schemas.openxmlformats.org/drawingml/2006/main">
              <a:solidFill>
                <a:srgbClr val="2E75B6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val>
            <numRef>
              <f>'Simulation'!$D$2:$D$301</f>
            </numRef>
          </val>
        </ser>
        <ser>
          <idx val="2"/>
          <order val="2"/>
          <tx>
            <strRef>
              <f>'Simulation'!F1</f>
            </strRef>
          </tx>
          <spPr>
            <a:ln xmlns:a="http://schemas.openxmlformats.org/drawingml/2006/main">
              <a:solidFill>
                <a:srgbClr val="FF8C00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val>
            <numRef>
              <f>'Simulation'!$F$2:$F$301</f>
            </numRef>
          </val>
        </ser>
        <ser>
          <idx val="3"/>
          <order val="3"/>
          <tx>
            <strRef>
              <f>'Simulation'!I1</f>
            </strRef>
          </tx>
          <spPr>
            <a:ln xmlns:a="http://schemas.openxmlformats.org/drawingml/2006/main">
              <a:solidFill>
                <a:srgbClr val="C00000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val>
            <numRef>
              <f>'Simulation'!$I$2:$I$301</f>
            </numRef>
          </val>
        </ser>
        <axId val="10"/>
        <axId val="100"/>
      </lineChart>
      <catAx>
        <axId val="10"/>
        <scaling>
          <orientation val="minMax"/>
        </scaling>
        <axPos val="l"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Month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Capture Price (EUR/MWh)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248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P50/P90/P99 at Key Project Horizons — DK1 Primary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'Simulation'!L2</f>
            </strRef>
          </tx>
          <spPr>
            <a:solidFill xmlns:a="http://schemas.openxmlformats.org/drawingml/2006/main">
              <a:srgbClr val="2E75B6"/>
            </a:solidFill>
            <a:ln xmlns:a="http://schemas.openxmlformats.org/drawingml/2006/main">
              <a:prstDash val="solid"/>
            </a:ln>
          </spPr>
          <cat>
            <numRef>
              <f>'Simulation'!$K$3:$K$7</f>
            </numRef>
          </cat>
          <val>
            <numRef>
              <f>'Simulation'!$L$3:$L$7</f>
            </numRef>
          </val>
        </ser>
        <ser>
          <idx val="1"/>
          <order val="1"/>
          <tx>
            <strRef>
              <f>'Simulation'!M2</f>
            </strRef>
          </tx>
          <spPr>
            <a:solidFill xmlns:a="http://schemas.openxmlformats.org/drawingml/2006/main">
              <a:srgbClr val="FF8C00"/>
            </a:solidFill>
            <a:ln xmlns:a="http://schemas.openxmlformats.org/drawingml/2006/main">
              <a:prstDash val="solid"/>
            </a:ln>
          </spPr>
          <cat>
            <numRef>
              <f>'Simulation'!$K$3:$K$7</f>
            </numRef>
          </cat>
          <val>
            <numRef>
              <f>'Simulation'!$M$3:$M$7</f>
            </numRef>
          </val>
        </ser>
        <ser>
          <idx val="2"/>
          <order val="2"/>
          <tx>
            <strRef>
              <f>'Simulation'!N2</f>
            </strRef>
          </tx>
          <spPr>
            <a:solidFill xmlns:a="http://schemas.openxmlformats.org/drawingml/2006/main">
              <a:srgbClr val="C00000"/>
            </a:solidFill>
            <a:ln xmlns:a="http://schemas.openxmlformats.org/drawingml/2006/main">
              <a:prstDash val="solid"/>
            </a:ln>
          </spPr>
          <cat>
            <numRef>
              <f>'Simulation'!$K$3:$K$7</f>
            </numRef>
          </cat>
          <val>
            <numRef>
              <f>'Simulation'!$N$3:$N$7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Project Year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Capture Price (EUR/MWh)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249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MC Simulation - DK1 P50/P90/P99 Capture Price Paths</a:t>
            </a:r>
          </a:p>
        </rich>
      </tx>
    </title>
    <plotArea>
      <lineChart>
        <grouping val="standard"/>
        <ser>
          <idx val="0"/>
          <order val="0"/>
          <tx>
            <strRef>
              <f>'Simulation'!C1</f>
            </strRef>
          </tx>
          <spPr>
            <a:ln xmlns:a="http://schemas.openxmlformats.org/drawingml/2006/main">
              <a:solidFill>
                <a:srgbClr val="70AD47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val>
            <numRef>
              <f>'Simulation'!$C$2:$C$301</f>
            </numRef>
          </val>
        </ser>
        <ser>
          <idx val="1"/>
          <order val="1"/>
          <tx>
            <strRef>
              <f>'Simulation'!D1</f>
            </strRef>
          </tx>
          <spPr>
            <a:ln xmlns:a="http://schemas.openxmlformats.org/drawingml/2006/main">
              <a:solidFill>
                <a:srgbClr val="2E75B6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val>
            <numRef>
              <f>'Simulation'!$D$2:$D$301</f>
            </numRef>
          </val>
        </ser>
        <ser>
          <idx val="2"/>
          <order val="2"/>
          <tx>
            <strRef>
              <f>'Simulation'!F1</f>
            </strRef>
          </tx>
          <spPr>
            <a:ln xmlns:a="http://schemas.openxmlformats.org/drawingml/2006/main">
              <a:solidFill>
                <a:srgbClr val="FF8C00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val>
            <numRef>
              <f>'Simulation'!$F$2:$F$301</f>
            </numRef>
          </val>
        </ser>
        <ser>
          <idx val="3"/>
          <order val="3"/>
          <tx>
            <strRef>
              <f>'Simulation'!I1</f>
            </strRef>
          </tx>
          <spPr>
            <a:ln xmlns:a="http://schemas.openxmlformats.org/drawingml/2006/main">
              <a:solidFill>
                <a:srgbClr val="C00000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val>
            <numRef>
              <f>'Simulation'!$I$2:$I$301</f>
            </numRef>
          </val>
        </ser>
        <axId val="10"/>
        <axId val="100"/>
      </lineChart>
      <catAx>
        <axId val="10"/>
        <scaling>
          <orientation val="minMax"/>
        </scaling>
        <axPos val="l"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Month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Capture Price (EUR/MWh)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250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P50/P90/P99 at Key Project Horizons — DK1 Primary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'Simulation'!L2</f>
            </strRef>
          </tx>
          <spPr>
            <a:solidFill xmlns:a="http://schemas.openxmlformats.org/drawingml/2006/main">
              <a:srgbClr val="2E75B6"/>
            </a:solidFill>
            <a:ln xmlns:a="http://schemas.openxmlformats.org/drawingml/2006/main">
              <a:prstDash val="solid"/>
            </a:ln>
          </spPr>
          <cat>
            <numRef>
              <f>'Simulation'!$K$3:$K$7</f>
            </numRef>
          </cat>
          <val>
            <numRef>
              <f>'Simulation'!$L$3:$L$7</f>
            </numRef>
          </val>
        </ser>
        <ser>
          <idx val="1"/>
          <order val="1"/>
          <tx>
            <strRef>
              <f>'Simulation'!M2</f>
            </strRef>
          </tx>
          <spPr>
            <a:solidFill xmlns:a="http://schemas.openxmlformats.org/drawingml/2006/main">
              <a:srgbClr val="FF8C00"/>
            </a:solidFill>
            <a:ln xmlns:a="http://schemas.openxmlformats.org/drawingml/2006/main">
              <a:prstDash val="solid"/>
            </a:ln>
          </spPr>
          <cat>
            <numRef>
              <f>'Simulation'!$K$3:$K$7</f>
            </numRef>
          </cat>
          <val>
            <numRef>
              <f>'Simulation'!$M$3:$M$7</f>
            </numRef>
          </val>
        </ser>
        <ser>
          <idx val="2"/>
          <order val="2"/>
          <tx>
            <strRef>
              <f>'Simulation'!N2</f>
            </strRef>
          </tx>
          <spPr>
            <a:solidFill xmlns:a="http://schemas.openxmlformats.org/drawingml/2006/main">
              <a:srgbClr val="C00000"/>
            </a:solidFill>
            <a:ln xmlns:a="http://schemas.openxmlformats.org/drawingml/2006/main">
              <a:prstDash val="solid"/>
            </a:ln>
          </spPr>
          <cat>
            <numRef>
              <f>'Simulation'!$K$3:$K$7</f>
            </numRef>
          </cat>
          <val>
            <numRef>
              <f>'Simulation'!$N$3:$N$7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Project Year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Capture Price (EUR/MWh)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251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MC Simulation - DK1 P50/P90/P99 Capture Price Paths</a:t>
            </a:r>
          </a:p>
        </rich>
      </tx>
    </title>
    <plotArea>
      <lineChart>
        <grouping val="standard"/>
        <ser>
          <idx val="0"/>
          <order val="0"/>
          <tx>
            <strRef>
              <f>'Simulation'!C1</f>
            </strRef>
          </tx>
          <spPr>
            <a:ln xmlns:a="http://schemas.openxmlformats.org/drawingml/2006/main">
              <a:solidFill>
                <a:srgbClr val="70AD47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val>
            <numRef>
              <f>'Simulation'!$C$2:$C$301</f>
            </numRef>
          </val>
        </ser>
        <ser>
          <idx val="1"/>
          <order val="1"/>
          <tx>
            <strRef>
              <f>'Simulation'!D1</f>
            </strRef>
          </tx>
          <spPr>
            <a:ln xmlns:a="http://schemas.openxmlformats.org/drawingml/2006/main">
              <a:solidFill>
                <a:srgbClr val="2E75B6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val>
            <numRef>
              <f>'Simulation'!$D$2:$D$301</f>
            </numRef>
          </val>
        </ser>
        <ser>
          <idx val="2"/>
          <order val="2"/>
          <tx>
            <strRef>
              <f>'Simulation'!F1</f>
            </strRef>
          </tx>
          <spPr>
            <a:ln xmlns:a="http://schemas.openxmlformats.org/drawingml/2006/main">
              <a:solidFill>
                <a:srgbClr val="FF8C00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val>
            <numRef>
              <f>'Simulation'!$F$2:$F$301</f>
            </numRef>
          </val>
        </ser>
        <ser>
          <idx val="3"/>
          <order val="3"/>
          <tx>
            <strRef>
              <f>'Simulation'!I1</f>
            </strRef>
          </tx>
          <spPr>
            <a:ln xmlns:a="http://schemas.openxmlformats.org/drawingml/2006/main">
              <a:solidFill>
                <a:srgbClr val="C00000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val>
            <numRef>
              <f>'Simulation'!$I$2:$I$301</f>
            </numRef>
          </val>
        </ser>
        <axId val="10"/>
        <axId val="100"/>
      </lineChart>
      <catAx>
        <axId val="10"/>
        <scaling>
          <orientation val="minMax"/>
        </scaling>
        <axPos val="l"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Month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Capture Price (EUR/MWh)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252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P50/P90/P99 at Key Project Horizons — DK1 Primary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'Simulation'!L2</f>
            </strRef>
          </tx>
          <spPr>
            <a:solidFill xmlns:a="http://schemas.openxmlformats.org/drawingml/2006/main">
              <a:srgbClr val="2E75B6"/>
            </a:solidFill>
            <a:ln xmlns:a="http://schemas.openxmlformats.org/drawingml/2006/main">
              <a:prstDash val="solid"/>
            </a:ln>
          </spPr>
          <cat>
            <numRef>
              <f>'Simulation'!$K$3:$K$7</f>
            </numRef>
          </cat>
          <val>
            <numRef>
              <f>'Simulation'!$L$3:$L$7</f>
            </numRef>
          </val>
        </ser>
        <ser>
          <idx val="1"/>
          <order val="1"/>
          <tx>
            <strRef>
              <f>'Simulation'!M2</f>
            </strRef>
          </tx>
          <spPr>
            <a:solidFill xmlns:a="http://schemas.openxmlformats.org/drawingml/2006/main">
              <a:srgbClr val="FF8C00"/>
            </a:solidFill>
            <a:ln xmlns:a="http://schemas.openxmlformats.org/drawingml/2006/main">
              <a:prstDash val="solid"/>
            </a:ln>
          </spPr>
          <cat>
            <numRef>
              <f>'Simulation'!$K$3:$K$7</f>
            </numRef>
          </cat>
          <val>
            <numRef>
              <f>'Simulation'!$M$3:$M$7</f>
            </numRef>
          </val>
        </ser>
        <ser>
          <idx val="2"/>
          <order val="2"/>
          <tx>
            <strRef>
              <f>'Simulation'!N2</f>
            </strRef>
          </tx>
          <spPr>
            <a:solidFill xmlns:a="http://schemas.openxmlformats.org/drawingml/2006/main">
              <a:srgbClr val="C00000"/>
            </a:solidFill>
            <a:ln xmlns:a="http://schemas.openxmlformats.org/drawingml/2006/main">
              <a:prstDash val="solid"/>
            </a:ln>
          </spPr>
          <cat>
            <numRef>
              <f>'Simulation'!$K$3:$K$7</f>
            </numRef>
          </cat>
          <val>
            <numRef>
              <f>'Simulation'!$N$3:$N$7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Project Year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Capture Price (EUR/MWh)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253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MC Simulation - DK1 P50/P90/P99 Capture Price Paths</a:t>
            </a:r>
          </a:p>
        </rich>
      </tx>
    </title>
    <plotArea>
      <lineChart>
        <grouping val="standard"/>
        <ser>
          <idx val="0"/>
          <order val="0"/>
          <tx>
            <strRef>
              <f>'Simulation'!C1</f>
            </strRef>
          </tx>
          <spPr>
            <a:ln xmlns:a="http://schemas.openxmlformats.org/drawingml/2006/main">
              <a:solidFill>
                <a:srgbClr val="70AD47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val>
            <numRef>
              <f>'Simulation'!$C$2:$C$301</f>
            </numRef>
          </val>
        </ser>
        <ser>
          <idx val="1"/>
          <order val="1"/>
          <tx>
            <strRef>
              <f>'Simulation'!D1</f>
            </strRef>
          </tx>
          <spPr>
            <a:ln xmlns:a="http://schemas.openxmlformats.org/drawingml/2006/main">
              <a:solidFill>
                <a:srgbClr val="2E75B6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val>
            <numRef>
              <f>'Simulation'!$D$2:$D$301</f>
            </numRef>
          </val>
        </ser>
        <ser>
          <idx val="2"/>
          <order val="2"/>
          <tx>
            <strRef>
              <f>'Simulation'!F1</f>
            </strRef>
          </tx>
          <spPr>
            <a:ln xmlns:a="http://schemas.openxmlformats.org/drawingml/2006/main">
              <a:solidFill>
                <a:srgbClr val="FF8C00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val>
            <numRef>
              <f>'Simulation'!$F$2:$F$301</f>
            </numRef>
          </val>
        </ser>
        <ser>
          <idx val="3"/>
          <order val="3"/>
          <tx>
            <strRef>
              <f>'Simulation'!I1</f>
            </strRef>
          </tx>
          <spPr>
            <a:ln xmlns:a="http://schemas.openxmlformats.org/drawingml/2006/main">
              <a:solidFill>
                <a:srgbClr val="C00000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val>
            <numRef>
              <f>'Simulation'!$I$2:$I$301</f>
            </numRef>
          </val>
        </ser>
        <axId val="10"/>
        <axId val="100"/>
      </lineChart>
      <catAx>
        <axId val="10"/>
        <scaling>
          <orientation val="minMax"/>
        </scaling>
        <axPos val="l"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Month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Capture Price (EUR/MWh)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254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P50/P90/P99 at Key Project Horizons — DK1 Primary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'Simulation'!L2</f>
            </strRef>
          </tx>
          <spPr>
            <a:solidFill xmlns:a="http://schemas.openxmlformats.org/drawingml/2006/main">
              <a:srgbClr val="2E75B6"/>
            </a:solidFill>
            <a:ln xmlns:a="http://schemas.openxmlformats.org/drawingml/2006/main">
              <a:prstDash val="solid"/>
            </a:ln>
          </spPr>
          <cat>
            <numRef>
              <f>'Simulation'!$K$3:$K$7</f>
            </numRef>
          </cat>
          <val>
            <numRef>
              <f>'Simulation'!$L$3:$L$7</f>
            </numRef>
          </val>
        </ser>
        <ser>
          <idx val="1"/>
          <order val="1"/>
          <tx>
            <strRef>
              <f>'Simulation'!M2</f>
            </strRef>
          </tx>
          <spPr>
            <a:solidFill xmlns:a="http://schemas.openxmlformats.org/drawingml/2006/main">
              <a:srgbClr val="FF8C00"/>
            </a:solidFill>
            <a:ln xmlns:a="http://schemas.openxmlformats.org/drawingml/2006/main">
              <a:prstDash val="solid"/>
            </a:ln>
          </spPr>
          <cat>
            <numRef>
              <f>'Simulation'!$K$3:$K$7</f>
            </numRef>
          </cat>
          <val>
            <numRef>
              <f>'Simulation'!$M$3:$M$7</f>
            </numRef>
          </val>
        </ser>
        <ser>
          <idx val="2"/>
          <order val="2"/>
          <tx>
            <strRef>
              <f>'Simulation'!N2</f>
            </strRef>
          </tx>
          <spPr>
            <a:solidFill xmlns:a="http://schemas.openxmlformats.org/drawingml/2006/main">
              <a:srgbClr val="C00000"/>
            </a:solidFill>
            <a:ln xmlns:a="http://schemas.openxmlformats.org/drawingml/2006/main">
              <a:prstDash val="solid"/>
            </a:ln>
          </spPr>
          <cat>
            <numRef>
              <f>'Simulation'!$K$3:$K$7</f>
            </numRef>
          </cat>
          <val>
            <numRef>
              <f>'Simulation'!$N$3:$N$7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Project Year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Capture Price (EUR/MWh)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255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MC Simulation - DK1 P50/P90/P99 Capture Price Paths</a:t>
            </a:r>
          </a:p>
        </rich>
      </tx>
    </title>
    <plotArea>
      <lineChart>
        <grouping val="standard"/>
        <ser>
          <idx val="0"/>
          <order val="0"/>
          <tx>
            <strRef>
              <f>'Simulation'!C1</f>
            </strRef>
          </tx>
          <spPr>
            <a:ln xmlns:a="http://schemas.openxmlformats.org/drawingml/2006/main">
              <a:solidFill>
                <a:srgbClr val="70AD47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val>
            <numRef>
              <f>'Simulation'!$C$2:$C$301</f>
            </numRef>
          </val>
        </ser>
        <ser>
          <idx val="1"/>
          <order val="1"/>
          <tx>
            <strRef>
              <f>'Simulation'!D1</f>
            </strRef>
          </tx>
          <spPr>
            <a:ln xmlns:a="http://schemas.openxmlformats.org/drawingml/2006/main">
              <a:solidFill>
                <a:srgbClr val="2E75B6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val>
            <numRef>
              <f>'Simulation'!$D$2:$D$301</f>
            </numRef>
          </val>
        </ser>
        <ser>
          <idx val="2"/>
          <order val="2"/>
          <tx>
            <strRef>
              <f>'Simulation'!F1</f>
            </strRef>
          </tx>
          <spPr>
            <a:ln xmlns:a="http://schemas.openxmlformats.org/drawingml/2006/main">
              <a:solidFill>
                <a:srgbClr val="FF8C00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val>
            <numRef>
              <f>'Simulation'!$F$2:$F$301</f>
            </numRef>
          </val>
        </ser>
        <ser>
          <idx val="3"/>
          <order val="3"/>
          <tx>
            <strRef>
              <f>'Simulation'!I1</f>
            </strRef>
          </tx>
          <spPr>
            <a:ln xmlns:a="http://schemas.openxmlformats.org/drawingml/2006/main">
              <a:solidFill>
                <a:srgbClr val="C00000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val>
            <numRef>
              <f>'Simulation'!$I$2:$I$301</f>
            </numRef>
          </val>
        </ser>
        <axId val="10"/>
        <axId val="100"/>
      </lineChart>
      <catAx>
        <axId val="10"/>
        <scaling>
          <orientation val="minMax"/>
        </scaling>
        <axPos val="l"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Month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Capture Price (EUR/MWh)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256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P50/P90/P99 at Key Project Horizons — DK1 Primary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'Simulation'!L2</f>
            </strRef>
          </tx>
          <spPr>
            <a:solidFill xmlns:a="http://schemas.openxmlformats.org/drawingml/2006/main">
              <a:srgbClr val="2E75B6"/>
            </a:solidFill>
            <a:ln xmlns:a="http://schemas.openxmlformats.org/drawingml/2006/main">
              <a:prstDash val="solid"/>
            </a:ln>
          </spPr>
          <cat>
            <numRef>
              <f>'Simulation'!$K$3:$K$7</f>
            </numRef>
          </cat>
          <val>
            <numRef>
              <f>'Simulation'!$L$3:$L$7</f>
            </numRef>
          </val>
        </ser>
        <ser>
          <idx val="1"/>
          <order val="1"/>
          <tx>
            <strRef>
              <f>'Simulation'!M2</f>
            </strRef>
          </tx>
          <spPr>
            <a:solidFill xmlns:a="http://schemas.openxmlformats.org/drawingml/2006/main">
              <a:srgbClr val="FF8C00"/>
            </a:solidFill>
            <a:ln xmlns:a="http://schemas.openxmlformats.org/drawingml/2006/main">
              <a:prstDash val="solid"/>
            </a:ln>
          </spPr>
          <cat>
            <numRef>
              <f>'Simulation'!$K$3:$K$7</f>
            </numRef>
          </cat>
          <val>
            <numRef>
              <f>'Simulation'!$M$3:$M$7</f>
            </numRef>
          </val>
        </ser>
        <ser>
          <idx val="2"/>
          <order val="2"/>
          <tx>
            <strRef>
              <f>'Simulation'!N2</f>
            </strRef>
          </tx>
          <spPr>
            <a:solidFill xmlns:a="http://schemas.openxmlformats.org/drawingml/2006/main">
              <a:srgbClr val="C00000"/>
            </a:solidFill>
            <a:ln xmlns:a="http://schemas.openxmlformats.org/drawingml/2006/main">
              <a:prstDash val="solid"/>
            </a:ln>
          </spPr>
          <cat>
            <numRef>
              <f>'Simulation'!$K$3:$K$7</f>
            </numRef>
          </cat>
          <val>
            <numRef>
              <f>'Simulation'!$N$3:$N$7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Project Year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Capture Price (EUR/MWh)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257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MC Simulation - DK1 P50/P90/P99 Capture Price Paths</a:t>
            </a:r>
          </a:p>
        </rich>
      </tx>
    </title>
    <plotArea>
      <lineChart>
        <grouping val="standard"/>
        <ser>
          <idx val="0"/>
          <order val="0"/>
          <tx>
            <strRef>
              <f>'Simulation'!C1</f>
            </strRef>
          </tx>
          <spPr>
            <a:ln xmlns:a="http://schemas.openxmlformats.org/drawingml/2006/main">
              <a:solidFill>
                <a:srgbClr val="70AD47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val>
            <numRef>
              <f>'Simulation'!$C$2:$C$301</f>
            </numRef>
          </val>
        </ser>
        <ser>
          <idx val="1"/>
          <order val="1"/>
          <tx>
            <strRef>
              <f>'Simulation'!D1</f>
            </strRef>
          </tx>
          <spPr>
            <a:ln xmlns:a="http://schemas.openxmlformats.org/drawingml/2006/main">
              <a:solidFill>
                <a:srgbClr val="2E75B6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val>
            <numRef>
              <f>'Simulation'!$D$2:$D$301</f>
            </numRef>
          </val>
        </ser>
        <ser>
          <idx val="2"/>
          <order val="2"/>
          <tx>
            <strRef>
              <f>'Simulation'!F1</f>
            </strRef>
          </tx>
          <spPr>
            <a:ln xmlns:a="http://schemas.openxmlformats.org/drawingml/2006/main">
              <a:solidFill>
                <a:srgbClr val="FF8C00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val>
            <numRef>
              <f>'Simulation'!$F$2:$F$301</f>
            </numRef>
          </val>
        </ser>
        <ser>
          <idx val="3"/>
          <order val="3"/>
          <tx>
            <strRef>
              <f>'Simulation'!I1</f>
            </strRef>
          </tx>
          <spPr>
            <a:ln xmlns:a="http://schemas.openxmlformats.org/drawingml/2006/main">
              <a:solidFill>
                <a:srgbClr val="C00000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val>
            <numRef>
              <f>'Simulation'!$I$2:$I$301</f>
            </numRef>
          </val>
        </ser>
        <axId val="10"/>
        <axId val="100"/>
      </lineChart>
      <catAx>
        <axId val="10"/>
        <scaling>
          <orientation val="minMax"/>
        </scaling>
        <axPos val="l"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Month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Capture Price (EUR/MWh)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258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P50/P90/P99 at Key Project Horizons — DK1 Primary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'Simulation'!L2</f>
            </strRef>
          </tx>
          <spPr>
            <a:solidFill xmlns:a="http://schemas.openxmlformats.org/drawingml/2006/main">
              <a:srgbClr val="2E75B6"/>
            </a:solidFill>
            <a:ln xmlns:a="http://schemas.openxmlformats.org/drawingml/2006/main">
              <a:prstDash val="solid"/>
            </a:ln>
          </spPr>
          <cat>
            <numRef>
              <f>'Simulation'!$K$3:$K$7</f>
            </numRef>
          </cat>
          <val>
            <numRef>
              <f>'Simulation'!$L$3:$L$7</f>
            </numRef>
          </val>
        </ser>
        <ser>
          <idx val="1"/>
          <order val="1"/>
          <tx>
            <strRef>
              <f>'Simulation'!M2</f>
            </strRef>
          </tx>
          <spPr>
            <a:solidFill xmlns:a="http://schemas.openxmlformats.org/drawingml/2006/main">
              <a:srgbClr val="FF8C00"/>
            </a:solidFill>
            <a:ln xmlns:a="http://schemas.openxmlformats.org/drawingml/2006/main">
              <a:prstDash val="solid"/>
            </a:ln>
          </spPr>
          <cat>
            <numRef>
              <f>'Simulation'!$K$3:$K$7</f>
            </numRef>
          </cat>
          <val>
            <numRef>
              <f>'Simulation'!$M$3:$M$7</f>
            </numRef>
          </val>
        </ser>
        <ser>
          <idx val="2"/>
          <order val="2"/>
          <tx>
            <strRef>
              <f>'Simulation'!N2</f>
            </strRef>
          </tx>
          <spPr>
            <a:solidFill xmlns:a="http://schemas.openxmlformats.org/drawingml/2006/main">
              <a:srgbClr val="C00000"/>
            </a:solidFill>
            <a:ln xmlns:a="http://schemas.openxmlformats.org/drawingml/2006/main">
              <a:prstDash val="solid"/>
            </a:ln>
          </spPr>
          <cat>
            <numRef>
              <f>'Simulation'!$K$3:$K$7</f>
            </numRef>
          </cat>
          <val>
            <numRef>
              <f>'Simulation'!$N$3:$N$7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Project Year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Capture Price (EUR/MWh)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259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MC Simulation - DK1 P50/P90/P99 Capture Price Paths</a:t>
            </a:r>
          </a:p>
        </rich>
      </tx>
    </title>
    <plotArea>
      <lineChart>
        <grouping val="standard"/>
        <ser>
          <idx val="0"/>
          <order val="0"/>
          <tx>
            <strRef>
              <f>'Simulation'!C1</f>
            </strRef>
          </tx>
          <spPr>
            <a:ln xmlns:a="http://schemas.openxmlformats.org/drawingml/2006/main">
              <a:solidFill>
                <a:srgbClr val="70AD47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val>
            <numRef>
              <f>'Simulation'!$C$2:$C$301</f>
            </numRef>
          </val>
        </ser>
        <ser>
          <idx val="1"/>
          <order val="1"/>
          <tx>
            <strRef>
              <f>'Simulation'!D1</f>
            </strRef>
          </tx>
          <spPr>
            <a:ln xmlns:a="http://schemas.openxmlformats.org/drawingml/2006/main">
              <a:solidFill>
                <a:srgbClr val="2E75B6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val>
            <numRef>
              <f>'Simulation'!$D$2:$D$301</f>
            </numRef>
          </val>
        </ser>
        <ser>
          <idx val="2"/>
          <order val="2"/>
          <tx>
            <strRef>
              <f>'Simulation'!F1</f>
            </strRef>
          </tx>
          <spPr>
            <a:ln xmlns:a="http://schemas.openxmlformats.org/drawingml/2006/main">
              <a:solidFill>
                <a:srgbClr val="FF8C00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val>
            <numRef>
              <f>'Simulation'!$F$2:$F$301</f>
            </numRef>
          </val>
        </ser>
        <ser>
          <idx val="3"/>
          <order val="3"/>
          <tx>
            <strRef>
              <f>'Simulation'!I1</f>
            </strRef>
          </tx>
          <spPr>
            <a:ln xmlns:a="http://schemas.openxmlformats.org/drawingml/2006/main">
              <a:solidFill>
                <a:srgbClr val="C00000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val>
            <numRef>
              <f>'Simulation'!$I$2:$I$301</f>
            </numRef>
          </val>
        </ser>
        <axId val="10"/>
        <axId val="100"/>
      </lineChart>
      <catAx>
        <axId val="10"/>
        <scaling>
          <orientation val="minMax"/>
        </scaling>
        <axPos val="l"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Month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Capture Price (EUR/MWh)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260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P50/P90/P99 at Key Project Horizons — DK1 Primary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'Simulation'!L2</f>
            </strRef>
          </tx>
          <spPr>
            <a:solidFill xmlns:a="http://schemas.openxmlformats.org/drawingml/2006/main">
              <a:srgbClr val="2E75B6"/>
            </a:solidFill>
            <a:ln xmlns:a="http://schemas.openxmlformats.org/drawingml/2006/main">
              <a:prstDash val="solid"/>
            </a:ln>
          </spPr>
          <cat>
            <numRef>
              <f>'Simulation'!$K$3:$K$7</f>
            </numRef>
          </cat>
          <val>
            <numRef>
              <f>'Simulation'!$L$3:$L$7</f>
            </numRef>
          </val>
        </ser>
        <ser>
          <idx val="1"/>
          <order val="1"/>
          <tx>
            <strRef>
              <f>'Simulation'!M2</f>
            </strRef>
          </tx>
          <spPr>
            <a:solidFill xmlns:a="http://schemas.openxmlformats.org/drawingml/2006/main">
              <a:srgbClr val="FF8C00"/>
            </a:solidFill>
            <a:ln xmlns:a="http://schemas.openxmlformats.org/drawingml/2006/main">
              <a:prstDash val="solid"/>
            </a:ln>
          </spPr>
          <cat>
            <numRef>
              <f>'Simulation'!$K$3:$K$7</f>
            </numRef>
          </cat>
          <val>
            <numRef>
              <f>'Simulation'!$M$3:$M$7</f>
            </numRef>
          </val>
        </ser>
        <ser>
          <idx val="2"/>
          <order val="2"/>
          <tx>
            <strRef>
              <f>'Simulation'!N2</f>
            </strRef>
          </tx>
          <spPr>
            <a:solidFill xmlns:a="http://schemas.openxmlformats.org/drawingml/2006/main">
              <a:srgbClr val="C00000"/>
            </a:solidFill>
            <a:ln xmlns:a="http://schemas.openxmlformats.org/drawingml/2006/main">
              <a:prstDash val="solid"/>
            </a:ln>
          </spPr>
          <cat>
            <numRef>
              <f>'Simulation'!$K$3:$K$7</f>
            </numRef>
          </cat>
          <val>
            <numRef>
              <f>'Simulation'!$N$3:$N$7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Project Year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Capture Price (EUR/MWh)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Relationship Type="http://schemas.openxmlformats.org/officeDocument/2006/relationships/chart" Target="/xl/charts/chart2.xml" Id="rId2"/><Relationship Type="http://schemas.openxmlformats.org/officeDocument/2006/relationships/chart" Target="/xl/charts/chart3.xml" Id="rId3"/><Relationship Type="http://schemas.openxmlformats.org/officeDocument/2006/relationships/chart" Target="/xl/charts/chart4.xml" Id="rId4"/><Relationship Type="http://schemas.openxmlformats.org/officeDocument/2006/relationships/chart" Target="/xl/charts/chart5.xml" Id="rId5"/><Relationship Type="http://schemas.openxmlformats.org/officeDocument/2006/relationships/chart" Target="/xl/charts/chart6.xml" Id="rId6"/><Relationship Type="http://schemas.openxmlformats.org/officeDocument/2006/relationships/chart" Target="/xl/charts/chart7.xml" Id="rId7"/><Relationship Type="http://schemas.openxmlformats.org/officeDocument/2006/relationships/chart" Target="/xl/charts/chart8.xml" Id="rId8"/><Relationship Type="http://schemas.openxmlformats.org/officeDocument/2006/relationships/chart" Target="/xl/charts/chart9.xml" Id="rId9"/><Relationship Type="http://schemas.openxmlformats.org/officeDocument/2006/relationships/chart" Target="/xl/charts/chart10.xml" Id="rId10"/><Relationship Type="http://schemas.openxmlformats.org/officeDocument/2006/relationships/chart" Target="/xl/charts/chart11.xml" Id="rId11"/><Relationship Type="http://schemas.openxmlformats.org/officeDocument/2006/relationships/chart" Target="/xl/charts/chart12.xml" Id="rId12"/><Relationship Type="http://schemas.openxmlformats.org/officeDocument/2006/relationships/chart" Target="/xl/charts/chart13.xml" Id="rId13"/><Relationship Type="http://schemas.openxmlformats.org/officeDocument/2006/relationships/chart" Target="/xl/charts/chart14.xml" Id="rId14"/><Relationship Type="http://schemas.openxmlformats.org/officeDocument/2006/relationships/chart" Target="/xl/charts/chart15.xml" Id="rId15"/><Relationship Type="http://schemas.openxmlformats.org/officeDocument/2006/relationships/chart" Target="/xl/charts/chart16.xml" Id="rId16"/><Relationship Type="http://schemas.openxmlformats.org/officeDocument/2006/relationships/chart" Target="/xl/charts/chart17.xml" Id="rId17"/><Relationship Type="http://schemas.openxmlformats.org/officeDocument/2006/relationships/chart" Target="/xl/charts/chart18.xml" Id="rId18"/><Relationship Type="http://schemas.openxmlformats.org/officeDocument/2006/relationships/chart" Target="/xl/charts/chart19.xml" Id="rId19"/><Relationship Type="http://schemas.openxmlformats.org/officeDocument/2006/relationships/chart" Target="/xl/charts/chart20.xml" Id="rId20"/><Relationship Type="http://schemas.openxmlformats.org/officeDocument/2006/relationships/chart" Target="/xl/charts/chart21.xml" Id="rId21"/><Relationship Type="http://schemas.openxmlformats.org/officeDocument/2006/relationships/chart" Target="/xl/charts/chart22.xml" Id="rId22"/><Relationship Type="http://schemas.openxmlformats.org/officeDocument/2006/relationships/chart" Target="/xl/charts/chart23.xml" Id="rId23"/><Relationship Type="http://schemas.openxmlformats.org/officeDocument/2006/relationships/chart" Target="/xl/charts/chart24.xml" Id="rId24"/><Relationship Type="http://schemas.openxmlformats.org/officeDocument/2006/relationships/chart" Target="/xl/charts/chart25.xml" Id="rId25"/><Relationship Type="http://schemas.openxmlformats.org/officeDocument/2006/relationships/chart" Target="/xl/charts/chart26.xml" Id="rId26"/><Relationship Type="http://schemas.openxmlformats.org/officeDocument/2006/relationships/chart" Target="/xl/charts/chart27.xml" Id="rId27"/><Relationship Type="http://schemas.openxmlformats.org/officeDocument/2006/relationships/chart" Target="/xl/charts/chart28.xml" Id="rId28"/><Relationship Type="http://schemas.openxmlformats.org/officeDocument/2006/relationships/chart" Target="/xl/charts/chart29.xml" Id="rId29"/><Relationship Type="http://schemas.openxmlformats.org/officeDocument/2006/relationships/chart" Target="/xl/charts/chart30.xml" Id="rId30"/><Relationship Type="http://schemas.openxmlformats.org/officeDocument/2006/relationships/chart" Target="/xl/charts/chart31.xml" Id="rId31"/><Relationship Type="http://schemas.openxmlformats.org/officeDocument/2006/relationships/chart" Target="/xl/charts/chart32.xml" Id="rId32"/><Relationship Type="http://schemas.openxmlformats.org/officeDocument/2006/relationships/chart" Target="/xl/charts/chart33.xml" Id="rId33"/><Relationship Type="http://schemas.openxmlformats.org/officeDocument/2006/relationships/chart" Target="/xl/charts/chart34.xml" Id="rId34"/><Relationship Type="http://schemas.openxmlformats.org/officeDocument/2006/relationships/chart" Target="/xl/charts/chart35.xml" Id="rId35"/><Relationship Type="http://schemas.openxmlformats.org/officeDocument/2006/relationships/chart" Target="/xl/charts/chart36.xml" Id="rId36"/><Relationship Type="http://schemas.openxmlformats.org/officeDocument/2006/relationships/chart" Target="/xl/charts/chart37.xml" Id="rId37"/><Relationship Type="http://schemas.openxmlformats.org/officeDocument/2006/relationships/chart" Target="/xl/charts/chart38.xml" Id="rId38"/><Relationship Type="http://schemas.openxmlformats.org/officeDocument/2006/relationships/chart" Target="/xl/charts/chart39.xml" Id="rId39"/><Relationship Type="http://schemas.openxmlformats.org/officeDocument/2006/relationships/chart" Target="/xl/charts/chart40.xml" Id="rId40"/><Relationship Type="http://schemas.openxmlformats.org/officeDocument/2006/relationships/chart" Target="/xl/charts/chart41.xml" Id="rId41"/><Relationship Type="http://schemas.openxmlformats.org/officeDocument/2006/relationships/chart" Target="/xl/charts/chart42.xml" Id="rId42"/><Relationship Type="http://schemas.openxmlformats.org/officeDocument/2006/relationships/chart" Target="/xl/charts/chart43.xml" Id="rId43"/><Relationship Type="http://schemas.openxmlformats.org/officeDocument/2006/relationships/chart" Target="/xl/charts/chart44.xml" Id="rId44"/><Relationship Type="http://schemas.openxmlformats.org/officeDocument/2006/relationships/chart" Target="/xl/charts/chart45.xml" Id="rId45"/><Relationship Type="http://schemas.openxmlformats.org/officeDocument/2006/relationships/chart" Target="/xl/charts/chart46.xml" Id="rId46"/><Relationship Type="http://schemas.openxmlformats.org/officeDocument/2006/relationships/chart" Target="/xl/charts/chart47.xml" Id="rId47"/><Relationship Type="http://schemas.openxmlformats.org/officeDocument/2006/relationships/chart" Target="/xl/charts/chart48.xml" Id="rId48"/><Relationship Type="http://schemas.openxmlformats.org/officeDocument/2006/relationships/chart" Target="/xl/charts/chart49.xml" Id="rId49"/><Relationship Type="http://schemas.openxmlformats.org/officeDocument/2006/relationships/chart" Target="/xl/charts/chart50.xml" Id="rId50"/><Relationship Type="http://schemas.openxmlformats.org/officeDocument/2006/relationships/chart" Target="/xl/charts/chart51.xml" Id="rId51"/><Relationship Type="http://schemas.openxmlformats.org/officeDocument/2006/relationships/chart" Target="/xl/charts/chart52.xml" Id="rId52"/><Relationship Type="http://schemas.openxmlformats.org/officeDocument/2006/relationships/chart" Target="/xl/charts/chart53.xml" Id="rId53"/><Relationship Type="http://schemas.openxmlformats.org/officeDocument/2006/relationships/chart" Target="/xl/charts/chart54.xml" Id="rId54"/><Relationship Type="http://schemas.openxmlformats.org/officeDocument/2006/relationships/chart" Target="/xl/charts/chart55.xml" Id="rId55"/><Relationship Type="http://schemas.openxmlformats.org/officeDocument/2006/relationships/chart" Target="/xl/charts/chart56.xml" Id="rId56"/><Relationship Type="http://schemas.openxmlformats.org/officeDocument/2006/relationships/chart" Target="/xl/charts/chart57.xml" Id="rId57"/><Relationship Type="http://schemas.openxmlformats.org/officeDocument/2006/relationships/chart" Target="/xl/charts/chart58.xml" Id="rId58"/><Relationship Type="http://schemas.openxmlformats.org/officeDocument/2006/relationships/chart" Target="/xl/charts/chart59.xml" Id="rId59"/><Relationship Type="http://schemas.openxmlformats.org/officeDocument/2006/relationships/chart" Target="/xl/charts/chart60.xml" Id="rId60"/><Relationship Type="http://schemas.openxmlformats.org/officeDocument/2006/relationships/chart" Target="/xl/charts/chart61.xml" Id="rId61"/><Relationship Type="http://schemas.openxmlformats.org/officeDocument/2006/relationships/chart" Target="/xl/charts/chart62.xml" Id="rId62"/></Relationships>
</file>

<file path=xl/drawings/_rels/drawing2.xml.rels><Relationships xmlns="http://schemas.openxmlformats.org/package/2006/relationships"><Relationship Type="http://schemas.openxmlformats.org/officeDocument/2006/relationships/chart" Target="/xl/charts/chart63.xml" Id="rId1"/><Relationship Type="http://schemas.openxmlformats.org/officeDocument/2006/relationships/chart" Target="/xl/charts/chart64.xml" Id="rId2"/><Relationship Type="http://schemas.openxmlformats.org/officeDocument/2006/relationships/chart" Target="/xl/charts/chart65.xml" Id="rId3"/><Relationship Type="http://schemas.openxmlformats.org/officeDocument/2006/relationships/chart" Target="/xl/charts/chart66.xml" Id="rId4"/><Relationship Type="http://schemas.openxmlformats.org/officeDocument/2006/relationships/chart" Target="/xl/charts/chart67.xml" Id="rId5"/><Relationship Type="http://schemas.openxmlformats.org/officeDocument/2006/relationships/chart" Target="/xl/charts/chart68.xml" Id="rId6"/><Relationship Type="http://schemas.openxmlformats.org/officeDocument/2006/relationships/chart" Target="/xl/charts/chart69.xml" Id="rId7"/><Relationship Type="http://schemas.openxmlformats.org/officeDocument/2006/relationships/chart" Target="/xl/charts/chart70.xml" Id="rId8"/><Relationship Type="http://schemas.openxmlformats.org/officeDocument/2006/relationships/chart" Target="/xl/charts/chart71.xml" Id="rId9"/><Relationship Type="http://schemas.openxmlformats.org/officeDocument/2006/relationships/chart" Target="/xl/charts/chart72.xml" Id="rId10"/><Relationship Type="http://schemas.openxmlformats.org/officeDocument/2006/relationships/chart" Target="/xl/charts/chart73.xml" Id="rId11"/><Relationship Type="http://schemas.openxmlformats.org/officeDocument/2006/relationships/chart" Target="/xl/charts/chart74.xml" Id="rId12"/><Relationship Type="http://schemas.openxmlformats.org/officeDocument/2006/relationships/chart" Target="/xl/charts/chart75.xml" Id="rId13"/><Relationship Type="http://schemas.openxmlformats.org/officeDocument/2006/relationships/chart" Target="/xl/charts/chart76.xml" Id="rId14"/><Relationship Type="http://schemas.openxmlformats.org/officeDocument/2006/relationships/chart" Target="/xl/charts/chart77.xml" Id="rId15"/><Relationship Type="http://schemas.openxmlformats.org/officeDocument/2006/relationships/chart" Target="/xl/charts/chart78.xml" Id="rId16"/><Relationship Type="http://schemas.openxmlformats.org/officeDocument/2006/relationships/chart" Target="/xl/charts/chart79.xml" Id="rId17"/><Relationship Type="http://schemas.openxmlformats.org/officeDocument/2006/relationships/chart" Target="/xl/charts/chart80.xml" Id="rId18"/><Relationship Type="http://schemas.openxmlformats.org/officeDocument/2006/relationships/chart" Target="/xl/charts/chart81.xml" Id="rId19"/><Relationship Type="http://schemas.openxmlformats.org/officeDocument/2006/relationships/chart" Target="/xl/charts/chart82.xml" Id="rId20"/><Relationship Type="http://schemas.openxmlformats.org/officeDocument/2006/relationships/chart" Target="/xl/charts/chart83.xml" Id="rId21"/><Relationship Type="http://schemas.openxmlformats.org/officeDocument/2006/relationships/chart" Target="/xl/charts/chart84.xml" Id="rId22"/><Relationship Type="http://schemas.openxmlformats.org/officeDocument/2006/relationships/chart" Target="/xl/charts/chart85.xml" Id="rId23"/><Relationship Type="http://schemas.openxmlformats.org/officeDocument/2006/relationships/chart" Target="/xl/charts/chart86.xml" Id="rId24"/><Relationship Type="http://schemas.openxmlformats.org/officeDocument/2006/relationships/chart" Target="/xl/charts/chart87.xml" Id="rId25"/><Relationship Type="http://schemas.openxmlformats.org/officeDocument/2006/relationships/chart" Target="/xl/charts/chart88.xml" Id="rId26"/><Relationship Type="http://schemas.openxmlformats.org/officeDocument/2006/relationships/chart" Target="/xl/charts/chart89.xml" Id="rId27"/><Relationship Type="http://schemas.openxmlformats.org/officeDocument/2006/relationships/chart" Target="/xl/charts/chart90.xml" Id="rId28"/><Relationship Type="http://schemas.openxmlformats.org/officeDocument/2006/relationships/chart" Target="/xl/charts/chart91.xml" Id="rId29"/><Relationship Type="http://schemas.openxmlformats.org/officeDocument/2006/relationships/chart" Target="/xl/charts/chart92.xml" Id="rId30"/><Relationship Type="http://schemas.openxmlformats.org/officeDocument/2006/relationships/chart" Target="/xl/charts/chart93.xml" Id="rId31"/><Relationship Type="http://schemas.openxmlformats.org/officeDocument/2006/relationships/chart" Target="/xl/charts/chart94.xml" Id="rId32"/><Relationship Type="http://schemas.openxmlformats.org/officeDocument/2006/relationships/chart" Target="/xl/charts/chart95.xml" Id="rId33"/><Relationship Type="http://schemas.openxmlformats.org/officeDocument/2006/relationships/chart" Target="/xl/charts/chart96.xml" Id="rId34"/><Relationship Type="http://schemas.openxmlformats.org/officeDocument/2006/relationships/chart" Target="/xl/charts/chart97.xml" Id="rId35"/><Relationship Type="http://schemas.openxmlformats.org/officeDocument/2006/relationships/chart" Target="/xl/charts/chart98.xml" Id="rId36"/><Relationship Type="http://schemas.openxmlformats.org/officeDocument/2006/relationships/chart" Target="/xl/charts/chart99.xml" Id="rId37"/><Relationship Type="http://schemas.openxmlformats.org/officeDocument/2006/relationships/chart" Target="/xl/charts/chart100.xml" Id="rId38"/><Relationship Type="http://schemas.openxmlformats.org/officeDocument/2006/relationships/chart" Target="/xl/charts/chart101.xml" Id="rId39"/><Relationship Type="http://schemas.openxmlformats.org/officeDocument/2006/relationships/chart" Target="/xl/charts/chart102.xml" Id="rId40"/><Relationship Type="http://schemas.openxmlformats.org/officeDocument/2006/relationships/chart" Target="/xl/charts/chart103.xml" Id="rId41"/><Relationship Type="http://schemas.openxmlformats.org/officeDocument/2006/relationships/chart" Target="/xl/charts/chart104.xml" Id="rId42"/><Relationship Type="http://schemas.openxmlformats.org/officeDocument/2006/relationships/chart" Target="/xl/charts/chart105.xml" Id="rId43"/><Relationship Type="http://schemas.openxmlformats.org/officeDocument/2006/relationships/chart" Target="/xl/charts/chart106.xml" Id="rId44"/><Relationship Type="http://schemas.openxmlformats.org/officeDocument/2006/relationships/chart" Target="/xl/charts/chart107.xml" Id="rId45"/><Relationship Type="http://schemas.openxmlformats.org/officeDocument/2006/relationships/chart" Target="/xl/charts/chart108.xml" Id="rId46"/><Relationship Type="http://schemas.openxmlformats.org/officeDocument/2006/relationships/chart" Target="/xl/charts/chart109.xml" Id="rId47"/><Relationship Type="http://schemas.openxmlformats.org/officeDocument/2006/relationships/chart" Target="/xl/charts/chart110.xml" Id="rId48"/><Relationship Type="http://schemas.openxmlformats.org/officeDocument/2006/relationships/chart" Target="/xl/charts/chart111.xml" Id="rId49"/><Relationship Type="http://schemas.openxmlformats.org/officeDocument/2006/relationships/chart" Target="/xl/charts/chart112.xml" Id="rId50"/><Relationship Type="http://schemas.openxmlformats.org/officeDocument/2006/relationships/chart" Target="/xl/charts/chart113.xml" Id="rId51"/><Relationship Type="http://schemas.openxmlformats.org/officeDocument/2006/relationships/chart" Target="/xl/charts/chart114.xml" Id="rId52"/><Relationship Type="http://schemas.openxmlformats.org/officeDocument/2006/relationships/chart" Target="/xl/charts/chart115.xml" Id="rId53"/><Relationship Type="http://schemas.openxmlformats.org/officeDocument/2006/relationships/chart" Target="/xl/charts/chart116.xml" Id="rId54"/><Relationship Type="http://schemas.openxmlformats.org/officeDocument/2006/relationships/chart" Target="/xl/charts/chart117.xml" Id="rId55"/><Relationship Type="http://schemas.openxmlformats.org/officeDocument/2006/relationships/chart" Target="/xl/charts/chart118.xml" Id="rId56"/><Relationship Type="http://schemas.openxmlformats.org/officeDocument/2006/relationships/chart" Target="/xl/charts/chart119.xml" Id="rId57"/><Relationship Type="http://schemas.openxmlformats.org/officeDocument/2006/relationships/chart" Target="/xl/charts/chart120.xml" Id="rId58"/><Relationship Type="http://schemas.openxmlformats.org/officeDocument/2006/relationships/chart" Target="/xl/charts/chart121.xml" Id="rId59"/><Relationship Type="http://schemas.openxmlformats.org/officeDocument/2006/relationships/chart" Target="/xl/charts/chart122.xml" Id="rId60"/><Relationship Type="http://schemas.openxmlformats.org/officeDocument/2006/relationships/chart" Target="/xl/charts/chart123.xml" Id="rId61"/><Relationship Type="http://schemas.openxmlformats.org/officeDocument/2006/relationships/chart" Target="/xl/charts/chart124.xml" Id="rId62"/><Relationship Type="http://schemas.openxmlformats.org/officeDocument/2006/relationships/chart" Target="/xl/charts/chart125.xml" Id="rId63"/><Relationship Type="http://schemas.openxmlformats.org/officeDocument/2006/relationships/chart" Target="/xl/charts/chart126.xml" Id="rId64"/><Relationship Type="http://schemas.openxmlformats.org/officeDocument/2006/relationships/chart" Target="/xl/charts/chart127.xml" Id="rId65"/><Relationship Type="http://schemas.openxmlformats.org/officeDocument/2006/relationships/chart" Target="/xl/charts/chart128.xml" Id="rId66"/><Relationship Type="http://schemas.openxmlformats.org/officeDocument/2006/relationships/chart" Target="/xl/charts/chart129.xml" Id="rId67"/><Relationship Type="http://schemas.openxmlformats.org/officeDocument/2006/relationships/chart" Target="/xl/charts/chart130.xml" Id="rId68"/><Relationship Type="http://schemas.openxmlformats.org/officeDocument/2006/relationships/chart" Target="/xl/charts/chart131.xml" Id="rId69"/><Relationship Type="http://schemas.openxmlformats.org/officeDocument/2006/relationships/chart" Target="/xl/charts/chart132.xml" Id="rId70"/><Relationship Type="http://schemas.openxmlformats.org/officeDocument/2006/relationships/chart" Target="/xl/charts/chart133.xml" Id="rId71"/><Relationship Type="http://schemas.openxmlformats.org/officeDocument/2006/relationships/chart" Target="/xl/charts/chart134.xml" Id="rId72"/><Relationship Type="http://schemas.openxmlformats.org/officeDocument/2006/relationships/chart" Target="/xl/charts/chart135.xml" Id="rId73"/><Relationship Type="http://schemas.openxmlformats.org/officeDocument/2006/relationships/chart" Target="/xl/charts/chart136.xml" Id="rId74"/><Relationship Type="http://schemas.openxmlformats.org/officeDocument/2006/relationships/chart" Target="/xl/charts/chart137.xml" Id="rId75"/><Relationship Type="http://schemas.openxmlformats.org/officeDocument/2006/relationships/chart" Target="/xl/charts/chart138.xml" Id="rId76"/><Relationship Type="http://schemas.openxmlformats.org/officeDocument/2006/relationships/chart" Target="/xl/charts/chart139.xml" Id="rId77"/><Relationship Type="http://schemas.openxmlformats.org/officeDocument/2006/relationships/chart" Target="/xl/charts/chart140.xml" Id="rId78"/><Relationship Type="http://schemas.openxmlformats.org/officeDocument/2006/relationships/chart" Target="/xl/charts/chart141.xml" Id="rId79"/><Relationship Type="http://schemas.openxmlformats.org/officeDocument/2006/relationships/chart" Target="/xl/charts/chart142.xml" Id="rId80"/><Relationship Type="http://schemas.openxmlformats.org/officeDocument/2006/relationships/chart" Target="/xl/charts/chart143.xml" Id="rId81"/><Relationship Type="http://schemas.openxmlformats.org/officeDocument/2006/relationships/chart" Target="/xl/charts/chart144.xml" Id="rId82"/><Relationship Type="http://schemas.openxmlformats.org/officeDocument/2006/relationships/chart" Target="/xl/charts/chart145.xml" Id="rId83"/><Relationship Type="http://schemas.openxmlformats.org/officeDocument/2006/relationships/chart" Target="/xl/charts/chart146.xml" Id="rId84"/><Relationship Type="http://schemas.openxmlformats.org/officeDocument/2006/relationships/chart" Target="/xl/charts/chart147.xml" Id="rId85"/><Relationship Type="http://schemas.openxmlformats.org/officeDocument/2006/relationships/chart" Target="/xl/charts/chart148.xml" Id="rId86"/><Relationship Type="http://schemas.openxmlformats.org/officeDocument/2006/relationships/chart" Target="/xl/charts/chart149.xml" Id="rId87"/><Relationship Type="http://schemas.openxmlformats.org/officeDocument/2006/relationships/chart" Target="/xl/charts/chart150.xml" Id="rId88"/><Relationship Type="http://schemas.openxmlformats.org/officeDocument/2006/relationships/chart" Target="/xl/charts/chart151.xml" Id="rId89"/><Relationship Type="http://schemas.openxmlformats.org/officeDocument/2006/relationships/chart" Target="/xl/charts/chart152.xml" Id="rId90"/><Relationship Type="http://schemas.openxmlformats.org/officeDocument/2006/relationships/chart" Target="/xl/charts/chart153.xml" Id="rId91"/><Relationship Type="http://schemas.openxmlformats.org/officeDocument/2006/relationships/chart" Target="/xl/charts/chart154.xml" Id="rId92"/><Relationship Type="http://schemas.openxmlformats.org/officeDocument/2006/relationships/chart" Target="/xl/charts/chart155.xml" Id="rId93"/><Relationship Type="http://schemas.openxmlformats.org/officeDocument/2006/relationships/chart" Target="/xl/charts/chart156.xml" Id="rId94"/><Relationship Type="http://schemas.openxmlformats.org/officeDocument/2006/relationships/chart" Target="/xl/charts/chart157.xml" Id="rId95"/><Relationship Type="http://schemas.openxmlformats.org/officeDocument/2006/relationships/chart" Target="/xl/charts/chart158.xml" Id="rId96"/><Relationship Type="http://schemas.openxmlformats.org/officeDocument/2006/relationships/chart" Target="/xl/charts/chart159.xml" Id="rId97"/><Relationship Type="http://schemas.openxmlformats.org/officeDocument/2006/relationships/chart" Target="/xl/charts/chart160.xml" Id="rId98"/><Relationship Type="http://schemas.openxmlformats.org/officeDocument/2006/relationships/chart" Target="/xl/charts/chart161.xml" Id="rId99"/><Relationship Type="http://schemas.openxmlformats.org/officeDocument/2006/relationships/chart" Target="/xl/charts/chart162.xml" Id="rId100"/><Relationship Type="http://schemas.openxmlformats.org/officeDocument/2006/relationships/chart" Target="/xl/charts/chart163.xml" Id="rId101"/><Relationship Type="http://schemas.openxmlformats.org/officeDocument/2006/relationships/chart" Target="/xl/charts/chart164.xml" Id="rId102"/><Relationship Type="http://schemas.openxmlformats.org/officeDocument/2006/relationships/chart" Target="/xl/charts/chart165.xml" Id="rId103"/><Relationship Type="http://schemas.openxmlformats.org/officeDocument/2006/relationships/chart" Target="/xl/charts/chart166.xml" Id="rId104"/><Relationship Type="http://schemas.openxmlformats.org/officeDocument/2006/relationships/chart" Target="/xl/charts/chart167.xml" Id="rId105"/><Relationship Type="http://schemas.openxmlformats.org/officeDocument/2006/relationships/chart" Target="/xl/charts/chart168.xml" Id="rId106"/><Relationship Type="http://schemas.openxmlformats.org/officeDocument/2006/relationships/chart" Target="/xl/charts/chart169.xml" Id="rId107"/><Relationship Type="http://schemas.openxmlformats.org/officeDocument/2006/relationships/chart" Target="/xl/charts/chart170.xml" Id="rId108"/><Relationship Type="http://schemas.openxmlformats.org/officeDocument/2006/relationships/chart" Target="/xl/charts/chart171.xml" Id="rId109"/><Relationship Type="http://schemas.openxmlformats.org/officeDocument/2006/relationships/chart" Target="/xl/charts/chart172.xml" Id="rId110"/><Relationship Type="http://schemas.openxmlformats.org/officeDocument/2006/relationships/chart" Target="/xl/charts/chart173.xml" Id="rId111"/><Relationship Type="http://schemas.openxmlformats.org/officeDocument/2006/relationships/chart" Target="/xl/charts/chart174.xml" Id="rId112"/><Relationship Type="http://schemas.openxmlformats.org/officeDocument/2006/relationships/chart" Target="/xl/charts/chart175.xml" Id="rId113"/><Relationship Type="http://schemas.openxmlformats.org/officeDocument/2006/relationships/chart" Target="/xl/charts/chart176.xml" Id="rId114"/><Relationship Type="http://schemas.openxmlformats.org/officeDocument/2006/relationships/chart" Target="/xl/charts/chart177.xml" Id="rId115"/><Relationship Type="http://schemas.openxmlformats.org/officeDocument/2006/relationships/chart" Target="/xl/charts/chart178.xml" Id="rId116"/><Relationship Type="http://schemas.openxmlformats.org/officeDocument/2006/relationships/chart" Target="/xl/charts/chart179.xml" Id="rId117"/></Relationships>
</file>

<file path=xl/drawings/_rels/drawing3.xml.rels><Relationships xmlns="http://schemas.openxmlformats.org/package/2006/relationships"><Relationship Type="http://schemas.openxmlformats.org/officeDocument/2006/relationships/chart" Target="/xl/charts/chart180.xml" Id="rId1"/><Relationship Type="http://schemas.openxmlformats.org/officeDocument/2006/relationships/chart" Target="/xl/charts/chart181.xml" Id="rId2"/><Relationship Type="http://schemas.openxmlformats.org/officeDocument/2006/relationships/chart" Target="/xl/charts/chart182.xml" Id="rId3"/><Relationship Type="http://schemas.openxmlformats.org/officeDocument/2006/relationships/chart" Target="/xl/charts/chart183.xml" Id="rId4"/><Relationship Type="http://schemas.openxmlformats.org/officeDocument/2006/relationships/chart" Target="/xl/charts/chart184.xml" Id="rId5"/><Relationship Type="http://schemas.openxmlformats.org/officeDocument/2006/relationships/chart" Target="/xl/charts/chart185.xml" Id="rId6"/><Relationship Type="http://schemas.openxmlformats.org/officeDocument/2006/relationships/chart" Target="/xl/charts/chart186.xml" Id="rId7"/><Relationship Type="http://schemas.openxmlformats.org/officeDocument/2006/relationships/chart" Target="/xl/charts/chart187.xml" Id="rId8"/><Relationship Type="http://schemas.openxmlformats.org/officeDocument/2006/relationships/chart" Target="/xl/charts/chart188.xml" Id="rId9"/><Relationship Type="http://schemas.openxmlformats.org/officeDocument/2006/relationships/chart" Target="/xl/charts/chart189.xml" Id="rId10"/><Relationship Type="http://schemas.openxmlformats.org/officeDocument/2006/relationships/chart" Target="/xl/charts/chart190.xml" Id="rId11"/><Relationship Type="http://schemas.openxmlformats.org/officeDocument/2006/relationships/chart" Target="/xl/charts/chart191.xml" Id="rId12"/><Relationship Type="http://schemas.openxmlformats.org/officeDocument/2006/relationships/chart" Target="/xl/charts/chart192.xml" Id="rId13"/><Relationship Type="http://schemas.openxmlformats.org/officeDocument/2006/relationships/chart" Target="/xl/charts/chart193.xml" Id="rId14"/><Relationship Type="http://schemas.openxmlformats.org/officeDocument/2006/relationships/chart" Target="/xl/charts/chart194.xml" Id="rId15"/><Relationship Type="http://schemas.openxmlformats.org/officeDocument/2006/relationships/chart" Target="/xl/charts/chart195.xml" Id="rId16"/><Relationship Type="http://schemas.openxmlformats.org/officeDocument/2006/relationships/chart" Target="/xl/charts/chart196.xml" Id="rId17"/><Relationship Type="http://schemas.openxmlformats.org/officeDocument/2006/relationships/chart" Target="/xl/charts/chart197.xml" Id="rId18"/><Relationship Type="http://schemas.openxmlformats.org/officeDocument/2006/relationships/chart" Target="/xl/charts/chart198.xml" Id="rId19"/><Relationship Type="http://schemas.openxmlformats.org/officeDocument/2006/relationships/chart" Target="/xl/charts/chart199.xml" Id="rId20"/><Relationship Type="http://schemas.openxmlformats.org/officeDocument/2006/relationships/chart" Target="/xl/charts/chart200.xml" Id="rId21"/><Relationship Type="http://schemas.openxmlformats.org/officeDocument/2006/relationships/chart" Target="/xl/charts/chart201.xml" Id="rId22"/><Relationship Type="http://schemas.openxmlformats.org/officeDocument/2006/relationships/chart" Target="/xl/charts/chart202.xml" Id="rId23"/><Relationship Type="http://schemas.openxmlformats.org/officeDocument/2006/relationships/chart" Target="/xl/charts/chart203.xml" Id="rId24"/><Relationship Type="http://schemas.openxmlformats.org/officeDocument/2006/relationships/chart" Target="/xl/charts/chart204.xml" Id="rId25"/><Relationship Type="http://schemas.openxmlformats.org/officeDocument/2006/relationships/chart" Target="/xl/charts/chart205.xml" Id="rId26"/><Relationship Type="http://schemas.openxmlformats.org/officeDocument/2006/relationships/chart" Target="/xl/charts/chart206.xml" Id="rId27"/><Relationship Type="http://schemas.openxmlformats.org/officeDocument/2006/relationships/chart" Target="/xl/charts/chart207.xml" Id="rId28"/><Relationship Type="http://schemas.openxmlformats.org/officeDocument/2006/relationships/chart" Target="/xl/charts/chart208.xml" Id="rId29"/><Relationship Type="http://schemas.openxmlformats.org/officeDocument/2006/relationships/chart" Target="/xl/charts/chart209.xml" Id="rId30"/><Relationship Type="http://schemas.openxmlformats.org/officeDocument/2006/relationships/chart" Target="/xl/charts/chart210.xml" Id="rId31"/></Relationships>
</file>

<file path=xl/drawings/_rels/drawing4.xml.rels><Relationships xmlns="http://schemas.openxmlformats.org/package/2006/relationships"><Relationship Type="http://schemas.openxmlformats.org/officeDocument/2006/relationships/chart" Target="/xl/charts/chart211.xml" Id="rId1"/><Relationship Type="http://schemas.openxmlformats.org/officeDocument/2006/relationships/chart" Target="/xl/charts/chart212.xml" Id="rId2"/><Relationship Type="http://schemas.openxmlformats.org/officeDocument/2006/relationships/chart" Target="/xl/charts/chart213.xml" Id="rId3"/><Relationship Type="http://schemas.openxmlformats.org/officeDocument/2006/relationships/chart" Target="/xl/charts/chart214.xml" Id="rId4"/><Relationship Type="http://schemas.openxmlformats.org/officeDocument/2006/relationships/chart" Target="/xl/charts/chart215.xml" Id="rId5"/><Relationship Type="http://schemas.openxmlformats.org/officeDocument/2006/relationships/chart" Target="/xl/charts/chart216.xml" Id="rId6"/><Relationship Type="http://schemas.openxmlformats.org/officeDocument/2006/relationships/chart" Target="/xl/charts/chart217.xml" Id="rId7"/><Relationship Type="http://schemas.openxmlformats.org/officeDocument/2006/relationships/chart" Target="/xl/charts/chart218.xml" Id="rId8"/><Relationship Type="http://schemas.openxmlformats.org/officeDocument/2006/relationships/chart" Target="/xl/charts/chart219.xml" Id="rId9"/><Relationship Type="http://schemas.openxmlformats.org/officeDocument/2006/relationships/chart" Target="/xl/charts/chart220.xml" Id="rId10"/><Relationship Type="http://schemas.openxmlformats.org/officeDocument/2006/relationships/chart" Target="/xl/charts/chart221.xml" Id="rId11"/><Relationship Type="http://schemas.openxmlformats.org/officeDocument/2006/relationships/chart" Target="/xl/charts/chart222.xml" Id="rId12"/><Relationship Type="http://schemas.openxmlformats.org/officeDocument/2006/relationships/chart" Target="/xl/charts/chart223.xml" Id="rId13"/><Relationship Type="http://schemas.openxmlformats.org/officeDocument/2006/relationships/chart" Target="/xl/charts/chart224.xml" Id="rId14"/><Relationship Type="http://schemas.openxmlformats.org/officeDocument/2006/relationships/chart" Target="/xl/charts/chart225.xml" Id="rId15"/><Relationship Type="http://schemas.openxmlformats.org/officeDocument/2006/relationships/chart" Target="/xl/charts/chart226.xml" Id="rId16"/><Relationship Type="http://schemas.openxmlformats.org/officeDocument/2006/relationships/chart" Target="/xl/charts/chart227.xml" Id="rId17"/><Relationship Type="http://schemas.openxmlformats.org/officeDocument/2006/relationships/chart" Target="/xl/charts/chart228.xml" Id="rId18"/><Relationship Type="http://schemas.openxmlformats.org/officeDocument/2006/relationships/chart" Target="/xl/charts/chart229.xml" Id="rId19"/><Relationship Type="http://schemas.openxmlformats.org/officeDocument/2006/relationships/chart" Target="/xl/charts/chart230.xml" Id="rId20"/><Relationship Type="http://schemas.openxmlformats.org/officeDocument/2006/relationships/chart" Target="/xl/charts/chart231.xml" Id="rId21"/><Relationship Type="http://schemas.openxmlformats.org/officeDocument/2006/relationships/chart" Target="/xl/charts/chart232.xml" Id="rId22"/><Relationship Type="http://schemas.openxmlformats.org/officeDocument/2006/relationships/chart" Target="/xl/charts/chart233.xml" Id="rId23"/><Relationship Type="http://schemas.openxmlformats.org/officeDocument/2006/relationships/chart" Target="/xl/charts/chart234.xml" Id="rId24"/><Relationship Type="http://schemas.openxmlformats.org/officeDocument/2006/relationships/chart" Target="/xl/charts/chart235.xml" Id="rId25"/><Relationship Type="http://schemas.openxmlformats.org/officeDocument/2006/relationships/chart" Target="/xl/charts/chart236.xml" Id="rId26"/><Relationship Type="http://schemas.openxmlformats.org/officeDocument/2006/relationships/chart" Target="/xl/charts/chart237.xml" Id="rId27"/><Relationship Type="http://schemas.openxmlformats.org/officeDocument/2006/relationships/chart" Target="/xl/charts/chart238.xml" Id="rId28"/><Relationship Type="http://schemas.openxmlformats.org/officeDocument/2006/relationships/chart" Target="/xl/charts/chart239.xml" Id="rId29"/><Relationship Type="http://schemas.openxmlformats.org/officeDocument/2006/relationships/chart" Target="/xl/charts/chart240.xml" Id="rId30"/><Relationship Type="http://schemas.openxmlformats.org/officeDocument/2006/relationships/chart" Target="/xl/charts/chart241.xml" Id="rId31"/><Relationship Type="http://schemas.openxmlformats.org/officeDocument/2006/relationships/chart" Target="/xl/charts/chart242.xml" Id="rId32"/><Relationship Type="http://schemas.openxmlformats.org/officeDocument/2006/relationships/chart" Target="/xl/charts/chart243.xml" Id="rId33"/><Relationship Type="http://schemas.openxmlformats.org/officeDocument/2006/relationships/chart" Target="/xl/charts/chart244.xml" Id="rId34"/><Relationship Type="http://schemas.openxmlformats.org/officeDocument/2006/relationships/chart" Target="/xl/charts/chart245.xml" Id="rId35"/><Relationship Type="http://schemas.openxmlformats.org/officeDocument/2006/relationships/chart" Target="/xl/charts/chart246.xml" Id="rId36"/><Relationship Type="http://schemas.openxmlformats.org/officeDocument/2006/relationships/chart" Target="/xl/charts/chart247.xml" Id="rId37"/><Relationship Type="http://schemas.openxmlformats.org/officeDocument/2006/relationships/chart" Target="/xl/charts/chart248.xml" Id="rId38"/><Relationship Type="http://schemas.openxmlformats.org/officeDocument/2006/relationships/chart" Target="/xl/charts/chart249.xml" Id="rId39"/><Relationship Type="http://schemas.openxmlformats.org/officeDocument/2006/relationships/chart" Target="/xl/charts/chart250.xml" Id="rId40"/><Relationship Type="http://schemas.openxmlformats.org/officeDocument/2006/relationships/chart" Target="/xl/charts/chart251.xml" Id="rId41"/><Relationship Type="http://schemas.openxmlformats.org/officeDocument/2006/relationships/chart" Target="/xl/charts/chart252.xml" Id="rId42"/><Relationship Type="http://schemas.openxmlformats.org/officeDocument/2006/relationships/chart" Target="/xl/charts/chart253.xml" Id="rId43"/><Relationship Type="http://schemas.openxmlformats.org/officeDocument/2006/relationships/chart" Target="/xl/charts/chart254.xml" Id="rId44"/><Relationship Type="http://schemas.openxmlformats.org/officeDocument/2006/relationships/chart" Target="/xl/charts/chart255.xml" Id="rId45"/><Relationship Type="http://schemas.openxmlformats.org/officeDocument/2006/relationships/chart" Target="/xl/charts/chart256.xml" Id="rId46"/><Relationship Type="http://schemas.openxmlformats.org/officeDocument/2006/relationships/chart" Target="/xl/charts/chart257.xml" Id="rId47"/><Relationship Type="http://schemas.openxmlformats.org/officeDocument/2006/relationships/chart" Target="/xl/charts/chart258.xml" Id="rId48"/><Relationship Type="http://schemas.openxmlformats.org/officeDocument/2006/relationships/chart" Target="/xl/charts/chart259.xml" Id="rId49"/><Relationship Type="http://schemas.openxmlformats.org/officeDocument/2006/relationships/chart" Target="/xl/charts/chart260.xml" Id="rId50"/></Relationships>
</file>

<file path=xl/drawings/drawing1.xml><?xml version="1.0" encoding="utf-8"?>
<wsDr xmlns="http://schemas.openxmlformats.org/drawingml/2006/spreadsheetDrawing">
  <oneCellAnchor>
    <from>
      <col>8</col>
      <colOff>0</colOff>
      <row>1</row>
      <rowOff>0</rowOff>
    </from>
    <ext cx="7200000" cy="432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  <oneCellAnchor>
    <from>
      <col>8</col>
      <colOff>0</colOff>
      <row>23</row>
      <rowOff>0</rowOff>
    </from>
    <ext cx="7200000" cy="4320000"/>
    <graphicFrame>
      <nvGraphicFramePr>
        <cNvPr id="2" name="Chart 2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graphicFrame>
    <clientData/>
  </oneCellAnchor>
  <oneCellAnchor>
    <from>
      <col>8</col>
      <colOff>0</colOff>
      <row>1</row>
      <rowOff>0</rowOff>
    </from>
    <ext cx="7200000" cy="4320000"/>
    <graphicFrame>
      <nvGraphicFramePr>
        <cNvPr id="3" name="Chart 3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graphicFrame>
    <clientData/>
  </oneCellAnchor>
  <oneCellAnchor>
    <from>
      <col>8</col>
      <colOff>0</colOff>
      <row>23</row>
      <rowOff>0</rowOff>
    </from>
    <ext cx="7200000" cy="4320000"/>
    <graphicFrame>
      <nvGraphicFramePr>
        <cNvPr id="4" name="Chart 4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graphicFrame>
    <clientData/>
  </oneCellAnchor>
  <oneCellAnchor>
    <from>
      <col>8</col>
      <colOff>0</colOff>
      <row>1</row>
      <rowOff>0</rowOff>
    </from>
    <ext cx="7200000" cy="4320000"/>
    <graphicFrame>
      <nvGraphicFramePr>
        <cNvPr id="5" name="Chart 5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graphicFrame>
    <clientData/>
  </oneCellAnchor>
  <oneCellAnchor>
    <from>
      <col>8</col>
      <colOff>0</colOff>
      <row>23</row>
      <rowOff>0</rowOff>
    </from>
    <ext cx="7200000" cy="4320000"/>
    <graphicFrame>
      <nvGraphicFramePr>
        <cNvPr id="6" name="Chart 6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6"/>
        </a:graphicData>
      </a:graphic>
    </graphicFrame>
    <clientData/>
  </oneCellAnchor>
  <oneCellAnchor>
    <from>
      <col>8</col>
      <colOff>0</colOff>
      <row>1</row>
      <rowOff>0</rowOff>
    </from>
    <ext cx="7200000" cy="4320000"/>
    <graphicFrame>
      <nvGraphicFramePr>
        <cNvPr id="7" name="Chart 7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7"/>
        </a:graphicData>
      </a:graphic>
    </graphicFrame>
    <clientData/>
  </oneCellAnchor>
  <oneCellAnchor>
    <from>
      <col>8</col>
      <colOff>0</colOff>
      <row>23</row>
      <rowOff>0</rowOff>
    </from>
    <ext cx="7200000" cy="4320000"/>
    <graphicFrame>
      <nvGraphicFramePr>
        <cNvPr id="8" name="Chart 8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8"/>
        </a:graphicData>
      </a:graphic>
    </graphicFrame>
    <clientData/>
  </oneCellAnchor>
  <oneCellAnchor>
    <from>
      <col>8</col>
      <colOff>0</colOff>
      <row>1</row>
      <rowOff>0</rowOff>
    </from>
    <ext cx="7200000" cy="4320000"/>
    <graphicFrame>
      <nvGraphicFramePr>
        <cNvPr id="9" name="Chart 9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9"/>
        </a:graphicData>
      </a:graphic>
    </graphicFrame>
    <clientData/>
  </oneCellAnchor>
  <oneCellAnchor>
    <from>
      <col>8</col>
      <colOff>0</colOff>
      <row>23</row>
      <rowOff>0</rowOff>
    </from>
    <ext cx="7200000" cy="4320000"/>
    <graphicFrame>
      <nvGraphicFramePr>
        <cNvPr id="10" name="Chart 10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0"/>
        </a:graphicData>
      </a:graphic>
    </graphicFrame>
    <clientData/>
  </oneCellAnchor>
  <oneCellAnchor>
    <from>
      <col>8</col>
      <colOff>0</colOff>
      <row>1</row>
      <rowOff>0</rowOff>
    </from>
    <ext cx="7200000" cy="4320000"/>
    <graphicFrame>
      <nvGraphicFramePr>
        <cNvPr id="11" name="Chart 1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1"/>
        </a:graphicData>
      </a:graphic>
    </graphicFrame>
    <clientData/>
  </oneCellAnchor>
  <oneCellAnchor>
    <from>
      <col>8</col>
      <colOff>0</colOff>
      <row>23</row>
      <rowOff>0</rowOff>
    </from>
    <ext cx="7200000" cy="4320000"/>
    <graphicFrame>
      <nvGraphicFramePr>
        <cNvPr id="12" name="Chart 12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2"/>
        </a:graphicData>
      </a:graphic>
    </graphicFrame>
    <clientData/>
  </oneCellAnchor>
  <oneCellAnchor>
    <from>
      <col>8</col>
      <colOff>0</colOff>
      <row>1</row>
      <rowOff>0</rowOff>
    </from>
    <ext cx="7200000" cy="4320000"/>
    <graphicFrame>
      <nvGraphicFramePr>
        <cNvPr id="13" name="Chart 13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3"/>
        </a:graphicData>
      </a:graphic>
    </graphicFrame>
    <clientData/>
  </oneCellAnchor>
  <oneCellAnchor>
    <from>
      <col>8</col>
      <colOff>0</colOff>
      <row>23</row>
      <rowOff>0</rowOff>
    </from>
    <ext cx="7200000" cy="4320000"/>
    <graphicFrame>
      <nvGraphicFramePr>
        <cNvPr id="14" name="Chart 14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4"/>
        </a:graphicData>
      </a:graphic>
    </graphicFrame>
    <clientData/>
  </oneCellAnchor>
  <oneCellAnchor>
    <from>
      <col>8</col>
      <colOff>0</colOff>
      <row>1</row>
      <rowOff>0</rowOff>
    </from>
    <ext cx="7200000" cy="4320000"/>
    <graphicFrame>
      <nvGraphicFramePr>
        <cNvPr id="15" name="Chart 15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5"/>
        </a:graphicData>
      </a:graphic>
    </graphicFrame>
    <clientData/>
  </oneCellAnchor>
  <oneCellAnchor>
    <from>
      <col>8</col>
      <colOff>0</colOff>
      <row>23</row>
      <rowOff>0</rowOff>
    </from>
    <ext cx="7200000" cy="4320000"/>
    <graphicFrame>
      <nvGraphicFramePr>
        <cNvPr id="16" name="Chart 16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6"/>
        </a:graphicData>
      </a:graphic>
    </graphicFrame>
    <clientData/>
  </oneCellAnchor>
  <oneCellAnchor>
    <from>
      <col>8</col>
      <colOff>0</colOff>
      <row>1</row>
      <rowOff>0</rowOff>
    </from>
    <ext cx="7200000" cy="4320000"/>
    <graphicFrame>
      <nvGraphicFramePr>
        <cNvPr id="17" name="Chart 17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7"/>
        </a:graphicData>
      </a:graphic>
    </graphicFrame>
    <clientData/>
  </oneCellAnchor>
  <oneCellAnchor>
    <from>
      <col>8</col>
      <colOff>0</colOff>
      <row>23</row>
      <rowOff>0</rowOff>
    </from>
    <ext cx="7200000" cy="4320000"/>
    <graphicFrame>
      <nvGraphicFramePr>
        <cNvPr id="18" name="Chart 18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8"/>
        </a:graphicData>
      </a:graphic>
    </graphicFrame>
    <clientData/>
  </oneCellAnchor>
  <oneCellAnchor>
    <from>
      <col>8</col>
      <colOff>0</colOff>
      <row>1</row>
      <rowOff>0</rowOff>
    </from>
    <ext cx="7200000" cy="4320000"/>
    <graphicFrame>
      <nvGraphicFramePr>
        <cNvPr id="19" name="Chart 19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9"/>
        </a:graphicData>
      </a:graphic>
    </graphicFrame>
    <clientData/>
  </oneCellAnchor>
  <oneCellAnchor>
    <from>
      <col>8</col>
      <colOff>0</colOff>
      <row>23</row>
      <rowOff>0</rowOff>
    </from>
    <ext cx="7200000" cy="4320000"/>
    <graphicFrame>
      <nvGraphicFramePr>
        <cNvPr id="20" name="Chart 20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20"/>
        </a:graphicData>
      </a:graphic>
    </graphicFrame>
    <clientData/>
  </oneCellAnchor>
  <oneCellAnchor>
    <from>
      <col>8</col>
      <colOff>0</colOff>
      <row>1</row>
      <rowOff>0</rowOff>
    </from>
    <ext cx="7200000" cy="4320000"/>
    <graphicFrame>
      <nvGraphicFramePr>
        <cNvPr id="21" name="Chart 2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21"/>
        </a:graphicData>
      </a:graphic>
    </graphicFrame>
    <clientData/>
  </oneCellAnchor>
  <oneCellAnchor>
    <from>
      <col>8</col>
      <colOff>0</colOff>
      <row>23</row>
      <rowOff>0</rowOff>
    </from>
    <ext cx="7200000" cy="4320000"/>
    <graphicFrame>
      <nvGraphicFramePr>
        <cNvPr id="22" name="Chart 22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22"/>
        </a:graphicData>
      </a:graphic>
    </graphicFrame>
    <clientData/>
  </oneCellAnchor>
  <oneCellAnchor>
    <from>
      <col>8</col>
      <colOff>0</colOff>
      <row>1</row>
      <rowOff>0</rowOff>
    </from>
    <ext cx="7200000" cy="4320000"/>
    <graphicFrame>
      <nvGraphicFramePr>
        <cNvPr id="23" name="Chart 23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23"/>
        </a:graphicData>
      </a:graphic>
    </graphicFrame>
    <clientData/>
  </oneCellAnchor>
  <oneCellAnchor>
    <from>
      <col>8</col>
      <colOff>0</colOff>
      <row>23</row>
      <rowOff>0</rowOff>
    </from>
    <ext cx="7200000" cy="4320000"/>
    <graphicFrame>
      <nvGraphicFramePr>
        <cNvPr id="24" name="Chart 24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24"/>
        </a:graphicData>
      </a:graphic>
    </graphicFrame>
    <clientData/>
  </oneCellAnchor>
  <oneCellAnchor>
    <from>
      <col>8</col>
      <colOff>0</colOff>
      <row>1</row>
      <rowOff>0</rowOff>
    </from>
    <ext cx="7200000" cy="4320000"/>
    <graphicFrame>
      <nvGraphicFramePr>
        <cNvPr id="25" name="Chart 25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25"/>
        </a:graphicData>
      </a:graphic>
    </graphicFrame>
    <clientData/>
  </oneCellAnchor>
  <oneCellAnchor>
    <from>
      <col>8</col>
      <colOff>0</colOff>
      <row>23</row>
      <rowOff>0</rowOff>
    </from>
    <ext cx="7200000" cy="4320000"/>
    <graphicFrame>
      <nvGraphicFramePr>
        <cNvPr id="26" name="Chart 26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26"/>
        </a:graphicData>
      </a:graphic>
    </graphicFrame>
    <clientData/>
  </oneCellAnchor>
  <oneCellAnchor>
    <from>
      <col>8</col>
      <colOff>0</colOff>
      <row>1</row>
      <rowOff>0</rowOff>
    </from>
    <ext cx="7200000" cy="4320000"/>
    <graphicFrame>
      <nvGraphicFramePr>
        <cNvPr id="27" name="Chart 27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27"/>
        </a:graphicData>
      </a:graphic>
    </graphicFrame>
    <clientData/>
  </oneCellAnchor>
  <oneCellAnchor>
    <from>
      <col>8</col>
      <colOff>0</colOff>
      <row>23</row>
      <rowOff>0</rowOff>
    </from>
    <ext cx="7200000" cy="4320000"/>
    <graphicFrame>
      <nvGraphicFramePr>
        <cNvPr id="28" name="Chart 28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28"/>
        </a:graphicData>
      </a:graphic>
    </graphicFrame>
    <clientData/>
  </oneCellAnchor>
  <oneCellAnchor>
    <from>
      <col>8</col>
      <colOff>0</colOff>
      <row>1</row>
      <rowOff>0</rowOff>
    </from>
    <ext cx="7200000" cy="4320000"/>
    <graphicFrame>
      <nvGraphicFramePr>
        <cNvPr id="29" name="Chart 29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29"/>
        </a:graphicData>
      </a:graphic>
    </graphicFrame>
    <clientData/>
  </oneCellAnchor>
  <oneCellAnchor>
    <from>
      <col>8</col>
      <colOff>0</colOff>
      <row>23</row>
      <rowOff>0</rowOff>
    </from>
    <ext cx="7200000" cy="4320000"/>
    <graphicFrame>
      <nvGraphicFramePr>
        <cNvPr id="30" name="Chart 30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30"/>
        </a:graphicData>
      </a:graphic>
    </graphicFrame>
    <clientData/>
  </oneCellAnchor>
  <oneCellAnchor>
    <from>
      <col>8</col>
      <colOff>0</colOff>
      <row>1</row>
      <rowOff>0</rowOff>
    </from>
    <ext cx="7200000" cy="4320000"/>
    <graphicFrame>
      <nvGraphicFramePr>
        <cNvPr id="31" name="Chart 3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31"/>
        </a:graphicData>
      </a:graphic>
    </graphicFrame>
    <clientData/>
  </oneCellAnchor>
  <oneCellAnchor>
    <from>
      <col>8</col>
      <colOff>0</colOff>
      <row>23</row>
      <rowOff>0</rowOff>
    </from>
    <ext cx="7200000" cy="4320000"/>
    <graphicFrame>
      <nvGraphicFramePr>
        <cNvPr id="32" name="Chart 32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32"/>
        </a:graphicData>
      </a:graphic>
    </graphicFrame>
    <clientData/>
  </oneCellAnchor>
  <oneCellAnchor>
    <from>
      <col>8</col>
      <colOff>0</colOff>
      <row>1</row>
      <rowOff>0</rowOff>
    </from>
    <ext cx="7200000" cy="4320000"/>
    <graphicFrame>
      <nvGraphicFramePr>
        <cNvPr id="33" name="Chart 33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33"/>
        </a:graphicData>
      </a:graphic>
    </graphicFrame>
    <clientData/>
  </oneCellAnchor>
  <oneCellAnchor>
    <from>
      <col>8</col>
      <colOff>0</colOff>
      <row>23</row>
      <rowOff>0</rowOff>
    </from>
    <ext cx="7200000" cy="4320000"/>
    <graphicFrame>
      <nvGraphicFramePr>
        <cNvPr id="34" name="Chart 34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34"/>
        </a:graphicData>
      </a:graphic>
    </graphicFrame>
    <clientData/>
  </oneCellAnchor>
  <oneCellAnchor>
    <from>
      <col>8</col>
      <colOff>0</colOff>
      <row>1</row>
      <rowOff>0</rowOff>
    </from>
    <ext cx="7200000" cy="4320000"/>
    <graphicFrame>
      <nvGraphicFramePr>
        <cNvPr id="35" name="Chart 35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35"/>
        </a:graphicData>
      </a:graphic>
    </graphicFrame>
    <clientData/>
  </oneCellAnchor>
  <oneCellAnchor>
    <from>
      <col>8</col>
      <colOff>0</colOff>
      <row>23</row>
      <rowOff>0</rowOff>
    </from>
    <ext cx="7200000" cy="4320000"/>
    <graphicFrame>
      <nvGraphicFramePr>
        <cNvPr id="36" name="Chart 36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36"/>
        </a:graphicData>
      </a:graphic>
    </graphicFrame>
    <clientData/>
  </oneCellAnchor>
  <oneCellAnchor>
    <from>
      <col>8</col>
      <colOff>0</colOff>
      <row>1</row>
      <rowOff>0</rowOff>
    </from>
    <ext cx="7200000" cy="4320000"/>
    <graphicFrame>
      <nvGraphicFramePr>
        <cNvPr id="37" name="Chart 37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37"/>
        </a:graphicData>
      </a:graphic>
    </graphicFrame>
    <clientData/>
  </oneCellAnchor>
  <oneCellAnchor>
    <from>
      <col>8</col>
      <colOff>0</colOff>
      <row>23</row>
      <rowOff>0</rowOff>
    </from>
    <ext cx="7200000" cy="4320000"/>
    <graphicFrame>
      <nvGraphicFramePr>
        <cNvPr id="38" name="Chart 38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38"/>
        </a:graphicData>
      </a:graphic>
    </graphicFrame>
    <clientData/>
  </oneCellAnchor>
  <oneCellAnchor>
    <from>
      <col>8</col>
      <colOff>0</colOff>
      <row>1</row>
      <rowOff>0</rowOff>
    </from>
    <ext cx="7200000" cy="4320000"/>
    <graphicFrame>
      <nvGraphicFramePr>
        <cNvPr id="39" name="Chart 39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39"/>
        </a:graphicData>
      </a:graphic>
    </graphicFrame>
    <clientData/>
  </oneCellAnchor>
  <oneCellAnchor>
    <from>
      <col>8</col>
      <colOff>0</colOff>
      <row>23</row>
      <rowOff>0</rowOff>
    </from>
    <ext cx="7200000" cy="4320000"/>
    <graphicFrame>
      <nvGraphicFramePr>
        <cNvPr id="40" name="Chart 40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40"/>
        </a:graphicData>
      </a:graphic>
    </graphicFrame>
    <clientData/>
  </oneCellAnchor>
  <oneCellAnchor>
    <from>
      <col>8</col>
      <colOff>0</colOff>
      <row>1</row>
      <rowOff>0</rowOff>
    </from>
    <ext cx="7200000" cy="4320000"/>
    <graphicFrame>
      <nvGraphicFramePr>
        <cNvPr id="41" name="Chart 4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41"/>
        </a:graphicData>
      </a:graphic>
    </graphicFrame>
    <clientData/>
  </oneCellAnchor>
  <oneCellAnchor>
    <from>
      <col>8</col>
      <colOff>0</colOff>
      <row>23</row>
      <rowOff>0</rowOff>
    </from>
    <ext cx="7200000" cy="4320000"/>
    <graphicFrame>
      <nvGraphicFramePr>
        <cNvPr id="42" name="Chart 42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42"/>
        </a:graphicData>
      </a:graphic>
    </graphicFrame>
    <clientData/>
  </oneCellAnchor>
  <oneCellAnchor>
    <from>
      <col>8</col>
      <colOff>0</colOff>
      <row>1</row>
      <rowOff>0</rowOff>
    </from>
    <ext cx="7200000" cy="4320000"/>
    <graphicFrame>
      <nvGraphicFramePr>
        <cNvPr id="43" name="Chart 43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43"/>
        </a:graphicData>
      </a:graphic>
    </graphicFrame>
    <clientData/>
  </oneCellAnchor>
  <oneCellAnchor>
    <from>
      <col>8</col>
      <colOff>0</colOff>
      <row>23</row>
      <rowOff>0</rowOff>
    </from>
    <ext cx="7200000" cy="4320000"/>
    <graphicFrame>
      <nvGraphicFramePr>
        <cNvPr id="44" name="Chart 44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44"/>
        </a:graphicData>
      </a:graphic>
    </graphicFrame>
    <clientData/>
  </oneCellAnchor>
  <oneCellAnchor>
    <from>
      <col>8</col>
      <colOff>0</colOff>
      <row>1</row>
      <rowOff>0</rowOff>
    </from>
    <ext cx="7200000" cy="4320000"/>
    <graphicFrame>
      <nvGraphicFramePr>
        <cNvPr id="45" name="Chart 45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45"/>
        </a:graphicData>
      </a:graphic>
    </graphicFrame>
    <clientData/>
  </oneCellAnchor>
  <oneCellAnchor>
    <from>
      <col>8</col>
      <colOff>0</colOff>
      <row>23</row>
      <rowOff>0</rowOff>
    </from>
    <ext cx="7200000" cy="4320000"/>
    <graphicFrame>
      <nvGraphicFramePr>
        <cNvPr id="46" name="Chart 46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46"/>
        </a:graphicData>
      </a:graphic>
    </graphicFrame>
    <clientData/>
  </oneCellAnchor>
  <oneCellAnchor>
    <from>
      <col>8</col>
      <colOff>0</colOff>
      <row>1</row>
      <rowOff>0</rowOff>
    </from>
    <ext cx="7200000" cy="4320000"/>
    <graphicFrame>
      <nvGraphicFramePr>
        <cNvPr id="47" name="Chart 47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47"/>
        </a:graphicData>
      </a:graphic>
    </graphicFrame>
    <clientData/>
  </oneCellAnchor>
  <oneCellAnchor>
    <from>
      <col>8</col>
      <colOff>0</colOff>
      <row>23</row>
      <rowOff>0</rowOff>
    </from>
    <ext cx="7200000" cy="4320000"/>
    <graphicFrame>
      <nvGraphicFramePr>
        <cNvPr id="48" name="Chart 48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48"/>
        </a:graphicData>
      </a:graphic>
    </graphicFrame>
    <clientData/>
  </oneCellAnchor>
  <oneCellAnchor>
    <from>
      <col>8</col>
      <colOff>0</colOff>
      <row>1</row>
      <rowOff>0</rowOff>
    </from>
    <ext cx="7200000" cy="4320000"/>
    <graphicFrame>
      <nvGraphicFramePr>
        <cNvPr id="49" name="Chart 49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49"/>
        </a:graphicData>
      </a:graphic>
    </graphicFrame>
    <clientData/>
  </oneCellAnchor>
  <oneCellAnchor>
    <from>
      <col>8</col>
      <colOff>0</colOff>
      <row>23</row>
      <rowOff>0</rowOff>
    </from>
    <ext cx="7200000" cy="4320000"/>
    <graphicFrame>
      <nvGraphicFramePr>
        <cNvPr id="50" name="Chart 50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50"/>
        </a:graphicData>
      </a:graphic>
    </graphicFrame>
    <clientData/>
  </oneCellAnchor>
  <oneCellAnchor>
    <from>
      <col>8</col>
      <colOff>0</colOff>
      <row>1</row>
      <rowOff>0</rowOff>
    </from>
    <ext cx="7200000" cy="4320000"/>
    <graphicFrame>
      <nvGraphicFramePr>
        <cNvPr id="51" name="Chart 5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51"/>
        </a:graphicData>
      </a:graphic>
    </graphicFrame>
    <clientData/>
  </oneCellAnchor>
  <oneCellAnchor>
    <from>
      <col>8</col>
      <colOff>0</colOff>
      <row>23</row>
      <rowOff>0</rowOff>
    </from>
    <ext cx="7200000" cy="4320000"/>
    <graphicFrame>
      <nvGraphicFramePr>
        <cNvPr id="52" name="Chart 52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52"/>
        </a:graphicData>
      </a:graphic>
    </graphicFrame>
    <clientData/>
  </oneCellAnchor>
  <oneCellAnchor>
    <from>
      <col>8</col>
      <colOff>0</colOff>
      <row>1</row>
      <rowOff>0</rowOff>
    </from>
    <ext cx="7200000" cy="4320000"/>
    <graphicFrame>
      <nvGraphicFramePr>
        <cNvPr id="53" name="Chart 53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53"/>
        </a:graphicData>
      </a:graphic>
    </graphicFrame>
    <clientData/>
  </oneCellAnchor>
  <oneCellAnchor>
    <from>
      <col>8</col>
      <colOff>0</colOff>
      <row>23</row>
      <rowOff>0</rowOff>
    </from>
    <ext cx="7200000" cy="4320000"/>
    <graphicFrame>
      <nvGraphicFramePr>
        <cNvPr id="54" name="Chart 54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54"/>
        </a:graphicData>
      </a:graphic>
    </graphicFrame>
    <clientData/>
  </oneCellAnchor>
  <oneCellAnchor>
    <from>
      <col>8</col>
      <colOff>0</colOff>
      <row>1</row>
      <rowOff>0</rowOff>
    </from>
    <ext cx="7200000" cy="4320000"/>
    <graphicFrame>
      <nvGraphicFramePr>
        <cNvPr id="55" name="Chart 55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55"/>
        </a:graphicData>
      </a:graphic>
    </graphicFrame>
    <clientData/>
  </oneCellAnchor>
  <oneCellAnchor>
    <from>
      <col>8</col>
      <colOff>0</colOff>
      <row>23</row>
      <rowOff>0</rowOff>
    </from>
    <ext cx="7200000" cy="4320000"/>
    <graphicFrame>
      <nvGraphicFramePr>
        <cNvPr id="56" name="Chart 56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56"/>
        </a:graphicData>
      </a:graphic>
    </graphicFrame>
    <clientData/>
  </oneCellAnchor>
  <oneCellAnchor>
    <from>
      <col>8</col>
      <colOff>0</colOff>
      <row>1</row>
      <rowOff>0</rowOff>
    </from>
    <ext cx="7200000" cy="4320000"/>
    <graphicFrame>
      <nvGraphicFramePr>
        <cNvPr id="57" name="Chart 57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57"/>
        </a:graphicData>
      </a:graphic>
    </graphicFrame>
    <clientData/>
  </oneCellAnchor>
  <oneCellAnchor>
    <from>
      <col>8</col>
      <colOff>0</colOff>
      <row>23</row>
      <rowOff>0</rowOff>
    </from>
    <ext cx="7200000" cy="4320000"/>
    <graphicFrame>
      <nvGraphicFramePr>
        <cNvPr id="58" name="Chart 58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58"/>
        </a:graphicData>
      </a:graphic>
    </graphicFrame>
    <clientData/>
  </oneCellAnchor>
  <oneCellAnchor>
    <from>
      <col>8</col>
      <colOff>0</colOff>
      <row>1</row>
      <rowOff>0</rowOff>
    </from>
    <ext cx="7200000" cy="4320000"/>
    <graphicFrame>
      <nvGraphicFramePr>
        <cNvPr id="59" name="Chart 59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59"/>
        </a:graphicData>
      </a:graphic>
    </graphicFrame>
    <clientData/>
  </oneCellAnchor>
  <oneCellAnchor>
    <from>
      <col>8</col>
      <colOff>0</colOff>
      <row>23</row>
      <rowOff>0</rowOff>
    </from>
    <ext cx="7200000" cy="4320000"/>
    <graphicFrame>
      <nvGraphicFramePr>
        <cNvPr id="60" name="Chart 60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60"/>
        </a:graphicData>
      </a:graphic>
    </graphicFrame>
    <clientData/>
  </oneCellAnchor>
  <oneCellAnchor>
    <from>
      <col>8</col>
      <colOff>0</colOff>
      <row>1</row>
      <rowOff>0</rowOff>
    </from>
    <ext cx="7200000" cy="4320000"/>
    <graphicFrame>
      <nvGraphicFramePr>
        <cNvPr id="61" name="Chart 6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61"/>
        </a:graphicData>
      </a:graphic>
    </graphicFrame>
    <clientData/>
  </oneCellAnchor>
  <oneCellAnchor>
    <from>
      <col>8</col>
      <colOff>0</colOff>
      <row>23</row>
      <rowOff>0</rowOff>
    </from>
    <ext cx="7200000" cy="4320000"/>
    <graphicFrame>
      <nvGraphicFramePr>
        <cNvPr id="62" name="Chart 62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62"/>
        </a:graphicData>
      </a:graphic>
    </graphicFrame>
    <clientData/>
  </oneCellAnchor>
</wsDr>
</file>

<file path=xl/drawings/drawing2.xml><?xml version="1.0" encoding="utf-8"?>
<wsDr xmlns="http://schemas.openxmlformats.org/drawingml/2006/spreadsheetDrawing">
  <oneCellAnchor>
    <from>
      <col>14</col>
      <colOff>800100</colOff>
      <row>5</row>
      <rowOff>0</rowOff>
    </from>
    <ext cx="10553700" cy="43688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  <oneCellAnchor>
    <from>
      <col>14</col>
      <colOff>787400</colOff>
      <row>28</row>
      <rowOff>101600</rowOff>
    </from>
    <ext cx="10553700" cy="4320000"/>
    <graphicFrame>
      <nvGraphicFramePr>
        <cNvPr id="2" name="Chart 2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graphicFrame>
    <clientData/>
  </oneCellAnchor>
  <oneCellAnchor>
    <from>
      <col>14</col>
      <colOff>787400</colOff>
      <row>51</row>
      <rowOff>88900</rowOff>
    </from>
    <ext cx="10541000" cy="4320000"/>
    <graphicFrame>
      <nvGraphicFramePr>
        <cNvPr id="3" name="Chart 3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graphicFrame>
    <clientData/>
  </oneCellAnchor>
  <oneCellAnchor>
    <from>
      <col>14</col>
      <colOff>0</colOff>
      <row>1</row>
      <rowOff>0</rowOff>
    </from>
    <ext cx="7200000" cy="4320000"/>
    <graphicFrame>
      <nvGraphicFramePr>
        <cNvPr id="4" name="Chart 4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graphicFrame>
    <clientData/>
  </oneCellAnchor>
  <oneCellAnchor>
    <from>
      <col>14</col>
      <colOff>0</colOff>
      <row>23</row>
      <rowOff>0</rowOff>
    </from>
    <ext cx="7200000" cy="4320000"/>
    <graphicFrame>
      <nvGraphicFramePr>
        <cNvPr id="5" name="Chart 5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graphicFrame>
    <clientData/>
  </oneCellAnchor>
  <oneCellAnchor>
    <from>
      <col>14</col>
      <colOff>0</colOff>
      <row>45</row>
      <rowOff>0</rowOff>
    </from>
    <ext cx="7200000" cy="4320000"/>
    <graphicFrame>
      <nvGraphicFramePr>
        <cNvPr id="6" name="Chart 6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6"/>
        </a:graphicData>
      </a:graphic>
    </graphicFrame>
    <clientData/>
  </oneCellAnchor>
  <oneCellAnchor>
    <from>
      <col>14</col>
      <colOff>0</colOff>
      <row>1</row>
      <rowOff>0</rowOff>
    </from>
    <ext cx="7200000" cy="4320000"/>
    <graphicFrame>
      <nvGraphicFramePr>
        <cNvPr id="7" name="Chart 7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7"/>
        </a:graphicData>
      </a:graphic>
    </graphicFrame>
    <clientData/>
  </oneCellAnchor>
  <oneCellAnchor>
    <from>
      <col>14</col>
      <colOff>0</colOff>
      <row>23</row>
      <rowOff>0</rowOff>
    </from>
    <ext cx="7200000" cy="4320000"/>
    <graphicFrame>
      <nvGraphicFramePr>
        <cNvPr id="8" name="Chart 8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8"/>
        </a:graphicData>
      </a:graphic>
    </graphicFrame>
    <clientData/>
  </oneCellAnchor>
  <oneCellAnchor>
    <from>
      <col>14</col>
      <colOff>0</colOff>
      <row>45</row>
      <rowOff>0</rowOff>
    </from>
    <ext cx="7200000" cy="4320000"/>
    <graphicFrame>
      <nvGraphicFramePr>
        <cNvPr id="9" name="Chart 9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9"/>
        </a:graphicData>
      </a:graphic>
    </graphicFrame>
    <clientData/>
  </oneCellAnchor>
  <oneCellAnchor>
    <from>
      <col>12</col>
      <colOff>0</colOff>
      <row>1</row>
      <rowOff>0</rowOff>
    </from>
    <ext cx="7200000" cy="4320000"/>
    <graphicFrame>
      <nvGraphicFramePr>
        <cNvPr id="10" name="Chart 10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0"/>
        </a:graphicData>
      </a:graphic>
    </graphicFrame>
    <clientData/>
  </oneCellAnchor>
  <oneCellAnchor>
    <from>
      <col>12</col>
      <colOff>0</colOff>
      <row>23</row>
      <rowOff>0</rowOff>
    </from>
    <ext cx="7200000" cy="4320000"/>
    <graphicFrame>
      <nvGraphicFramePr>
        <cNvPr id="11" name="Chart 1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1"/>
        </a:graphicData>
      </a:graphic>
    </graphicFrame>
    <clientData/>
  </oneCellAnchor>
  <oneCellAnchor>
    <from>
      <col>12</col>
      <colOff>0</colOff>
      <row>45</row>
      <rowOff>0</rowOff>
    </from>
    <ext cx="7200000" cy="4320000"/>
    <graphicFrame>
      <nvGraphicFramePr>
        <cNvPr id="12" name="Chart 12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2"/>
        </a:graphicData>
      </a:graphic>
    </graphicFrame>
    <clientData/>
  </oneCellAnchor>
  <oneCellAnchor>
    <from>
      <col>12</col>
      <colOff>0</colOff>
      <row>1</row>
      <rowOff>0</rowOff>
    </from>
    <ext cx="7200000" cy="4320000"/>
    <graphicFrame>
      <nvGraphicFramePr>
        <cNvPr id="13" name="Chart 13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3"/>
        </a:graphicData>
      </a:graphic>
    </graphicFrame>
    <clientData/>
  </oneCellAnchor>
  <oneCellAnchor>
    <from>
      <col>12</col>
      <colOff>0</colOff>
      <row>23</row>
      <rowOff>0</rowOff>
    </from>
    <ext cx="7200000" cy="4320000"/>
    <graphicFrame>
      <nvGraphicFramePr>
        <cNvPr id="14" name="Chart 14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4"/>
        </a:graphicData>
      </a:graphic>
    </graphicFrame>
    <clientData/>
  </oneCellAnchor>
  <oneCellAnchor>
    <from>
      <col>12</col>
      <colOff>0</colOff>
      <row>45</row>
      <rowOff>0</rowOff>
    </from>
    <ext cx="7200000" cy="4320000"/>
    <graphicFrame>
      <nvGraphicFramePr>
        <cNvPr id="15" name="Chart 15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5"/>
        </a:graphicData>
      </a:graphic>
    </graphicFrame>
    <clientData/>
  </oneCellAnchor>
  <oneCellAnchor>
    <from>
      <col>12</col>
      <colOff>0</colOff>
      <row>1</row>
      <rowOff>0</rowOff>
    </from>
    <ext cx="7200000" cy="4320000"/>
    <graphicFrame>
      <nvGraphicFramePr>
        <cNvPr id="16" name="Chart 16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6"/>
        </a:graphicData>
      </a:graphic>
    </graphicFrame>
    <clientData/>
  </oneCellAnchor>
  <oneCellAnchor>
    <from>
      <col>12</col>
      <colOff>0</colOff>
      <row>23</row>
      <rowOff>0</rowOff>
    </from>
    <ext cx="7200000" cy="4320000"/>
    <graphicFrame>
      <nvGraphicFramePr>
        <cNvPr id="17" name="Chart 17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7"/>
        </a:graphicData>
      </a:graphic>
    </graphicFrame>
    <clientData/>
  </oneCellAnchor>
  <oneCellAnchor>
    <from>
      <col>12</col>
      <colOff>0</colOff>
      <row>45</row>
      <rowOff>0</rowOff>
    </from>
    <ext cx="7200000" cy="4320000"/>
    <graphicFrame>
      <nvGraphicFramePr>
        <cNvPr id="18" name="Chart 18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8"/>
        </a:graphicData>
      </a:graphic>
    </graphicFrame>
    <clientData/>
  </oneCellAnchor>
  <oneCellAnchor>
    <from>
      <col>12</col>
      <colOff>0</colOff>
      <row>1</row>
      <rowOff>0</rowOff>
    </from>
    <ext cx="7200000" cy="4320000"/>
    <graphicFrame>
      <nvGraphicFramePr>
        <cNvPr id="19" name="Chart 19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9"/>
        </a:graphicData>
      </a:graphic>
    </graphicFrame>
    <clientData/>
  </oneCellAnchor>
  <oneCellAnchor>
    <from>
      <col>12</col>
      <colOff>0</colOff>
      <row>23</row>
      <rowOff>0</rowOff>
    </from>
    <ext cx="7200000" cy="4320000"/>
    <graphicFrame>
      <nvGraphicFramePr>
        <cNvPr id="20" name="Chart 20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20"/>
        </a:graphicData>
      </a:graphic>
    </graphicFrame>
    <clientData/>
  </oneCellAnchor>
  <oneCellAnchor>
    <from>
      <col>12</col>
      <colOff>0</colOff>
      <row>45</row>
      <rowOff>0</rowOff>
    </from>
    <ext cx="7200000" cy="4320000"/>
    <graphicFrame>
      <nvGraphicFramePr>
        <cNvPr id="21" name="Chart 2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21"/>
        </a:graphicData>
      </a:graphic>
    </graphicFrame>
    <clientData/>
  </oneCellAnchor>
  <oneCellAnchor>
    <from>
      <col>12</col>
      <colOff>0</colOff>
      <row>1</row>
      <rowOff>0</rowOff>
    </from>
    <ext cx="7200000" cy="4320000"/>
    <graphicFrame>
      <nvGraphicFramePr>
        <cNvPr id="22" name="Chart 22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22"/>
        </a:graphicData>
      </a:graphic>
    </graphicFrame>
    <clientData/>
  </oneCellAnchor>
  <oneCellAnchor>
    <from>
      <col>12</col>
      <colOff>0</colOff>
      <row>23</row>
      <rowOff>0</rowOff>
    </from>
    <ext cx="7200000" cy="4320000"/>
    <graphicFrame>
      <nvGraphicFramePr>
        <cNvPr id="23" name="Chart 23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23"/>
        </a:graphicData>
      </a:graphic>
    </graphicFrame>
    <clientData/>
  </oneCellAnchor>
  <oneCellAnchor>
    <from>
      <col>12</col>
      <colOff>0</colOff>
      <row>45</row>
      <rowOff>0</rowOff>
    </from>
    <ext cx="7200000" cy="4320000"/>
    <graphicFrame>
      <nvGraphicFramePr>
        <cNvPr id="24" name="Chart 24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24"/>
        </a:graphicData>
      </a:graphic>
    </graphicFrame>
    <clientData/>
  </oneCellAnchor>
  <oneCellAnchor>
    <from>
      <col>12</col>
      <colOff>0</colOff>
      <row>1</row>
      <rowOff>0</rowOff>
    </from>
    <ext cx="7200000" cy="4320000"/>
    <graphicFrame>
      <nvGraphicFramePr>
        <cNvPr id="25" name="Chart 25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25"/>
        </a:graphicData>
      </a:graphic>
    </graphicFrame>
    <clientData/>
  </oneCellAnchor>
  <oneCellAnchor>
    <from>
      <col>12</col>
      <colOff>0</colOff>
      <row>23</row>
      <rowOff>0</rowOff>
    </from>
    <ext cx="7200000" cy="4320000"/>
    <graphicFrame>
      <nvGraphicFramePr>
        <cNvPr id="26" name="Chart 26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26"/>
        </a:graphicData>
      </a:graphic>
    </graphicFrame>
    <clientData/>
  </oneCellAnchor>
  <oneCellAnchor>
    <from>
      <col>12</col>
      <colOff>0</colOff>
      <row>45</row>
      <rowOff>0</rowOff>
    </from>
    <ext cx="7200000" cy="4320000"/>
    <graphicFrame>
      <nvGraphicFramePr>
        <cNvPr id="27" name="Chart 27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27"/>
        </a:graphicData>
      </a:graphic>
    </graphicFrame>
    <clientData/>
  </oneCellAnchor>
  <oneCellAnchor>
    <from>
      <col>12</col>
      <colOff>0</colOff>
      <row>1</row>
      <rowOff>0</rowOff>
    </from>
    <ext cx="7200000" cy="4320000"/>
    <graphicFrame>
      <nvGraphicFramePr>
        <cNvPr id="28" name="Chart 28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28"/>
        </a:graphicData>
      </a:graphic>
    </graphicFrame>
    <clientData/>
  </oneCellAnchor>
  <oneCellAnchor>
    <from>
      <col>12</col>
      <colOff>0</colOff>
      <row>23</row>
      <rowOff>0</rowOff>
    </from>
    <ext cx="7200000" cy="4320000"/>
    <graphicFrame>
      <nvGraphicFramePr>
        <cNvPr id="29" name="Chart 29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29"/>
        </a:graphicData>
      </a:graphic>
    </graphicFrame>
    <clientData/>
  </oneCellAnchor>
  <oneCellAnchor>
    <from>
      <col>12</col>
      <colOff>0</colOff>
      <row>45</row>
      <rowOff>0</rowOff>
    </from>
    <ext cx="7200000" cy="4320000"/>
    <graphicFrame>
      <nvGraphicFramePr>
        <cNvPr id="30" name="Chart 30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30"/>
        </a:graphicData>
      </a:graphic>
    </graphicFrame>
    <clientData/>
  </oneCellAnchor>
  <oneCellAnchor>
    <from>
      <col>12</col>
      <colOff>0</colOff>
      <row>1</row>
      <rowOff>0</rowOff>
    </from>
    <ext cx="7200000" cy="4320000"/>
    <graphicFrame>
      <nvGraphicFramePr>
        <cNvPr id="31" name="Chart 3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31"/>
        </a:graphicData>
      </a:graphic>
    </graphicFrame>
    <clientData/>
  </oneCellAnchor>
  <oneCellAnchor>
    <from>
      <col>12</col>
      <colOff>0</colOff>
      <row>23</row>
      <rowOff>0</rowOff>
    </from>
    <ext cx="7200000" cy="4320000"/>
    <graphicFrame>
      <nvGraphicFramePr>
        <cNvPr id="32" name="Chart 32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32"/>
        </a:graphicData>
      </a:graphic>
    </graphicFrame>
    <clientData/>
  </oneCellAnchor>
  <oneCellAnchor>
    <from>
      <col>12</col>
      <colOff>0</colOff>
      <row>45</row>
      <rowOff>0</rowOff>
    </from>
    <ext cx="7200000" cy="4320000"/>
    <graphicFrame>
      <nvGraphicFramePr>
        <cNvPr id="33" name="Chart 33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33"/>
        </a:graphicData>
      </a:graphic>
    </graphicFrame>
    <clientData/>
  </oneCellAnchor>
  <oneCellAnchor>
    <from>
      <col>12</col>
      <colOff>0</colOff>
      <row>1</row>
      <rowOff>0</rowOff>
    </from>
    <ext cx="7200000" cy="4320000"/>
    <graphicFrame>
      <nvGraphicFramePr>
        <cNvPr id="34" name="Chart 34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34"/>
        </a:graphicData>
      </a:graphic>
    </graphicFrame>
    <clientData/>
  </oneCellAnchor>
  <oneCellAnchor>
    <from>
      <col>12</col>
      <colOff>0</colOff>
      <row>23</row>
      <rowOff>0</rowOff>
    </from>
    <ext cx="7200000" cy="4320000"/>
    <graphicFrame>
      <nvGraphicFramePr>
        <cNvPr id="35" name="Chart 35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35"/>
        </a:graphicData>
      </a:graphic>
    </graphicFrame>
    <clientData/>
  </oneCellAnchor>
  <oneCellAnchor>
    <from>
      <col>12</col>
      <colOff>0</colOff>
      <row>45</row>
      <rowOff>0</rowOff>
    </from>
    <ext cx="7200000" cy="4320000"/>
    <graphicFrame>
      <nvGraphicFramePr>
        <cNvPr id="36" name="Chart 36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36"/>
        </a:graphicData>
      </a:graphic>
    </graphicFrame>
    <clientData/>
  </oneCellAnchor>
  <oneCellAnchor>
    <from>
      <col>12</col>
      <colOff>0</colOff>
      <row>1</row>
      <rowOff>0</rowOff>
    </from>
    <ext cx="7200000" cy="4320000"/>
    <graphicFrame>
      <nvGraphicFramePr>
        <cNvPr id="37" name="Chart 37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37"/>
        </a:graphicData>
      </a:graphic>
    </graphicFrame>
    <clientData/>
  </oneCellAnchor>
  <oneCellAnchor>
    <from>
      <col>12</col>
      <colOff>0</colOff>
      <row>23</row>
      <rowOff>0</rowOff>
    </from>
    <ext cx="7200000" cy="4320000"/>
    <graphicFrame>
      <nvGraphicFramePr>
        <cNvPr id="38" name="Chart 38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38"/>
        </a:graphicData>
      </a:graphic>
    </graphicFrame>
    <clientData/>
  </oneCellAnchor>
  <oneCellAnchor>
    <from>
      <col>12</col>
      <colOff>0</colOff>
      <row>45</row>
      <rowOff>0</rowOff>
    </from>
    <ext cx="7200000" cy="4320000"/>
    <graphicFrame>
      <nvGraphicFramePr>
        <cNvPr id="39" name="Chart 39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39"/>
        </a:graphicData>
      </a:graphic>
    </graphicFrame>
    <clientData/>
  </oneCellAnchor>
  <oneCellAnchor>
    <from>
      <col>12</col>
      <colOff>0</colOff>
      <row>1</row>
      <rowOff>0</rowOff>
    </from>
    <ext cx="7200000" cy="4320000"/>
    <graphicFrame>
      <nvGraphicFramePr>
        <cNvPr id="40" name="Chart 40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40"/>
        </a:graphicData>
      </a:graphic>
    </graphicFrame>
    <clientData/>
  </oneCellAnchor>
  <oneCellAnchor>
    <from>
      <col>12</col>
      <colOff>0</colOff>
      <row>23</row>
      <rowOff>0</rowOff>
    </from>
    <ext cx="7200000" cy="4320000"/>
    <graphicFrame>
      <nvGraphicFramePr>
        <cNvPr id="41" name="Chart 4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41"/>
        </a:graphicData>
      </a:graphic>
    </graphicFrame>
    <clientData/>
  </oneCellAnchor>
  <oneCellAnchor>
    <from>
      <col>12</col>
      <colOff>0</colOff>
      <row>45</row>
      <rowOff>0</rowOff>
    </from>
    <ext cx="7200000" cy="4320000"/>
    <graphicFrame>
      <nvGraphicFramePr>
        <cNvPr id="42" name="Chart 42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42"/>
        </a:graphicData>
      </a:graphic>
    </graphicFrame>
    <clientData/>
  </oneCellAnchor>
  <oneCellAnchor>
    <from>
      <col>12</col>
      <colOff>0</colOff>
      <row>1</row>
      <rowOff>0</rowOff>
    </from>
    <ext cx="7200000" cy="4320000"/>
    <graphicFrame>
      <nvGraphicFramePr>
        <cNvPr id="43" name="Chart 43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43"/>
        </a:graphicData>
      </a:graphic>
    </graphicFrame>
    <clientData/>
  </oneCellAnchor>
  <oneCellAnchor>
    <from>
      <col>12</col>
      <colOff>0</colOff>
      <row>23</row>
      <rowOff>0</rowOff>
    </from>
    <ext cx="7200000" cy="4320000"/>
    <graphicFrame>
      <nvGraphicFramePr>
        <cNvPr id="44" name="Chart 44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44"/>
        </a:graphicData>
      </a:graphic>
    </graphicFrame>
    <clientData/>
  </oneCellAnchor>
  <oneCellAnchor>
    <from>
      <col>12</col>
      <colOff>0</colOff>
      <row>45</row>
      <rowOff>0</rowOff>
    </from>
    <ext cx="7200000" cy="4320000"/>
    <graphicFrame>
      <nvGraphicFramePr>
        <cNvPr id="45" name="Chart 45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45"/>
        </a:graphicData>
      </a:graphic>
    </graphicFrame>
    <clientData/>
  </oneCellAnchor>
  <oneCellAnchor>
    <from>
      <col>12</col>
      <colOff>0</colOff>
      <row>1</row>
      <rowOff>0</rowOff>
    </from>
    <ext cx="7200000" cy="4320000"/>
    <graphicFrame>
      <nvGraphicFramePr>
        <cNvPr id="46" name="Chart 46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46"/>
        </a:graphicData>
      </a:graphic>
    </graphicFrame>
    <clientData/>
  </oneCellAnchor>
  <oneCellAnchor>
    <from>
      <col>12</col>
      <colOff>0</colOff>
      <row>23</row>
      <rowOff>0</rowOff>
    </from>
    <ext cx="7200000" cy="4320000"/>
    <graphicFrame>
      <nvGraphicFramePr>
        <cNvPr id="47" name="Chart 47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47"/>
        </a:graphicData>
      </a:graphic>
    </graphicFrame>
    <clientData/>
  </oneCellAnchor>
  <oneCellAnchor>
    <from>
      <col>12</col>
      <colOff>0</colOff>
      <row>45</row>
      <rowOff>0</rowOff>
    </from>
    <ext cx="7200000" cy="4320000"/>
    <graphicFrame>
      <nvGraphicFramePr>
        <cNvPr id="48" name="Chart 48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48"/>
        </a:graphicData>
      </a:graphic>
    </graphicFrame>
    <clientData/>
  </oneCellAnchor>
  <oneCellAnchor>
    <from>
      <col>12</col>
      <colOff>0</colOff>
      <row>1</row>
      <rowOff>0</rowOff>
    </from>
    <ext cx="7200000" cy="4320000"/>
    <graphicFrame>
      <nvGraphicFramePr>
        <cNvPr id="49" name="Chart 49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49"/>
        </a:graphicData>
      </a:graphic>
    </graphicFrame>
    <clientData/>
  </oneCellAnchor>
  <oneCellAnchor>
    <from>
      <col>12</col>
      <colOff>0</colOff>
      <row>23</row>
      <rowOff>0</rowOff>
    </from>
    <ext cx="7200000" cy="4320000"/>
    <graphicFrame>
      <nvGraphicFramePr>
        <cNvPr id="50" name="Chart 50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50"/>
        </a:graphicData>
      </a:graphic>
    </graphicFrame>
    <clientData/>
  </oneCellAnchor>
  <oneCellAnchor>
    <from>
      <col>12</col>
      <colOff>0</colOff>
      <row>45</row>
      <rowOff>0</rowOff>
    </from>
    <ext cx="7200000" cy="4320000"/>
    <graphicFrame>
      <nvGraphicFramePr>
        <cNvPr id="51" name="Chart 5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51"/>
        </a:graphicData>
      </a:graphic>
    </graphicFrame>
    <clientData/>
  </oneCellAnchor>
  <oneCellAnchor>
    <from>
      <col>12</col>
      <colOff>0</colOff>
      <row>1</row>
      <rowOff>0</rowOff>
    </from>
    <ext cx="7200000" cy="4320000"/>
    <graphicFrame>
      <nvGraphicFramePr>
        <cNvPr id="52" name="Chart 52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52"/>
        </a:graphicData>
      </a:graphic>
    </graphicFrame>
    <clientData/>
  </oneCellAnchor>
  <oneCellAnchor>
    <from>
      <col>12</col>
      <colOff>0</colOff>
      <row>23</row>
      <rowOff>0</rowOff>
    </from>
    <ext cx="7200000" cy="4320000"/>
    <graphicFrame>
      <nvGraphicFramePr>
        <cNvPr id="53" name="Chart 53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53"/>
        </a:graphicData>
      </a:graphic>
    </graphicFrame>
    <clientData/>
  </oneCellAnchor>
  <oneCellAnchor>
    <from>
      <col>12</col>
      <colOff>0</colOff>
      <row>45</row>
      <rowOff>0</rowOff>
    </from>
    <ext cx="7200000" cy="4320000"/>
    <graphicFrame>
      <nvGraphicFramePr>
        <cNvPr id="54" name="Chart 54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54"/>
        </a:graphicData>
      </a:graphic>
    </graphicFrame>
    <clientData/>
  </oneCellAnchor>
  <oneCellAnchor>
    <from>
      <col>12</col>
      <colOff>0</colOff>
      <row>1</row>
      <rowOff>0</rowOff>
    </from>
    <ext cx="7200000" cy="4320000"/>
    <graphicFrame>
      <nvGraphicFramePr>
        <cNvPr id="55" name="Chart 55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55"/>
        </a:graphicData>
      </a:graphic>
    </graphicFrame>
    <clientData/>
  </oneCellAnchor>
  <oneCellAnchor>
    <from>
      <col>12</col>
      <colOff>0</colOff>
      <row>23</row>
      <rowOff>0</rowOff>
    </from>
    <ext cx="7200000" cy="4320000"/>
    <graphicFrame>
      <nvGraphicFramePr>
        <cNvPr id="56" name="Chart 56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56"/>
        </a:graphicData>
      </a:graphic>
    </graphicFrame>
    <clientData/>
  </oneCellAnchor>
  <oneCellAnchor>
    <from>
      <col>12</col>
      <colOff>0</colOff>
      <row>45</row>
      <rowOff>0</rowOff>
    </from>
    <ext cx="7200000" cy="4320000"/>
    <graphicFrame>
      <nvGraphicFramePr>
        <cNvPr id="57" name="Chart 57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57"/>
        </a:graphicData>
      </a:graphic>
    </graphicFrame>
    <clientData/>
  </oneCellAnchor>
  <oneCellAnchor>
    <from>
      <col>12</col>
      <colOff>0</colOff>
      <row>1</row>
      <rowOff>0</rowOff>
    </from>
    <ext cx="7200000" cy="4320000"/>
    <graphicFrame>
      <nvGraphicFramePr>
        <cNvPr id="58" name="Chart 58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58"/>
        </a:graphicData>
      </a:graphic>
    </graphicFrame>
    <clientData/>
  </oneCellAnchor>
  <oneCellAnchor>
    <from>
      <col>12</col>
      <colOff>0</colOff>
      <row>23</row>
      <rowOff>0</rowOff>
    </from>
    <ext cx="7200000" cy="4320000"/>
    <graphicFrame>
      <nvGraphicFramePr>
        <cNvPr id="59" name="Chart 59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59"/>
        </a:graphicData>
      </a:graphic>
    </graphicFrame>
    <clientData/>
  </oneCellAnchor>
  <oneCellAnchor>
    <from>
      <col>12</col>
      <colOff>0</colOff>
      <row>45</row>
      <rowOff>0</rowOff>
    </from>
    <ext cx="7200000" cy="4320000"/>
    <graphicFrame>
      <nvGraphicFramePr>
        <cNvPr id="60" name="Chart 60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60"/>
        </a:graphicData>
      </a:graphic>
    </graphicFrame>
    <clientData/>
  </oneCellAnchor>
  <oneCellAnchor>
    <from>
      <col>12</col>
      <colOff>0</colOff>
      <row>1</row>
      <rowOff>0</rowOff>
    </from>
    <ext cx="7200000" cy="4320000"/>
    <graphicFrame>
      <nvGraphicFramePr>
        <cNvPr id="61" name="Chart 6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61"/>
        </a:graphicData>
      </a:graphic>
    </graphicFrame>
    <clientData/>
  </oneCellAnchor>
  <oneCellAnchor>
    <from>
      <col>12</col>
      <colOff>0</colOff>
      <row>23</row>
      <rowOff>0</rowOff>
    </from>
    <ext cx="7200000" cy="4320000"/>
    <graphicFrame>
      <nvGraphicFramePr>
        <cNvPr id="62" name="Chart 62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62"/>
        </a:graphicData>
      </a:graphic>
    </graphicFrame>
    <clientData/>
  </oneCellAnchor>
  <oneCellAnchor>
    <from>
      <col>12</col>
      <colOff>0</colOff>
      <row>45</row>
      <rowOff>0</rowOff>
    </from>
    <ext cx="7200000" cy="4320000"/>
    <graphicFrame>
      <nvGraphicFramePr>
        <cNvPr id="63" name="Chart 63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63"/>
        </a:graphicData>
      </a:graphic>
    </graphicFrame>
    <clientData/>
  </oneCellAnchor>
  <oneCellAnchor>
    <from>
      <col>12</col>
      <colOff>0</colOff>
      <row>1</row>
      <rowOff>0</rowOff>
    </from>
    <ext cx="7200000" cy="4320000"/>
    <graphicFrame>
      <nvGraphicFramePr>
        <cNvPr id="64" name="Chart 64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64"/>
        </a:graphicData>
      </a:graphic>
    </graphicFrame>
    <clientData/>
  </oneCellAnchor>
  <oneCellAnchor>
    <from>
      <col>12</col>
      <colOff>0</colOff>
      <row>23</row>
      <rowOff>0</rowOff>
    </from>
    <ext cx="7200000" cy="4320000"/>
    <graphicFrame>
      <nvGraphicFramePr>
        <cNvPr id="65" name="Chart 65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65"/>
        </a:graphicData>
      </a:graphic>
    </graphicFrame>
    <clientData/>
  </oneCellAnchor>
  <oneCellAnchor>
    <from>
      <col>12</col>
      <colOff>0</colOff>
      <row>45</row>
      <rowOff>0</rowOff>
    </from>
    <ext cx="7200000" cy="4320000"/>
    <graphicFrame>
      <nvGraphicFramePr>
        <cNvPr id="66" name="Chart 66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66"/>
        </a:graphicData>
      </a:graphic>
    </graphicFrame>
    <clientData/>
  </oneCellAnchor>
  <oneCellAnchor>
    <from>
      <col>12</col>
      <colOff>0</colOff>
      <row>1</row>
      <rowOff>0</rowOff>
    </from>
    <ext cx="7200000" cy="4320000"/>
    <graphicFrame>
      <nvGraphicFramePr>
        <cNvPr id="67" name="Chart 67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67"/>
        </a:graphicData>
      </a:graphic>
    </graphicFrame>
    <clientData/>
  </oneCellAnchor>
  <oneCellAnchor>
    <from>
      <col>12</col>
      <colOff>0</colOff>
      <row>23</row>
      <rowOff>0</rowOff>
    </from>
    <ext cx="7200000" cy="4320000"/>
    <graphicFrame>
      <nvGraphicFramePr>
        <cNvPr id="68" name="Chart 68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68"/>
        </a:graphicData>
      </a:graphic>
    </graphicFrame>
    <clientData/>
  </oneCellAnchor>
  <oneCellAnchor>
    <from>
      <col>12</col>
      <colOff>0</colOff>
      <row>45</row>
      <rowOff>0</rowOff>
    </from>
    <ext cx="7200000" cy="4320000"/>
    <graphicFrame>
      <nvGraphicFramePr>
        <cNvPr id="69" name="Chart 69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69"/>
        </a:graphicData>
      </a:graphic>
    </graphicFrame>
    <clientData/>
  </oneCellAnchor>
  <oneCellAnchor>
    <from>
      <col>12</col>
      <colOff>0</colOff>
      <row>1</row>
      <rowOff>0</rowOff>
    </from>
    <ext cx="7200000" cy="4320000"/>
    <graphicFrame>
      <nvGraphicFramePr>
        <cNvPr id="70" name="Chart 70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70"/>
        </a:graphicData>
      </a:graphic>
    </graphicFrame>
    <clientData/>
  </oneCellAnchor>
  <oneCellAnchor>
    <from>
      <col>12</col>
      <colOff>0</colOff>
      <row>23</row>
      <rowOff>0</rowOff>
    </from>
    <ext cx="7200000" cy="4320000"/>
    <graphicFrame>
      <nvGraphicFramePr>
        <cNvPr id="71" name="Chart 7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71"/>
        </a:graphicData>
      </a:graphic>
    </graphicFrame>
    <clientData/>
  </oneCellAnchor>
  <oneCellAnchor>
    <from>
      <col>12</col>
      <colOff>0</colOff>
      <row>45</row>
      <rowOff>0</rowOff>
    </from>
    <ext cx="7200000" cy="4320000"/>
    <graphicFrame>
      <nvGraphicFramePr>
        <cNvPr id="72" name="Chart 72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72"/>
        </a:graphicData>
      </a:graphic>
    </graphicFrame>
    <clientData/>
  </oneCellAnchor>
  <oneCellAnchor>
    <from>
      <col>12</col>
      <colOff>0</colOff>
      <row>1</row>
      <rowOff>0</rowOff>
    </from>
    <ext cx="7200000" cy="4320000"/>
    <graphicFrame>
      <nvGraphicFramePr>
        <cNvPr id="73" name="Chart 73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73"/>
        </a:graphicData>
      </a:graphic>
    </graphicFrame>
    <clientData/>
  </oneCellAnchor>
  <oneCellAnchor>
    <from>
      <col>12</col>
      <colOff>0</colOff>
      <row>23</row>
      <rowOff>0</rowOff>
    </from>
    <ext cx="7200000" cy="4320000"/>
    <graphicFrame>
      <nvGraphicFramePr>
        <cNvPr id="74" name="Chart 74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74"/>
        </a:graphicData>
      </a:graphic>
    </graphicFrame>
    <clientData/>
  </oneCellAnchor>
  <oneCellAnchor>
    <from>
      <col>12</col>
      <colOff>0</colOff>
      <row>45</row>
      <rowOff>0</rowOff>
    </from>
    <ext cx="7200000" cy="4320000"/>
    <graphicFrame>
      <nvGraphicFramePr>
        <cNvPr id="75" name="Chart 75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75"/>
        </a:graphicData>
      </a:graphic>
    </graphicFrame>
    <clientData/>
  </oneCellAnchor>
  <oneCellAnchor>
    <from>
      <col>12</col>
      <colOff>0</colOff>
      <row>1</row>
      <rowOff>0</rowOff>
    </from>
    <ext cx="7200000" cy="4320000"/>
    <graphicFrame>
      <nvGraphicFramePr>
        <cNvPr id="76" name="Chart 76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76"/>
        </a:graphicData>
      </a:graphic>
    </graphicFrame>
    <clientData/>
  </oneCellAnchor>
  <oneCellAnchor>
    <from>
      <col>12</col>
      <colOff>0</colOff>
      <row>23</row>
      <rowOff>0</rowOff>
    </from>
    <ext cx="7200000" cy="4320000"/>
    <graphicFrame>
      <nvGraphicFramePr>
        <cNvPr id="77" name="Chart 77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77"/>
        </a:graphicData>
      </a:graphic>
    </graphicFrame>
    <clientData/>
  </oneCellAnchor>
  <oneCellAnchor>
    <from>
      <col>12</col>
      <colOff>0</colOff>
      <row>45</row>
      <rowOff>0</rowOff>
    </from>
    <ext cx="7200000" cy="4320000"/>
    <graphicFrame>
      <nvGraphicFramePr>
        <cNvPr id="78" name="Chart 78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78"/>
        </a:graphicData>
      </a:graphic>
    </graphicFrame>
    <clientData/>
  </oneCellAnchor>
  <oneCellAnchor>
    <from>
      <col>12</col>
      <colOff>0</colOff>
      <row>1</row>
      <rowOff>0</rowOff>
    </from>
    <ext cx="7200000" cy="4320000"/>
    <graphicFrame>
      <nvGraphicFramePr>
        <cNvPr id="79" name="Chart 79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79"/>
        </a:graphicData>
      </a:graphic>
    </graphicFrame>
    <clientData/>
  </oneCellAnchor>
  <oneCellAnchor>
    <from>
      <col>12</col>
      <colOff>0</colOff>
      <row>23</row>
      <rowOff>0</rowOff>
    </from>
    <ext cx="7200000" cy="4320000"/>
    <graphicFrame>
      <nvGraphicFramePr>
        <cNvPr id="80" name="Chart 80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80"/>
        </a:graphicData>
      </a:graphic>
    </graphicFrame>
    <clientData/>
  </oneCellAnchor>
  <oneCellAnchor>
    <from>
      <col>12</col>
      <colOff>0</colOff>
      <row>45</row>
      <rowOff>0</rowOff>
    </from>
    <ext cx="7200000" cy="4320000"/>
    <graphicFrame>
      <nvGraphicFramePr>
        <cNvPr id="81" name="Chart 8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81"/>
        </a:graphicData>
      </a:graphic>
    </graphicFrame>
    <clientData/>
  </oneCellAnchor>
  <oneCellAnchor>
    <from>
      <col>12</col>
      <colOff>0</colOff>
      <row>1</row>
      <rowOff>0</rowOff>
    </from>
    <ext cx="7200000" cy="4320000"/>
    <graphicFrame>
      <nvGraphicFramePr>
        <cNvPr id="82" name="Chart 82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82"/>
        </a:graphicData>
      </a:graphic>
    </graphicFrame>
    <clientData/>
  </oneCellAnchor>
  <oneCellAnchor>
    <from>
      <col>12</col>
      <colOff>0</colOff>
      <row>23</row>
      <rowOff>0</rowOff>
    </from>
    <ext cx="7200000" cy="4320000"/>
    <graphicFrame>
      <nvGraphicFramePr>
        <cNvPr id="83" name="Chart 83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83"/>
        </a:graphicData>
      </a:graphic>
    </graphicFrame>
    <clientData/>
  </oneCellAnchor>
  <oneCellAnchor>
    <from>
      <col>12</col>
      <colOff>0</colOff>
      <row>45</row>
      <rowOff>0</rowOff>
    </from>
    <ext cx="7200000" cy="4320000"/>
    <graphicFrame>
      <nvGraphicFramePr>
        <cNvPr id="84" name="Chart 84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84"/>
        </a:graphicData>
      </a:graphic>
    </graphicFrame>
    <clientData/>
  </oneCellAnchor>
  <oneCellAnchor>
    <from>
      <col>12</col>
      <colOff>0</colOff>
      <row>1</row>
      <rowOff>0</rowOff>
    </from>
    <ext cx="7200000" cy="4320000"/>
    <graphicFrame>
      <nvGraphicFramePr>
        <cNvPr id="85" name="Chart 85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85"/>
        </a:graphicData>
      </a:graphic>
    </graphicFrame>
    <clientData/>
  </oneCellAnchor>
  <oneCellAnchor>
    <from>
      <col>12</col>
      <colOff>0</colOff>
      <row>23</row>
      <rowOff>0</rowOff>
    </from>
    <ext cx="7200000" cy="4320000"/>
    <graphicFrame>
      <nvGraphicFramePr>
        <cNvPr id="86" name="Chart 86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86"/>
        </a:graphicData>
      </a:graphic>
    </graphicFrame>
    <clientData/>
  </oneCellAnchor>
  <oneCellAnchor>
    <from>
      <col>12</col>
      <colOff>0</colOff>
      <row>45</row>
      <rowOff>0</rowOff>
    </from>
    <ext cx="7200000" cy="4320000"/>
    <graphicFrame>
      <nvGraphicFramePr>
        <cNvPr id="87" name="Chart 87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87"/>
        </a:graphicData>
      </a:graphic>
    </graphicFrame>
    <clientData/>
  </oneCellAnchor>
  <oneCellAnchor>
    <from>
      <col>12</col>
      <colOff>0</colOff>
      <row>1</row>
      <rowOff>0</rowOff>
    </from>
    <ext cx="7200000" cy="4320000"/>
    <graphicFrame>
      <nvGraphicFramePr>
        <cNvPr id="88" name="Chart 88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88"/>
        </a:graphicData>
      </a:graphic>
    </graphicFrame>
    <clientData/>
  </oneCellAnchor>
  <oneCellAnchor>
    <from>
      <col>12</col>
      <colOff>0</colOff>
      <row>23</row>
      <rowOff>0</rowOff>
    </from>
    <ext cx="7200000" cy="4320000"/>
    <graphicFrame>
      <nvGraphicFramePr>
        <cNvPr id="89" name="Chart 89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89"/>
        </a:graphicData>
      </a:graphic>
    </graphicFrame>
    <clientData/>
  </oneCellAnchor>
  <oneCellAnchor>
    <from>
      <col>12</col>
      <colOff>0</colOff>
      <row>45</row>
      <rowOff>0</rowOff>
    </from>
    <ext cx="7200000" cy="4320000"/>
    <graphicFrame>
      <nvGraphicFramePr>
        <cNvPr id="90" name="Chart 90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90"/>
        </a:graphicData>
      </a:graphic>
    </graphicFrame>
    <clientData/>
  </oneCellAnchor>
  <oneCellAnchor>
    <from>
      <col>12</col>
      <colOff>0</colOff>
      <row>1</row>
      <rowOff>0</rowOff>
    </from>
    <ext cx="7200000" cy="4320000"/>
    <graphicFrame>
      <nvGraphicFramePr>
        <cNvPr id="91" name="Chart 9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91"/>
        </a:graphicData>
      </a:graphic>
    </graphicFrame>
    <clientData/>
  </oneCellAnchor>
  <oneCellAnchor>
    <from>
      <col>12</col>
      <colOff>0</colOff>
      <row>23</row>
      <rowOff>0</rowOff>
    </from>
    <ext cx="7200000" cy="4320000"/>
    <graphicFrame>
      <nvGraphicFramePr>
        <cNvPr id="92" name="Chart 92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92"/>
        </a:graphicData>
      </a:graphic>
    </graphicFrame>
    <clientData/>
  </oneCellAnchor>
  <oneCellAnchor>
    <from>
      <col>12</col>
      <colOff>0</colOff>
      <row>45</row>
      <rowOff>0</rowOff>
    </from>
    <ext cx="7200000" cy="4320000"/>
    <graphicFrame>
      <nvGraphicFramePr>
        <cNvPr id="93" name="Chart 93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93"/>
        </a:graphicData>
      </a:graphic>
    </graphicFrame>
    <clientData/>
  </oneCellAnchor>
  <oneCellAnchor>
    <from>
      <col>12</col>
      <colOff>0</colOff>
      <row>1</row>
      <rowOff>0</rowOff>
    </from>
    <ext cx="7200000" cy="4320000"/>
    <graphicFrame>
      <nvGraphicFramePr>
        <cNvPr id="94" name="Chart 94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94"/>
        </a:graphicData>
      </a:graphic>
    </graphicFrame>
    <clientData/>
  </oneCellAnchor>
  <oneCellAnchor>
    <from>
      <col>12</col>
      <colOff>0</colOff>
      <row>23</row>
      <rowOff>0</rowOff>
    </from>
    <ext cx="7200000" cy="4320000"/>
    <graphicFrame>
      <nvGraphicFramePr>
        <cNvPr id="95" name="Chart 95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95"/>
        </a:graphicData>
      </a:graphic>
    </graphicFrame>
    <clientData/>
  </oneCellAnchor>
  <oneCellAnchor>
    <from>
      <col>12</col>
      <colOff>0</colOff>
      <row>45</row>
      <rowOff>0</rowOff>
    </from>
    <ext cx="7200000" cy="4320000"/>
    <graphicFrame>
      <nvGraphicFramePr>
        <cNvPr id="96" name="Chart 96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96"/>
        </a:graphicData>
      </a:graphic>
    </graphicFrame>
    <clientData/>
  </oneCellAnchor>
  <oneCellAnchor>
    <from>
      <col>12</col>
      <colOff>0</colOff>
      <row>1</row>
      <rowOff>0</rowOff>
    </from>
    <ext cx="7200000" cy="4320000"/>
    <graphicFrame>
      <nvGraphicFramePr>
        <cNvPr id="97" name="Chart 97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97"/>
        </a:graphicData>
      </a:graphic>
    </graphicFrame>
    <clientData/>
  </oneCellAnchor>
  <oneCellAnchor>
    <from>
      <col>12</col>
      <colOff>0</colOff>
      <row>23</row>
      <rowOff>0</rowOff>
    </from>
    <ext cx="7200000" cy="4320000"/>
    <graphicFrame>
      <nvGraphicFramePr>
        <cNvPr id="98" name="Chart 98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98"/>
        </a:graphicData>
      </a:graphic>
    </graphicFrame>
    <clientData/>
  </oneCellAnchor>
  <oneCellAnchor>
    <from>
      <col>12</col>
      <colOff>0</colOff>
      <row>45</row>
      <rowOff>0</rowOff>
    </from>
    <ext cx="7200000" cy="4320000"/>
    <graphicFrame>
      <nvGraphicFramePr>
        <cNvPr id="99" name="Chart 99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99"/>
        </a:graphicData>
      </a:graphic>
    </graphicFrame>
    <clientData/>
  </oneCellAnchor>
  <oneCellAnchor>
    <from>
      <col>12</col>
      <colOff>0</colOff>
      <row>1</row>
      <rowOff>0</rowOff>
    </from>
    <ext cx="7200000" cy="4320000"/>
    <graphicFrame>
      <nvGraphicFramePr>
        <cNvPr id="100" name="Chart 100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00"/>
        </a:graphicData>
      </a:graphic>
    </graphicFrame>
    <clientData/>
  </oneCellAnchor>
  <oneCellAnchor>
    <from>
      <col>12</col>
      <colOff>0</colOff>
      <row>23</row>
      <rowOff>0</rowOff>
    </from>
    <ext cx="7200000" cy="4320000"/>
    <graphicFrame>
      <nvGraphicFramePr>
        <cNvPr id="101" name="Chart 10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01"/>
        </a:graphicData>
      </a:graphic>
    </graphicFrame>
    <clientData/>
  </oneCellAnchor>
  <oneCellAnchor>
    <from>
      <col>12</col>
      <colOff>0</colOff>
      <row>45</row>
      <rowOff>0</rowOff>
    </from>
    <ext cx="7200000" cy="4320000"/>
    <graphicFrame>
      <nvGraphicFramePr>
        <cNvPr id="102" name="Chart 102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02"/>
        </a:graphicData>
      </a:graphic>
    </graphicFrame>
    <clientData/>
  </oneCellAnchor>
  <oneCellAnchor>
    <from>
      <col>12</col>
      <colOff>0</colOff>
      <row>1</row>
      <rowOff>0</rowOff>
    </from>
    <ext cx="7200000" cy="4320000"/>
    <graphicFrame>
      <nvGraphicFramePr>
        <cNvPr id="103" name="Chart 103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03"/>
        </a:graphicData>
      </a:graphic>
    </graphicFrame>
    <clientData/>
  </oneCellAnchor>
  <oneCellAnchor>
    <from>
      <col>12</col>
      <colOff>0</colOff>
      <row>23</row>
      <rowOff>0</rowOff>
    </from>
    <ext cx="7200000" cy="4320000"/>
    <graphicFrame>
      <nvGraphicFramePr>
        <cNvPr id="104" name="Chart 104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04"/>
        </a:graphicData>
      </a:graphic>
    </graphicFrame>
    <clientData/>
  </oneCellAnchor>
  <oneCellAnchor>
    <from>
      <col>12</col>
      <colOff>0</colOff>
      <row>45</row>
      <rowOff>0</rowOff>
    </from>
    <ext cx="7200000" cy="4320000"/>
    <graphicFrame>
      <nvGraphicFramePr>
        <cNvPr id="105" name="Chart 105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05"/>
        </a:graphicData>
      </a:graphic>
    </graphicFrame>
    <clientData/>
  </oneCellAnchor>
  <oneCellAnchor>
    <from>
      <col>12</col>
      <colOff>0</colOff>
      <row>1</row>
      <rowOff>0</rowOff>
    </from>
    <ext cx="7200000" cy="4320000"/>
    <graphicFrame>
      <nvGraphicFramePr>
        <cNvPr id="106" name="Chart 106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06"/>
        </a:graphicData>
      </a:graphic>
    </graphicFrame>
    <clientData/>
  </oneCellAnchor>
  <oneCellAnchor>
    <from>
      <col>12</col>
      <colOff>0</colOff>
      <row>23</row>
      <rowOff>0</rowOff>
    </from>
    <ext cx="7200000" cy="4320000"/>
    <graphicFrame>
      <nvGraphicFramePr>
        <cNvPr id="107" name="Chart 107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07"/>
        </a:graphicData>
      </a:graphic>
    </graphicFrame>
    <clientData/>
  </oneCellAnchor>
  <oneCellAnchor>
    <from>
      <col>12</col>
      <colOff>0</colOff>
      <row>45</row>
      <rowOff>0</rowOff>
    </from>
    <ext cx="7200000" cy="4320000"/>
    <graphicFrame>
      <nvGraphicFramePr>
        <cNvPr id="108" name="Chart 108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08"/>
        </a:graphicData>
      </a:graphic>
    </graphicFrame>
    <clientData/>
  </oneCellAnchor>
  <oneCellAnchor>
    <from>
      <col>12</col>
      <colOff>0</colOff>
      <row>1</row>
      <rowOff>0</rowOff>
    </from>
    <ext cx="7200000" cy="4320000"/>
    <graphicFrame>
      <nvGraphicFramePr>
        <cNvPr id="109" name="Chart 109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09"/>
        </a:graphicData>
      </a:graphic>
    </graphicFrame>
    <clientData/>
  </oneCellAnchor>
  <oneCellAnchor>
    <from>
      <col>12</col>
      <colOff>0</colOff>
      <row>23</row>
      <rowOff>0</rowOff>
    </from>
    <ext cx="7200000" cy="4320000"/>
    <graphicFrame>
      <nvGraphicFramePr>
        <cNvPr id="110" name="Chart 110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10"/>
        </a:graphicData>
      </a:graphic>
    </graphicFrame>
    <clientData/>
  </oneCellAnchor>
  <oneCellAnchor>
    <from>
      <col>12</col>
      <colOff>0</colOff>
      <row>45</row>
      <rowOff>0</rowOff>
    </from>
    <ext cx="7200000" cy="4320000"/>
    <graphicFrame>
      <nvGraphicFramePr>
        <cNvPr id="111" name="Chart 11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11"/>
        </a:graphicData>
      </a:graphic>
    </graphicFrame>
    <clientData/>
  </oneCellAnchor>
  <oneCellAnchor>
    <from>
      <col>12</col>
      <colOff>0</colOff>
      <row>1</row>
      <rowOff>0</rowOff>
    </from>
    <ext cx="7200000" cy="4320000"/>
    <graphicFrame>
      <nvGraphicFramePr>
        <cNvPr id="112" name="Chart 112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12"/>
        </a:graphicData>
      </a:graphic>
    </graphicFrame>
    <clientData/>
  </oneCellAnchor>
  <oneCellAnchor>
    <from>
      <col>12</col>
      <colOff>0</colOff>
      <row>23</row>
      <rowOff>0</rowOff>
    </from>
    <ext cx="7200000" cy="4320000"/>
    <graphicFrame>
      <nvGraphicFramePr>
        <cNvPr id="113" name="Chart 113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13"/>
        </a:graphicData>
      </a:graphic>
    </graphicFrame>
    <clientData/>
  </oneCellAnchor>
  <oneCellAnchor>
    <from>
      <col>12</col>
      <colOff>0</colOff>
      <row>45</row>
      <rowOff>0</rowOff>
    </from>
    <ext cx="7200000" cy="4320000"/>
    <graphicFrame>
      <nvGraphicFramePr>
        <cNvPr id="114" name="Chart 114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14"/>
        </a:graphicData>
      </a:graphic>
    </graphicFrame>
    <clientData/>
  </oneCellAnchor>
  <oneCellAnchor>
    <from>
      <col>12</col>
      <colOff>0</colOff>
      <row>1</row>
      <rowOff>0</rowOff>
    </from>
    <ext cx="7200000" cy="4320000"/>
    <graphicFrame>
      <nvGraphicFramePr>
        <cNvPr id="115" name="Chart 115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15"/>
        </a:graphicData>
      </a:graphic>
    </graphicFrame>
    <clientData/>
  </oneCellAnchor>
  <oneCellAnchor>
    <from>
      <col>12</col>
      <colOff>0</colOff>
      <row>23</row>
      <rowOff>0</rowOff>
    </from>
    <ext cx="7200000" cy="4320000"/>
    <graphicFrame>
      <nvGraphicFramePr>
        <cNvPr id="116" name="Chart 116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16"/>
        </a:graphicData>
      </a:graphic>
    </graphicFrame>
    <clientData/>
  </oneCellAnchor>
  <oneCellAnchor>
    <from>
      <col>12</col>
      <colOff>0</colOff>
      <row>45</row>
      <rowOff>0</rowOff>
    </from>
    <ext cx="7200000" cy="4320000"/>
    <graphicFrame>
      <nvGraphicFramePr>
        <cNvPr id="117" name="Chart 117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17"/>
        </a:graphicData>
      </a:graphic>
    </graphicFrame>
    <clientData/>
  </oneCellAnchor>
</wsDr>
</file>

<file path=xl/drawings/drawing3.xml><?xml version="1.0" encoding="utf-8"?>
<wsDr xmlns="http://schemas.openxmlformats.org/drawingml/2006/spreadsheetDrawing">
  <oneCellAnchor>
    <from>
      <col>11</col>
      <colOff>0</colOff>
      <row>1</row>
      <rowOff>0</rowOff>
    </from>
    <ext cx="7200000" cy="432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  <oneCellAnchor>
    <from>
      <col>11</col>
      <colOff>0</colOff>
      <row>1</row>
      <rowOff>0</rowOff>
    </from>
    <ext cx="7200000" cy="4320000"/>
    <graphicFrame>
      <nvGraphicFramePr>
        <cNvPr id="2" name="Chart 2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graphicFrame>
    <clientData/>
  </oneCellAnchor>
  <oneCellAnchor>
    <from>
      <col>11</col>
      <colOff>0</colOff>
      <row>1</row>
      <rowOff>0</rowOff>
    </from>
    <ext cx="7200000" cy="4320000"/>
    <graphicFrame>
      <nvGraphicFramePr>
        <cNvPr id="3" name="Chart 3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graphicFrame>
    <clientData/>
  </oneCellAnchor>
  <oneCellAnchor>
    <from>
      <col>11</col>
      <colOff>0</colOff>
      <row>1</row>
      <rowOff>0</rowOff>
    </from>
    <ext cx="7200000" cy="4320000"/>
    <graphicFrame>
      <nvGraphicFramePr>
        <cNvPr id="4" name="Chart 4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graphicFrame>
    <clientData/>
  </oneCellAnchor>
  <oneCellAnchor>
    <from>
      <col>11</col>
      <colOff>0</colOff>
      <row>1</row>
      <rowOff>0</rowOff>
    </from>
    <ext cx="7200000" cy="4320000"/>
    <graphicFrame>
      <nvGraphicFramePr>
        <cNvPr id="5" name="Chart 5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graphicFrame>
    <clientData/>
  </oneCellAnchor>
  <oneCellAnchor>
    <from>
      <col>11</col>
      <colOff>0</colOff>
      <row>1</row>
      <rowOff>0</rowOff>
    </from>
    <ext cx="7200000" cy="4320000"/>
    <graphicFrame>
      <nvGraphicFramePr>
        <cNvPr id="6" name="Chart 6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6"/>
        </a:graphicData>
      </a:graphic>
    </graphicFrame>
    <clientData/>
  </oneCellAnchor>
  <oneCellAnchor>
    <from>
      <col>11</col>
      <colOff>0</colOff>
      <row>1</row>
      <rowOff>0</rowOff>
    </from>
    <ext cx="7200000" cy="4320000"/>
    <graphicFrame>
      <nvGraphicFramePr>
        <cNvPr id="7" name="Chart 7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7"/>
        </a:graphicData>
      </a:graphic>
    </graphicFrame>
    <clientData/>
  </oneCellAnchor>
  <oneCellAnchor>
    <from>
      <col>11</col>
      <colOff>0</colOff>
      <row>1</row>
      <rowOff>0</rowOff>
    </from>
    <ext cx="7200000" cy="4320000"/>
    <graphicFrame>
      <nvGraphicFramePr>
        <cNvPr id="8" name="Chart 8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8"/>
        </a:graphicData>
      </a:graphic>
    </graphicFrame>
    <clientData/>
  </oneCellAnchor>
  <oneCellAnchor>
    <from>
      <col>11</col>
      <colOff>0</colOff>
      <row>1</row>
      <rowOff>0</rowOff>
    </from>
    <ext cx="7200000" cy="4320000"/>
    <graphicFrame>
      <nvGraphicFramePr>
        <cNvPr id="9" name="Chart 9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9"/>
        </a:graphicData>
      </a:graphic>
    </graphicFrame>
    <clientData/>
  </oneCellAnchor>
  <oneCellAnchor>
    <from>
      <col>11</col>
      <colOff>0</colOff>
      <row>1</row>
      <rowOff>0</rowOff>
    </from>
    <ext cx="7200000" cy="4320000"/>
    <graphicFrame>
      <nvGraphicFramePr>
        <cNvPr id="10" name="Chart 10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0"/>
        </a:graphicData>
      </a:graphic>
    </graphicFrame>
    <clientData/>
  </oneCellAnchor>
  <oneCellAnchor>
    <from>
      <col>11</col>
      <colOff>0</colOff>
      <row>1</row>
      <rowOff>0</rowOff>
    </from>
    <ext cx="7200000" cy="4320000"/>
    <graphicFrame>
      <nvGraphicFramePr>
        <cNvPr id="11" name="Chart 1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1"/>
        </a:graphicData>
      </a:graphic>
    </graphicFrame>
    <clientData/>
  </oneCellAnchor>
  <oneCellAnchor>
    <from>
      <col>11</col>
      <colOff>0</colOff>
      <row>1</row>
      <rowOff>0</rowOff>
    </from>
    <ext cx="7200000" cy="4320000"/>
    <graphicFrame>
      <nvGraphicFramePr>
        <cNvPr id="12" name="Chart 12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2"/>
        </a:graphicData>
      </a:graphic>
    </graphicFrame>
    <clientData/>
  </oneCellAnchor>
  <oneCellAnchor>
    <from>
      <col>11</col>
      <colOff>0</colOff>
      <row>1</row>
      <rowOff>0</rowOff>
    </from>
    <ext cx="7200000" cy="4320000"/>
    <graphicFrame>
      <nvGraphicFramePr>
        <cNvPr id="13" name="Chart 13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3"/>
        </a:graphicData>
      </a:graphic>
    </graphicFrame>
    <clientData/>
  </oneCellAnchor>
  <oneCellAnchor>
    <from>
      <col>11</col>
      <colOff>0</colOff>
      <row>1</row>
      <rowOff>0</rowOff>
    </from>
    <ext cx="7200000" cy="4320000"/>
    <graphicFrame>
      <nvGraphicFramePr>
        <cNvPr id="14" name="Chart 14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4"/>
        </a:graphicData>
      </a:graphic>
    </graphicFrame>
    <clientData/>
  </oneCellAnchor>
  <oneCellAnchor>
    <from>
      <col>11</col>
      <colOff>0</colOff>
      <row>1</row>
      <rowOff>0</rowOff>
    </from>
    <ext cx="7200000" cy="4320000"/>
    <graphicFrame>
      <nvGraphicFramePr>
        <cNvPr id="15" name="Chart 15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5"/>
        </a:graphicData>
      </a:graphic>
    </graphicFrame>
    <clientData/>
  </oneCellAnchor>
  <oneCellAnchor>
    <from>
      <col>11</col>
      <colOff>0</colOff>
      <row>1</row>
      <rowOff>0</rowOff>
    </from>
    <ext cx="7200000" cy="4320000"/>
    <graphicFrame>
      <nvGraphicFramePr>
        <cNvPr id="16" name="Chart 16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6"/>
        </a:graphicData>
      </a:graphic>
    </graphicFrame>
    <clientData/>
  </oneCellAnchor>
  <oneCellAnchor>
    <from>
      <col>11</col>
      <colOff>0</colOff>
      <row>1</row>
      <rowOff>0</rowOff>
    </from>
    <ext cx="7200000" cy="4320000"/>
    <graphicFrame>
      <nvGraphicFramePr>
        <cNvPr id="17" name="Chart 17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7"/>
        </a:graphicData>
      </a:graphic>
    </graphicFrame>
    <clientData/>
  </oneCellAnchor>
  <oneCellAnchor>
    <from>
      <col>11</col>
      <colOff>0</colOff>
      <row>1</row>
      <rowOff>0</rowOff>
    </from>
    <ext cx="7200000" cy="4320000"/>
    <graphicFrame>
      <nvGraphicFramePr>
        <cNvPr id="18" name="Chart 18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8"/>
        </a:graphicData>
      </a:graphic>
    </graphicFrame>
    <clientData/>
  </oneCellAnchor>
  <oneCellAnchor>
    <from>
      <col>11</col>
      <colOff>0</colOff>
      <row>1</row>
      <rowOff>0</rowOff>
    </from>
    <ext cx="7200000" cy="4320000"/>
    <graphicFrame>
      <nvGraphicFramePr>
        <cNvPr id="19" name="Chart 19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9"/>
        </a:graphicData>
      </a:graphic>
    </graphicFrame>
    <clientData/>
  </oneCellAnchor>
  <oneCellAnchor>
    <from>
      <col>11</col>
      <colOff>0</colOff>
      <row>1</row>
      <rowOff>0</rowOff>
    </from>
    <ext cx="7200000" cy="4320000"/>
    <graphicFrame>
      <nvGraphicFramePr>
        <cNvPr id="20" name="Chart 20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20"/>
        </a:graphicData>
      </a:graphic>
    </graphicFrame>
    <clientData/>
  </oneCellAnchor>
  <oneCellAnchor>
    <from>
      <col>11</col>
      <colOff>0</colOff>
      <row>1</row>
      <rowOff>0</rowOff>
    </from>
    <ext cx="7200000" cy="4320000"/>
    <graphicFrame>
      <nvGraphicFramePr>
        <cNvPr id="21" name="Chart 2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21"/>
        </a:graphicData>
      </a:graphic>
    </graphicFrame>
    <clientData/>
  </oneCellAnchor>
  <oneCellAnchor>
    <from>
      <col>11</col>
      <colOff>0</colOff>
      <row>1</row>
      <rowOff>0</rowOff>
    </from>
    <ext cx="7200000" cy="4320000"/>
    <graphicFrame>
      <nvGraphicFramePr>
        <cNvPr id="22" name="Chart 22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22"/>
        </a:graphicData>
      </a:graphic>
    </graphicFrame>
    <clientData/>
  </oneCellAnchor>
  <oneCellAnchor>
    <from>
      <col>11</col>
      <colOff>0</colOff>
      <row>1</row>
      <rowOff>0</rowOff>
    </from>
    <ext cx="7200000" cy="4320000"/>
    <graphicFrame>
      <nvGraphicFramePr>
        <cNvPr id="23" name="Chart 23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23"/>
        </a:graphicData>
      </a:graphic>
    </graphicFrame>
    <clientData/>
  </oneCellAnchor>
  <oneCellAnchor>
    <from>
      <col>11</col>
      <colOff>0</colOff>
      <row>1</row>
      <rowOff>0</rowOff>
    </from>
    <ext cx="7200000" cy="4320000"/>
    <graphicFrame>
      <nvGraphicFramePr>
        <cNvPr id="24" name="Chart 24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24"/>
        </a:graphicData>
      </a:graphic>
    </graphicFrame>
    <clientData/>
  </oneCellAnchor>
  <oneCellAnchor>
    <from>
      <col>11</col>
      <colOff>0</colOff>
      <row>1</row>
      <rowOff>0</rowOff>
    </from>
    <ext cx="7200000" cy="4320000"/>
    <graphicFrame>
      <nvGraphicFramePr>
        <cNvPr id="25" name="Chart 25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25"/>
        </a:graphicData>
      </a:graphic>
    </graphicFrame>
    <clientData/>
  </oneCellAnchor>
  <oneCellAnchor>
    <from>
      <col>11</col>
      <colOff>0</colOff>
      <row>1</row>
      <rowOff>0</rowOff>
    </from>
    <ext cx="7200000" cy="4320000"/>
    <graphicFrame>
      <nvGraphicFramePr>
        <cNvPr id="26" name="Chart 26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26"/>
        </a:graphicData>
      </a:graphic>
    </graphicFrame>
    <clientData/>
  </oneCellAnchor>
  <oneCellAnchor>
    <from>
      <col>11</col>
      <colOff>0</colOff>
      <row>1</row>
      <rowOff>0</rowOff>
    </from>
    <ext cx="7200000" cy="4320000"/>
    <graphicFrame>
      <nvGraphicFramePr>
        <cNvPr id="27" name="Chart 27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27"/>
        </a:graphicData>
      </a:graphic>
    </graphicFrame>
    <clientData/>
  </oneCellAnchor>
  <oneCellAnchor>
    <from>
      <col>11</col>
      <colOff>0</colOff>
      <row>1</row>
      <rowOff>0</rowOff>
    </from>
    <ext cx="7200000" cy="4320000"/>
    <graphicFrame>
      <nvGraphicFramePr>
        <cNvPr id="28" name="Chart 28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28"/>
        </a:graphicData>
      </a:graphic>
    </graphicFrame>
    <clientData/>
  </oneCellAnchor>
  <oneCellAnchor>
    <from>
      <col>11</col>
      <colOff>0</colOff>
      <row>1</row>
      <rowOff>0</rowOff>
    </from>
    <ext cx="7200000" cy="4320000"/>
    <graphicFrame>
      <nvGraphicFramePr>
        <cNvPr id="29" name="Chart 29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29"/>
        </a:graphicData>
      </a:graphic>
    </graphicFrame>
    <clientData/>
  </oneCellAnchor>
  <oneCellAnchor>
    <from>
      <col>11</col>
      <colOff>0</colOff>
      <row>1</row>
      <rowOff>0</rowOff>
    </from>
    <ext cx="7200000" cy="4320000"/>
    <graphicFrame>
      <nvGraphicFramePr>
        <cNvPr id="30" name="Chart 30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30"/>
        </a:graphicData>
      </a:graphic>
    </graphicFrame>
    <clientData/>
  </oneCellAnchor>
  <oneCellAnchor>
    <from>
      <col>11</col>
      <colOff>0</colOff>
      <row>1</row>
      <rowOff>0</rowOff>
    </from>
    <ext cx="7200000" cy="4320000"/>
    <graphicFrame>
      <nvGraphicFramePr>
        <cNvPr id="31" name="Chart 3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31"/>
        </a:graphicData>
      </a:graphic>
    </graphicFrame>
    <clientData/>
  </oneCellAnchor>
</wsDr>
</file>

<file path=xl/drawings/drawing4.xml><?xml version="1.0" encoding="utf-8"?>
<wsDr xmlns="http://schemas.openxmlformats.org/drawingml/2006/spreadsheetDrawing">
  <oneCellAnchor>
    <from>
      <col>12</col>
      <colOff>0</colOff>
      <row>31</row>
      <rowOff>0</rowOff>
    </from>
    <ext cx="7200000" cy="432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  <oneCellAnchor>
    <from>
      <col>12</col>
      <colOff>0</colOff>
      <row>31</row>
      <rowOff>0</rowOff>
    </from>
    <ext cx="7200000" cy="4320000"/>
    <graphicFrame>
      <nvGraphicFramePr>
        <cNvPr id="2" name="Chart 2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graphicFrame>
    <clientData/>
  </oneCellAnchor>
  <oneCellAnchor>
    <from>
      <col>12</col>
      <colOff>0</colOff>
      <row>31</row>
      <rowOff>0</rowOff>
    </from>
    <ext cx="7200000" cy="4320000"/>
    <graphicFrame>
      <nvGraphicFramePr>
        <cNvPr id="3" name="Chart 3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graphicFrame>
    <clientData/>
  </oneCellAnchor>
  <oneCellAnchor>
    <from>
      <col>12</col>
      <colOff>0</colOff>
      <row>31</row>
      <rowOff>0</rowOff>
    </from>
    <ext cx="7200000" cy="4320000"/>
    <graphicFrame>
      <nvGraphicFramePr>
        <cNvPr id="4" name="Chart 4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graphicFrame>
    <clientData/>
  </oneCellAnchor>
  <oneCellAnchor>
    <from>
      <col>12</col>
      <colOff>0</colOff>
      <row>31</row>
      <rowOff>0</rowOff>
    </from>
    <ext cx="7200000" cy="4320000"/>
    <graphicFrame>
      <nvGraphicFramePr>
        <cNvPr id="5" name="Chart 5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graphicFrame>
    <clientData/>
  </oneCellAnchor>
  <oneCellAnchor>
    <from>
      <col>12</col>
      <colOff>0</colOff>
      <row>31</row>
      <rowOff>0</rowOff>
    </from>
    <ext cx="7200000" cy="4320000"/>
    <graphicFrame>
      <nvGraphicFramePr>
        <cNvPr id="6" name="Chart 6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6"/>
        </a:graphicData>
      </a:graphic>
    </graphicFrame>
    <clientData/>
  </oneCellAnchor>
  <oneCellAnchor>
    <from>
      <col>12</col>
      <colOff>0</colOff>
      <row>31</row>
      <rowOff>0</rowOff>
    </from>
    <ext cx="7200000" cy="4320000"/>
    <graphicFrame>
      <nvGraphicFramePr>
        <cNvPr id="7" name="Chart 7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7"/>
        </a:graphicData>
      </a:graphic>
    </graphicFrame>
    <clientData/>
  </oneCellAnchor>
  <oneCellAnchor>
    <from>
      <col>12</col>
      <colOff>0</colOff>
      <row>31</row>
      <rowOff>0</rowOff>
    </from>
    <ext cx="7200000" cy="4320000"/>
    <graphicFrame>
      <nvGraphicFramePr>
        <cNvPr id="8" name="Chart 8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8"/>
        </a:graphicData>
      </a:graphic>
    </graphicFrame>
    <clientData/>
  </oneCellAnchor>
  <oneCellAnchor>
    <from>
      <col>12</col>
      <colOff>0</colOff>
      <row>31</row>
      <rowOff>0</rowOff>
    </from>
    <ext cx="7200000" cy="4320000"/>
    <graphicFrame>
      <nvGraphicFramePr>
        <cNvPr id="9" name="Chart 9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9"/>
        </a:graphicData>
      </a:graphic>
    </graphicFrame>
    <clientData/>
  </oneCellAnchor>
  <oneCellAnchor>
    <from>
      <col>12</col>
      <colOff>0</colOff>
      <row>31</row>
      <rowOff>0</rowOff>
    </from>
    <ext cx="7200000" cy="4320000"/>
    <graphicFrame>
      <nvGraphicFramePr>
        <cNvPr id="10" name="Chart 10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0"/>
        </a:graphicData>
      </a:graphic>
    </graphicFrame>
    <clientData/>
  </oneCellAnchor>
  <oneCellAnchor>
    <from>
      <col>12</col>
      <colOff>0</colOff>
      <row>31</row>
      <rowOff>0</rowOff>
    </from>
    <ext cx="7200000" cy="4320000"/>
    <graphicFrame>
      <nvGraphicFramePr>
        <cNvPr id="11" name="Chart 1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1"/>
        </a:graphicData>
      </a:graphic>
    </graphicFrame>
    <clientData/>
  </oneCellAnchor>
  <oneCellAnchor>
    <from>
      <col>12</col>
      <colOff>0</colOff>
      <row>31</row>
      <rowOff>0</rowOff>
    </from>
    <ext cx="7200000" cy="4320000"/>
    <graphicFrame>
      <nvGraphicFramePr>
        <cNvPr id="12" name="Chart 12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2"/>
        </a:graphicData>
      </a:graphic>
    </graphicFrame>
    <clientData/>
  </oneCellAnchor>
  <oneCellAnchor>
    <from>
      <col>16</col>
      <colOff>660400</colOff>
      <row>1</row>
      <rowOff>266700</rowOff>
    </from>
    <ext cx="10800000" cy="5760000"/>
    <graphicFrame>
      <nvGraphicFramePr>
        <cNvPr id="13" name="Chart 13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3"/>
        </a:graphicData>
      </a:graphic>
    </graphicFrame>
    <clientData/>
  </oneCellAnchor>
  <oneCellAnchor>
    <from>
      <col>12</col>
      <colOff>0</colOff>
      <row>31</row>
      <rowOff>0</rowOff>
    </from>
    <ext cx="7200000" cy="4320000"/>
    <graphicFrame>
      <nvGraphicFramePr>
        <cNvPr id="14" name="Chart 14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4"/>
        </a:graphicData>
      </a:graphic>
    </graphicFrame>
    <clientData/>
  </oneCellAnchor>
  <oneCellAnchor>
    <from>
      <col>17</col>
      <colOff>152400</colOff>
      <row>1</row>
      <rowOff>241300</rowOff>
    </from>
    <ext cx="10800000" cy="5760000"/>
    <graphicFrame>
      <nvGraphicFramePr>
        <cNvPr id="15" name="Chart 15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5"/>
        </a:graphicData>
      </a:graphic>
    </graphicFrame>
    <clientData/>
  </oneCellAnchor>
  <oneCellAnchor>
    <from>
      <col>12</col>
      <colOff>0</colOff>
      <row>31</row>
      <rowOff>0</rowOff>
    </from>
    <ext cx="7200000" cy="4320000"/>
    <graphicFrame>
      <nvGraphicFramePr>
        <cNvPr id="16" name="Chart 16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6"/>
        </a:graphicData>
      </a:graphic>
    </graphicFrame>
    <clientData/>
  </oneCellAnchor>
  <oneCellAnchor>
    <from>
      <col>12</col>
      <colOff>0</colOff>
      <row>1</row>
      <rowOff>0</rowOff>
    </from>
    <ext cx="10800000" cy="5760000"/>
    <graphicFrame>
      <nvGraphicFramePr>
        <cNvPr id="17" name="Chart 17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7"/>
        </a:graphicData>
      </a:graphic>
    </graphicFrame>
    <clientData/>
  </oneCellAnchor>
  <oneCellAnchor>
    <from>
      <col>12</col>
      <colOff>0</colOff>
      <row>31</row>
      <rowOff>0</rowOff>
    </from>
    <ext cx="7200000" cy="4320000"/>
    <graphicFrame>
      <nvGraphicFramePr>
        <cNvPr id="18" name="Chart 18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8"/>
        </a:graphicData>
      </a:graphic>
    </graphicFrame>
    <clientData/>
  </oneCellAnchor>
  <oneCellAnchor>
    <from>
      <col>12</col>
      <colOff>0</colOff>
      <row>1</row>
      <rowOff>0</rowOff>
    </from>
    <ext cx="10800000" cy="5760000"/>
    <graphicFrame>
      <nvGraphicFramePr>
        <cNvPr id="19" name="Chart 19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9"/>
        </a:graphicData>
      </a:graphic>
    </graphicFrame>
    <clientData/>
  </oneCellAnchor>
  <oneCellAnchor>
    <from>
      <col>12</col>
      <colOff>0</colOff>
      <row>31</row>
      <rowOff>0</rowOff>
    </from>
    <ext cx="7200000" cy="4320000"/>
    <graphicFrame>
      <nvGraphicFramePr>
        <cNvPr id="20" name="Chart 20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20"/>
        </a:graphicData>
      </a:graphic>
    </graphicFrame>
    <clientData/>
  </oneCellAnchor>
  <oneCellAnchor>
    <from>
      <col>12</col>
      <colOff>0</colOff>
      <row>1</row>
      <rowOff>0</rowOff>
    </from>
    <ext cx="10800000" cy="5760000"/>
    <graphicFrame>
      <nvGraphicFramePr>
        <cNvPr id="21" name="Chart 2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21"/>
        </a:graphicData>
      </a:graphic>
    </graphicFrame>
    <clientData/>
  </oneCellAnchor>
  <oneCellAnchor>
    <from>
      <col>12</col>
      <colOff>0</colOff>
      <row>31</row>
      <rowOff>0</rowOff>
    </from>
    <ext cx="7200000" cy="4320000"/>
    <graphicFrame>
      <nvGraphicFramePr>
        <cNvPr id="22" name="Chart 22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22"/>
        </a:graphicData>
      </a:graphic>
    </graphicFrame>
    <clientData/>
  </oneCellAnchor>
  <oneCellAnchor>
    <from>
      <col>12</col>
      <colOff>0</colOff>
      <row>1</row>
      <rowOff>0</rowOff>
    </from>
    <ext cx="10800000" cy="5760000"/>
    <graphicFrame>
      <nvGraphicFramePr>
        <cNvPr id="23" name="Chart 23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23"/>
        </a:graphicData>
      </a:graphic>
    </graphicFrame>
    <clientData/>
  </oneCellAnchor>
  <oneCellAnchor>
    <from>
      <col>12</col>
      <colOff>0</colOff>
      <row>31</row>
      <rowOff>0</rowOff>
    </from>
    <ext cx="7200000" cy="4320000"/>
    <graphicFrame>
      <nvGraphicFramePr>
        <cNvPr id="24" name="Chart 24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24"/>
        </a:graphicData>
      </a:graphic>
    </graphicFrame>
    <clientData/>
  </oneCellAnchor>
  <oneCellAnchor>
    <from>
      <col>12</col>
      <colOff>0</colOff>
      <row>1</row>
      <rowOff>0</rowOff>
    </from>
    <ext cx="10800000" cy="5760000"/>
    <graphicFrame>
      <nvGraphicFramePr>
        <cNvPr id="25" name="Chart 25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25"/>
        </a:graphicData>
      </a:graphic>
    </graphicFrame>
    <clientData/>
  </oneCellAnchor>
  <oneCellAnchor>
    <from>
      <col>12</col>
      <colOff>0</colOff>
      <row>31</row>
      <rowOff>0</rowOff>
    </from>
    <ext cx="7200000" cy="4320000"/>
    <graphicFrame>
      <nvGraphicFramePr>
        <cNvPr id="26" name="Chart 26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26"/>
        </a:graphicData>
      </a:graphic>
    </graphicFrame>
    <clientData/>
  </oneCellAnchor>
  <oneCellAnchor>
    <from>
      <col>12</col>
      <colOff>0</colOff>
      <row>1</row>
      <rowOff>0</rowOff>
    </from>
    <ext cx="10800000" cy="5760000"/>
    <graphicFrame>
      <nvGraphicFramePr>
        <cNvPr id="27" name="Chart 27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27"/>
        </a:graphicData>
      </a:graphic>
    </graphicFrame>
    <clientData/>
  </oneCellAnchor>
  <oneCellAnchor>
    <from>
      <col>12</col>
      <colOff>0</colOff>
      <row>31</row>
      <rowOff>0</rowOff>
    </from>
    <ext cx="7200000" cy="4320000"/>
    <graphicFrame>
      <nvGraphicFramePr>
        <cNvPr id="28" name="Chart 28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28"/>
        </a:graphicData>
      </a:graphic>
    </graphicFrame>
    <clientData/>
  </oneCellAnchor>
  <oneCellAnchor>
    <from>
      <col>12</col>
      <colOff>0</colOff>
      <row>1</row>
      <rowOff>0</rowOff>
    </from>
    <ext cx="10800000" cy="5760000"/>
    <graphicFrame>
      <nvGraphicFramePr>
        <cNvPr id="29" name="Chart 29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29"/>
        </a:graphicData>
      </a:graphic>
    </graphicFrame>
    <clientData/>
  </oneCellAnchor>
  <oneCellAnchor>
    <from>
      <col>12</col>
      <colOff>0</colOff>
      <row>31</row>
      <rowOff>0</rowOff>
    </from>
    <ext cx="7200000" cy="4320000"/>
    <graphicFrame>
      <nvGraphicFramePr>
        <cNvPr id="30" name="Chart 30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30"/>
        </a:graphicData>
      </a:graphic>
    </graphicFrame>
    <clientData/>
  </oneCellAnchor>
  <oneCellAnchor>
    <from>
      <col>12</col>
      <colOff>0</colOff>
      <row>1</row>
      <rowOff>0</rowOff>
    </from>
    <ext cx="10800000" cy="5760000"/>
    <graphicFrame>
      <nvGraphicFramePr>
        <cNvPr id="31" name="Chart 3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31"/>
        </a:graphicData>
      </a:graphic>
    </graphicFrame>
    <clientData/>
  </oneCellAnchor>
  <oneCellAnchor>
    <from>
      <col>12</col>
      <colOff>0</colOff>
      <row>31</row>
      <rowOff>0</rowOff>
    </from>
    <ext cx="7200000" cy="4320000"/>
    <graphicFrame>
      <nvGraphicFramePr>
        <cNvPr id="32" name="Chart 32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32"/>
        </a:graphicData>
      </a:graphic>
    </graphicFrame>
    <clientData/>
  </oneCellAnchor>
  <oneCellAnchor>
    <from>
      <col>12</col>
      <colOff>0</colOff>
      <row>1</row>
      <rowOff>0</rowOff>
    </from>
    <ext cx="10800000" cy="5760000"/>
    <graphicFrame>
      <nvGraphicFramePr>
        <cNvPr id="33" name="Chart 33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33"/>
        </a:graphicData>
      </a:graphic>
    </graphicFrame>
    <clientData/>
  </oneCellAnchor>
  <oneCellAnchor>
    <from>
      <col>12</col>
      <colOff>0</colOff>
      <row>31</row>
      <rowOff>0</rowOff>
    </from>
    <ext cx="7200000" cy="4320000"/>
    <graphicFrame>
      <nvGraphicFramePr>
        <cNvPr id="34" name="Chart 34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34"/>
        </a:graphicData>
      </a:graphic>
    </graphicFrame>
    <clientData/>
  </oneCellAnchor>
  <oneCellAnchor>
    <from>
      <col>12</col>
      <colOff>0</colOff>
      <row>1</row>
      <rowOff>0</rowOff>
    </from>
    <ext cx="10800000" cy="5760000"/>
    <graphicFrame>
      <nvGraphicFramePr>
        <cNvPr id="35" name="Chart 35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35"/>
        </a:graphicData>
      </a:graphic>
    </graphicFrame>
    <clientData/>
  </oneCellAnchor>
  <oneCellAnchor>
    <from>
      <col>12</col>
      <colOff>0</colOff>
      <row>31</row>
      <rowOff>0</rowOff>
    </from>
    <ext cx="7200000" cy="4320000"/>
    <graphicFrame>
      <nvGraphicFramePr>
        <cNvPr id="36" name="Chart 36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36"/>
        </a:graphicData>
      </a:graphic>
    </graphicFrame>
    <clientData/>
  </oneCellAnchor>
  <oneCellAnchor>
    <from>
      <col>12</col>
      <colOff>0</colOff>
      <row>1</row>
      <rowOff>0</rowOff>
    </from>
    <ext cx="10800000" cy="5760000"/>
    <graphicFrame>
      <nvGraphicFramePr>
        <cNvPr id="37" name="Chart 37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37"/>
        </a:graphicData>
      </a:graphic>
    </graphicFrame>
    <clientData/>
  </oneCellAnchor>
  <oneCellAnchor>
    <from>
      <col>12</col>
      <colOff>0</colOff>
      <row>31</row>
      <rowOff>0</rowOff>
    </from>
    <ext cx="7200000" cy="4320000"/>
    <graphicFrame>
      <nvGraphicFramePr>
        <cNvPr id="38" name="Chart 38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38"/>
        </a:graphicData>
      </a:graphic>
    </graphicFrame>
    <clientData/>
  </oneCellAnchor>
  <oneCellAnchor>
    <from>
      <col>12</col>
      <colOff>0</colOff>
      <row>1</row>
      <rowOff>0</rowOff>
    </from>
    <ext cx="10800000" cy="5760000"/>
    <graphicFrame>
      <nvGraphicFramePr>
        <cNvPr id="39" name="Chart 39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39"/>
        </a:graphicData>
      </a:graphic>
    </graphicFrame>
    <clientData/>
  </oneCellAnchor>
  <oneCellAnchor>
    <from>
      <col>12</col>
      <colOff>0</colOff>
      <row>31</row>
      <rowOff>0</rowOff>
    </from>
    <ext cx="7200000" cy="4320000"/>
    <graphicFrame>
      <nvGraphicFramePr>
        <cNvPr id="40" name="Chart 40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40"/>
        </a:graphicData>
      </a:graphic>
    </graphicFrame>
    <clientData/>
  </oneCellAnchor>
  <oneCellAnchor>
    <from>
      <col>12</col>
      <colOff>0</colOff>
      <row>1</row>
      <rowOff>0</rowOff>
    </from>
    <ext cx="10800000" cy="5760000"/>
    <graphicFrame>
      <nvGraphicFramePr>
        <cNvPr id="41" name="Chart 4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41"/>
        </a:graphicData>
      </a:graphic>
    </graphicFrame>
    <clientData/>
  </oneCellAnchor>
  <oneCellAnchor>
    <from>
      <col>12</col>
      <colOff>0</colOff>
      <row>31</row>
      <rowOff>0</rowOff>
    </from>
    <ext cx="7200000" cy="4320000"/>
    <graphicFrame>
      <nvGraphicFramePr>
        <cNvPr id="42" name="Chart 42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42"/>
        </a:graphicData>
      </a:graphic>
    </graphicFrame>
    <clientData/>
  </oneCellAnchor>
  <oneCellAnchor>
    <from>
      <col>12</col>
      <colOff>0</colOff>
      <row>1</row>
      <rowOff>0</rowOff>
    </from>
    <ext cx="10800000" cy="5760000"/>
    <graphicFrame>
      <nvGraphicFramePr>
        <cNvPr id="43" name="Chart 43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43"/>
        </a:graphicData>
      </a:graphic>
    </graphicFrame>
    <clientData/>
  </oneCellAnchor>
  <oneCellAnchor>
    <from>
      <col>12</col>
      <colOff>0</colOff>
      <row>31</row>
      <rowOff>0</rowOff>
    </from>
    <ext cx="7200000" cy="4320000"/>
    <graphicFrame>
      <nvGraphicFramePr>
        <cNvPr id="44" name="Chart 44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44"/>
        </a:graphicData>
      </a:graphic>
    </graphicFrame>
    <clientData/>
  </oneCellAnchor>
  <oneCellAnchor>
    <from>
      <col>12</col>
      <colOff>0</colOff>
      <row>1</row>
      <rowOff>0</rowOff>
    </from>
    <ext cx="10800000" cy="5760000"/>
    <graphicFrame>
      <nvGraphicFramePr>
        <cNvPr id="45" name="Chart 45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45"/>
        </a:graphicData>
      </a:graphic>
    </graphicFrame>
    <clientData/>
  </oneCellAnchor>
  <oneCellAnchor>
    <from>
      <col>12</col>
      <colOff>0</colOff>
      <row>31</row>
      <rowOff>0</rowOff>
    </from>
    <ext cx="7200000" cy="4320000"/>
    <graphicFrame>
      <nvGraphicFramePr>
        <cNvPr id="46" name="Chart 46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46"/>
        </a:graphicData>
      </a:graphic>
    </graphicFrame>
    <clientData/>
  </oneCellAnchor>
  <oneCellAnchor>
    <from>
      <col>12</col>
      <colOff>0</colOff>
      <row>1</row>
      <rowOff>0</rowOff>
    </from>
    <ext cx="10800000" cy="5760000"/>
    <graphicFrame>
      <nvGraphicFramePr>
        <cNvPr id="47" name="Chart 47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47"/>
        </a:graphicData>
      </a:graphic>
    </graphicFrame>
    <clientData/>
  </oneCellAnchor>
  <oneCellAnchor>
    <from>
      <col>12</col>
      <colOff>0</colOff>
      <row>31</row>
      <rowOff>0</rowOff>
    </from>
    <ext cx="7200000" cy="4320000"/>
    <graphicFrame>
      <nvGraphicFramePr>
        <cNvPr id="48" name="Chart 48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48"/>
        </a:graphicData>
      </a:graphic>
    </graphicFrame>
    <clientData/>
  </oneCellAnchor>
  <oneCellAnchor>
    <from>
      <col>12</col>
      <colOff>0</colOff>
      <row>1</row>
      <rowOff>0</rowOff>
    </from>
    <ext cx="10800000" cy="5760000"/>
    <graphicFrame>
      <nvGraphicFramePr>
        <cNvPr id="49" name="Chart 49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49"/>
        </a:graphicData>
      </a:graphic>
    </graphicFrame>
    <clientData/>
  </oneCellAnchor>
  <oneCellAnchor>
    <from>
      <col>12</col>
      <colOff>0</colOff>
      <row>31</row>
      <rowOff>0</rowOff>
    </from>
    <ext cx="7200000" cy="4320000"/>
    <graphicFrame>
      <nvGraphicFramePr>
        <cNvPr id="50" name="Chart 50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50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5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_rels/sheet6.xml.rels><Relationships xmlns="http://schemas.openxmlformats.org/package/2006/relationships"><Relationship Type="http://schemas.openxmlformats.org/officeDocument/2006/relationships/drawing" Target="/xl/drawings/drawing2.xml" Id="rId1"/></Relationships>
</file>

<file path=xl/worksheets/_rels/sheet7.xml.rels><Relationships xmlns="http://schemas.openxmlformats.org/package/2006/relationships"><Relationship Type="http://schemas.openxmlformats.org/officeDocument/2006/relationships/drawing" Target="/xl/drawings/drawing3.xml" Id="rId1"/></Relationships>
</file>

<file path=xl/worksheets/_rels/sheet8.xml.rels><Relationships xmlns="http://schemas.openxmlformats.org/package/2006/relationships"><Relationship Type="http://schemas.openxmlformats.org/officeDocument/2006/relationships/drawing" Target="/xl/drawings/drawing4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10" defaultRowHeight="16"/>
  <sheetData/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B1:K57"/>
  <sheetViews>
    <sheetView showGridLines="0" topLeftCell="A6" zoomScaleNormal="100" workbookViewId="0">
      <selection activeCell="E39" sqref="E39"/>
    </sheetView>
  </sheetViews>
  <sheetFormatPr baseColWidth="10" defaultColWidth="8.83203125" defaultRowHeight="15"/>
  <cols>
    <col width="2.83203125" customWidth="1" style="2" min="1" max="1"/>
    <col width="5.83203125" customWidth="1" style="19" min="2" max="2"/>
    <col width="30.5" customWidth="1" style="2" min="3" max="3"/>
    <col width="12" customWidth="1" style="2" min="4" max="4"/>
    <col width="13.83203125" customWidth="1" style="2" min="5" max="5"/>
    <col width="80" customWidth="1" style="7" min="6" max="6"/>
    <col width="18" customWidth="1" style="2" min="7" max="7"/>
    <col width="14" customWidth="1" style="2" min="8" max="8"/>
    <col width="28.33203125" customWidth="1" style="2" min="9" max="9"/>
    <col width="65.33203125" customWidth="1" style="7" min="10" max="10"/>
    <col width="165" customWidth="1" style="7" min="11" max="11"/>
    <col width="8.83203125" customWidth="1" style="2" min="12" max="27"/>
    <col width="8.83203125" customWidth="1" style="2" min="28" max="16384"/>
  </cols>
  <sheetData>
    <row r="1" ht="16" customHeight="1" s="133">
      <c r="B1" s="5" t="n"/>
    </row>
    <row r="2" ht="45" customHeight="1" s="133">
      <c r="B2" s="6" t="inlineStr">
        <is>
          <t xml:space="preserve">   Data Log</t>
        </is>
      </c>
      <c r="C2" s="8" t="n"/>
      <c r="D2" s="8" t="n"/>
      <c r="E2" s="8" t="n"/>
      <c r="F2" s="8" t="n"/>
      <c r="G2" s="8" t="n"/>
      <c r="H2" s="8" t="n"/>
      <c r="I2" s="8" t="n"/>
      <c r="J2" s="8" t="n"/>
      <c r="K2" s="9" t="n"/>
    </row>
    <row r="3" ht="16" customHeight="1" s="133">
      <c r="B3" s="5" t="n"/>
    </row>
    <row r="4" ht="16" customHeight="1" s="133">
      <c r="B4" s="13" t="inlineStr">
        <is>
          <t>#</t>
        </is>
      </c>
      <c r="C4" s="10" t="inlineStr">
        <is>
          <t>Variable</t>
        </is>
      </c>
      <c r="D4" s="11" t="inlineStr">
        <is>
          <t>Unit</t>
        </is>
      </c>
      <c r="E4" s="11" t="inlineStr">
        <is>
          <t>Value</t>
        </is>
      </c>
      <c r="F4" s="10" t="inlineStr">
        <is>
          <t>Source</t>
        </is>
      </c>
      <c r="G4" s="11" t="inlineStr">
        <is>
          <t>Frequency</t>
        </is>
      </c>
      <c r="H4" s="11" t="inlineStr">
        <is>
          <t>Geography</t>
        </is>
      </c>
      <c r="I4" s="11" t="inlineStr">
        <is>
          <t>Date</t>
        </is>
      </c>
      <c r="J4" s="10" t="inlineStr">
        <is>
          <t>Used In Model</t>
        </is>
      </c>
      <c r="K4" s="12" t="inlineStr">
        <is>
          <t>Note</t>
        </is>
      </c>
    </row>
    <row r="5" ht="16" customHeight="1" s="133"/>
    <row r="6" ht="16" customHeight="1" s="133">
      <c r="B6" s="14" t="n">
        <v>1</v>
      </c>
      <c r="C6" s="15" t="inlineStr">
        <is>
          <t>Electricity Price Data</t>
        </is>
      </c>
      <c r="D6" s="16" t="n"/>
      <c r="E6" s="16" t="n"/>
      <c r="F6" s="17" t="n"/>
      <c r="G6" s="16" t="n"/>
      <c r="H6" s="16" t="n"/>
      <c r="I6" s="16" t="n"/>
      <c r="J6" s="17" t="n"/>
      <c r="K6" s="18" t="n"/>
    </row>
    <row r="7" ht="16" customHeight="1" s="133">
      <c r="C7" s="20" t="n"/>
      <c r="D7" s="21" t="n"/>
      <c r="E7" s="21" t="n"/>
      <c r="F7" s="22" t="n"/>
      <c r="G7" s="21" t="n"/>
      <c r="H7" s="21" t="n"/>
      <c r="I7" s="21" t="n"/>
      <c r="J7" s="22" t="n"/>
      <c r="K7" s="22" t="n"/>
    </row>
    <row r="8" ht="16" customHeight="1" s="133">
      <c r="C8" s="20" t="inlineStr">
        <is>
          <t>Day-ahead market prices</t>
        </is>
      </c>
      <c r="D8" s="21" t="inlineStr">
        <is>
          <t>EUR/MWh</t>
        </is>
      </c>
      <c r="E8" s="21" t="inlineStr">
        <is>
          <t>—</t>
        </is>
      </c>
      <c r="F8" s="22" t="inlineStr">
        <is>
          <t>ENTSO-E Transparency Platform, 2025</t>
        </is>
      </c>
      <c r="G8" s="21" t="inlineStr">
        <is>
          <t>Hourly</t>
        </is>
      </c>
      <c r="H8" s="21" t="inlineStr">
        <is>
          <t>DK1/DK2</t>
        </is>
      </c>
      <c r="I8" s="21" t="inlineStr">
        <is>
          <t>01/01/2019 - 31/12/2025</t>
        </is>
      </c>
      <c r="J8" s="22" t="inlineStr">
        <is>
          <t>OU Calibration, Monte Carlo Simulation</t>
        </is>
      </c>
      <c r="K8" s="22" t="n"/>
    </row>
    <row r="9" ht="16" customHeight="1" s="133">
      <c r="C9" s="20" t="n"/>
      <c r="D9" s="21" t="n"/>
      <c r="E9" s="21" t="n"/>
      <c r="F9" s="22" t="n"/>
      <c r="G9" s="21" t="n"/>
      <c r="H9" s="21" t="n"/>
      <c r="I9" s="21" t="n"/>
      <c r="J9" s="22" t="n"/>
      <c r="K9" s="22" t="n"/>
    </row>
    <row r="10" ht="16" customHeight="1" s="133">
      <c r="B10" s="14" t="n">
        <v>2</v>
      </c>
      <c r="C10" s="15" t="inlineStr">
        <is>
          <t>Solar and Consumption Data - Capture Price Inputs</t>
        </is>
      </c>
      <c r="D10" s="16" t="n"/>
      <c r="E10" s="16" t="n"/>
      <c r="F10" s="17" t="n"/>
      <c r="G10" s="16" t="n"/>
      <c r="H10" s="16" t="n"/>
      <c r="I10" s="16" t="n"/>
      <c r="J10" s="17" t="n"/>
      <c r="K10" s="18" t="n"/>
    </row>
    <row r="11" ht="16" customHeight="1" s="133">
      <c r="C11" s="20" t="n"/>
      <c r="D11" s="21" t="n"/>
      <c r="E11" s="21" t="n"/>
      <c r="F11" s="22" t="n"/>
      <c r="G11" s="21" t="n"/>
      <c r="H11" s="21" t="n"/>
      <c r="I11" s="21" t="n"/>
      <c r="J11" s="22" t="n"/>
      <c r="K11" s="22" t="n"/>
    </row>
    <row r="12" ht="16" customHeight="1" s="133">
      <c r="C12" s="20" t="inlineStr">
        <is>
          <t>Solar Power Production over 40 kW</t>
        </is>
      </c>
      <c r="D12" s="21" t="inlineStr">
        <is>
          <t>MWh</t>
        </is>
      </c>
      <c r="E12" s="21" t="inlineStr">
        <is>
          <t>—</t>
        </is>
      </c>
      <c r="F12" s="22" t="inlineStr">
        <is>
          <t>Energy Data Service (Energinet.dk), 2025</t>
        </is>
      </c>
      <c r="G12" s="21" t="inlineStr">
        <is>
          <t>Hourly</t>
        </is>
      </c>
      <c r="H12" s="21" t="inlineStr">
        <is>
          <t>DK1/DK2</t>
        </is>
      </c>
      <c r="I12" s="21" t="inlineStr">
        <is>
          <t>01/01/2019 - 31/12/2025</t>
        </is>
      </c>
      <c r="J12" s="22" t="inlineStr">
        <is>
          <t>Cannibalisation regression α(t)</t>
        </is>
      </c>
      <c r="K12" s="22" t="n"/>
    </row>
    <row r="13" ht="16" customHeight="1" s="133">
      <c r="B13" s="2" t="n"/>
      <c r="C13" s="20" t="inlineStr">
        <is>
          <t>Power Gross Consumption MWh</t>
        </is>
      </c>
      <c r="D13" s="21" t="inlineStr">
        <is>
          <t>MWh</t>
        </is>
      </c>
      <c r="E13" s="21" t="inlineStr">
        <is>
          <t>—</t>
        </is>
      </c>
      <c r="F13" s="22" t="inlineStr">
        <is>
          <t>Energy Data Service (Energinet.dk), 2025</t>
        </is>
      </c>
      <c r="G13" s="21" t="inlineStr">
        <is>
          <t>Hourly</t>
        </is>
      </c>
      <c r="H13" s="21" t="inlineStr">
        <is>
          <t>DK1/DK2</t>
        </is>
      </c>
      <c r="I13" s="21" t="inlineStr">
        <is>
          <t>01/01/2019 - 31/12/2025</t>
        </is>
      </c>
      <c r="J13" s="22" t="inlineStr">
        <is>
          <t>Cannibalisation regression α(t)</t>
        </is>
      </c>
      <c r="K13" s="22" t="n"/>
    </row>
    <row r="14" ht="16" customHeight="1" s="133">
      <c r="B14" s="2" t="n"/>
      <c r="C14" s="20" t="n"/>
      <c r="D14" s="21" t="n"/>
      <c r="E14" s="21" t="n"/>
      <c r="F14" s="22" t="n"/>
      <c r="G14" s="21" t="n"/>
      <c r="H14" s="21" t="n"/>
      <c r="I14" s="21" t="n"/>
      <c r="J14" s="22" t="n"/>
      <c r="K14" s="22" t="n"/>
    </row>
    <row r="15" ht="16" customHeight="1" s="133">
      <c r="B15" s="14" t="n">
        <v>3</v>
      </c>
      <c r="C15" s="15" t="inlineStr">
        <is>
          <t>Derived Cannibalisation Variables - Capture Price Inputs &amp; Calibration</t>
        </is>
      </c>
      <c r="D15" s="16" t="n"/>
      <c r="E15" s="16" t="n"/>
      <c r="F15" s="17" t="n"/>
      <c r="G15" s="16" t="n"/>
      <c r="H15" s="16" t="n"/>
      <c r="I15" s="16" t="n"/>
      <c r="J15" s="17" t="n"/>
      <c r="K15" s="18" t="n"/>
    </row>
    <row r="16" ht="16" customHeight="1" s="133">
      <c r="C16" s="20" t="n"/>
      <c r="D16" s="21" t="n"/>
      <c r="E16" s="21" t="n"/>
      <c r="F16" s="22" t="n"/>
      <c r="G16" s="21" t="n"/>
      <c r="H16" s="21" t="n"/>
      <c r="I16" s="21" t="n"/>
      <c r="J16" s="22" t="n"/>
      <c r="K16" s="22" t="n"/>
    </row>
    <row r="17" ht="16" customHeight="1" s="133">
      <c r="C17" s="20" t="inlineStr">
        <is>
          <t>Solar penetration proxy</t>
        </is>
      </c>
      <c r="D17" s="21" t="inlineStr">
        <is>
          <t>%</t>
        </is>
      </c>
      <c r="E17" s="21" t="inlineStr">
        <is>
          <t>Derived</t>
        </is>
      </c>
      <c r="F17" s="22" t="inlineStr">
        <is>
          <t>Energy Data Service (Energinet.dk), 2025</t>
        </is>
      </c>
      <c r="G17" s="21" t="inlineStr">
        <is>
          <t>Monthly</t>
        </is>
      </c>
      <c r="H17" s="21" t="inlineStr">
        <is>
          <t>DK1/DK2</t>
        </is>
      </c>
      <c r="I17" s="21" t="inlineStr">
        <is>
          <t>01/01/2019 - 31/12/2025</t>
        </is>
      </c>
      <c r="J17" s="22" t="inlineStr">
        <is>
          <t>Cannibalisation regression α(t): independent variable (X) for estimating α(t)</t>
        </is>
      </c>
      <c r="K17" s="22" t="inlineStr">
        <is>
          <t>Solar Penetration Proxy = Solar Production MWh / Gross Consumption MWh</t>
        </is>
      </c>
    </row>
    <row r="18" ht="16" customHeight="1" s="133">
      <c r="C18" s="20" t="inlineStr">
        <is>
          <t>Capture Prices</t>
        </is>
      </c>
      <c r="D18" s="21" t="inlineStr">
        <is>
          <t>EUR/MWh</t>
        </is>
      </c>
      <c r="E18" s="21" t="inlineStr">
        <is>
          <t>Derived</t>
        </is>
      </c>
      <c r="F18" s="22" t="inlineStr">
        <is>
          <t>Energy Data Service (Energinet.dk), 2025</t>
        </is>
      </c>
      <c r="G18" s="21" t="inlineStr">
        <is>
          <t>Monthly</t>
        </is>
      </c>
      <c r="H18" s="21" t="inlineStr">
        <is>
          <t>DK1/DK2</t>
        </is>
      </c>
      <c r="I18" s="21" t="inlineStr">
        <is>
          <t>01/01/2019 - 31/12/2025</t>
        </is>
      </c>
      <c r="J18" s="22" t="inlineStr">
        <is>
          <t>Cannibalisation regression α(t): used to calculate CPR</t>
        </is>
      </c>
      <c r="K18" s="22" t="inlineStr">
        <is>
          <t>Σ(Price × Solar Production) / Σ(Solar Production)</t>
        </is>
      </c>
    </row>
    <row r="19" ht="16" customHeight="1" s="133">
      <c r="C19" s="20" t="inlineStr">
        <is>
          <t>Capture Price Ratio (CPR)</t>
        </is>
      </c>
      <c r="D19" s="21" t="inlineStr">
        <is>
          <t>Ratio</t>
        </is>
      </c>
      <c r="E19" s="21" t="inlineStr">
        <is>
          <t>Derived</t>
        </is>
      </c>
      <c r="F19" s="22" t="inlineStr">
        <is>
          <t>Energy Data Service (Energinet.dk), 2025</t>
        </is>
      </c>
      <c r="G19" s="21" t="inlineStr">
        <is>
          <t>Monthly</t>
        </is>
      </c>
      <c r="H19" s="21" t="inlineStr">
        <is>
          <t>DK1/DK2</t>
        </is>
      </c>
      <c r="I19" s="21" t="inlineStr">
        <is>
          <t>01/01/2019 - 31/12/2025</t>
        </is>
      </c>
      <c r="J19" s="22" t="inlineStr">
        <is>
          <t>Cannibalisation regression α(t): dependent variable (Y) for estimating α(t)</t>
        </is>
      </c>
      <c r="K19" s="22" t="inlineStr">
        <is>
          <t>Capture Price / Spot Price</t>
        </is>
      </c>
    </row>
    <row r="20" ht="16" customHeight="1" s="133">
      <c r="C20" s="20" t="n"/>
      <c r="D20" s="21" t="n"/>
      <c r="E20" s="21" t="n"/>
      <c r="F20" s="22" t="n"/>
      <c r="G20" s="21" t="n"/>
      <c r="H20" s="21" t="n"/>
      <c r="I20" s="21" t="n"/>
      <c r="J20" s="22" t="n"/>
      <c r="K20" s="22" t="n"/>
    </row>
    <row r="21" ht="16" customHeight="1" s="133">
      <c r="B21" s="14" t="n">
        <v>4</v>
      </c>
      <c r="C21" s="15" t="inlineStr">
        <is>
          <t>Financial Input - Assumptions &amp; WACC</t>
        </is>
      </c>
      <c r="D21" s="16" t="n"/>
      <c r="E21" s="16" t="n"/>
      <c r="F21" s="17" t="n"/>
      <c r="G21" s="16" t="n"/>
      <c r="H21" s="16" t="n"/>
      <c r="I21" s="16" t="n"/>
      <c r="J21" s="17" t="n"/>
      <c r="K21" s="18" t="n"/>
    </row>
    <row r="22" ht="16" customHeight="1" s="133">
      <c r="B22" s="2" t="n"/>
      <c r="C22" s="20" t="n"/>
      <c r="D22" s="21" t="n"/>
      <c r="E22" s="23" t="n"/>
      <c r="F22" s="22" t="n"/>
      <c r="G22" s="21" t="n"/>
      <c r="H22" s="21" t="n"/>
      <c r="I22" s="21" t="n"/>
      <c r="J22" s="22" t="n"/>
      <c r="K22" s="22" t="n"/>
    </row>
    <row r="23" ht="16" customHeight="1" s="133">
      <c r="C23" s="20" t="inlineStr">
        <is>
          <t>Risk-free rate (Rf)</t>
        </is>
      </c>
      <c r="D23" s="21" t="inlineStr">
        <is>
          <t>%</t>
        </is>
      </c>
      <c r="E23" s="23" t="n">
        <v>0.0225</v>
      </c>
      <c r="F23" s="22" t="inlineStr">
        <is>
          <t>Danmarks Nationalbank, 2025</t>
        </is>
      </c>
      <c r="G23" s="21" t="inlineStr">
        <is>
          <t>Point estimate</t>
        </is>
      </c>
      <c r="H23" s="21" t="inlineStr">
        <is>
          <t>Denmark</t>
        </is>
      </c>
      <c r="I23" s="21" t="n">
        <v>2026</v>
      </c>
      <c r="J23" s="22" t="inlineStr">
        <is>
          <t>PPA WACC, Merchant WACC</t>
        </is>
      </c>
      <c r="K23" s="22" t="inlineStr">
        <is>
          <t>2.25% Danske Stat 2035</t>
        </is>
      </c>
    </row>
    <row r="24" ht="16" customHeight="1" s="133">
      <c r="B24" s="2" t="n"/>
      <c r="C24" s="20" t="inlineStr">
        <is>
          <t>Equity Risk Premium (ERP)</t>
        </is>
      </c>
      <c r="D24" s="21" t="inlineStr">
        <is>
          <t>%</t>
        </is>
      </c>
      <c r="E24" s="23" t="n">
        <v>0.0423</v>
      </c>
      <c r="F24" s="22" t="inlineStr">
        <is>
          <t>Damodaran: Country Risk Premiums (Denmark, Aaa), 2026</t>
        </is>
      </c>
      <c r="G24" s="21" t="inlineStr">
        <is>
          <t>Annual</t>
        </is>
      </c>
      <c r="H24" s="21" t="inlineStr">
        <is>
          <t>Denmark</t>
        </is>
      </c>
      <c r="I24" s="21" t="n">
        <v>2026</v>
      </c>
      <c r="J24" s="22" t="inlineStr">
        <is>
          <t>PPA WACC, Merchant WACC</t>
        </is>
      </c>
      <c r="K24" s="22" t="n"/>
    </row>
    <row r="25" ht="16" customHeight="1" s="133">
      <c r="B25" s="2" t="n"/>
      <c r="C25" s="20" t="n"/>
      <c r="D25" s="21" t="n"/>
      <c r="E25" s="23" t="n"/>
      <c r="F25" s="22" t="n"/>
      <c r="G25" s="21" t="n"/>
      <c r="H25" s="21" t="n"/>
      <c r="I25" s="24" t="n"/>
      <c r="J25" s="22" t="n"/>
      <c r="K25" s="22" t="n"/>
    </row>
    <row r="26" ht="16" customHeight="1" s="133">
      <c r="C26" s="20" t="inlineStr">
        <is>
          <t>β_PPA (unlevered)</t>
        </is>
      </c>
      <c r="D26" s="21" t="inlineStr">
        <is>
          <t>—</t>
        </is>
      </c>
      <c r="E26" s="21" t="n">
        <v>0.46</v>
      </c>
      <c r="F26" s="22" t="inlineStr">
        <is>
          <t>Damodaran: Power sector, Global Betas by Sector, 2026</t>
        </is>
      </c>
      <c r="G26" s="21" t="inlineStr">
        <is>
          <t>Annual</t>
        </is>
      </c>
      <c r="H26" s="21" t="inlineStr">
        <is>
          <t>Global</t>
        </is>
      </c>
      <c r="I26" s="21" t="n">
        <v>2026</v>
      </c>
      <c r="J26" s="22" t="inlineStr">
        <is>
          <t>PPA WACC</t>
        </is>
      </c>
      <c r="K26" s="22" t="n"/>
    </row>
    <row r="27" ht="16" customHeight="1" s="133">
      <c r="C27" s="20" t="inlineStr">
        <is>
          <t>β_merchant (unlevered)</t>
        </is>
      </c>
      <c r="D27" s="21" t="inlineStr">
        <is>
          <t>—</t>
        </is>
      </c>
      <c r="E27" s="21" t="n">
        <v>0.57</v>
      </c>
      <c r="F27" s="22" t="inlineStr">
        <is>
          <t>Damodaran: Green &amp; Renewable Energy, Global Betas, 2026</t>
        </is>
      </c>
      <c r="G27" s="21" t="inlineStr">
        <is>
          <t>Annual</t>
        </is>
      </c>
      <c r="H27" s="21" t="inlineStr">
        <is>
          <t>Global</t>
        </is>
      </c>
      <c r="I27" s="21" t="n">
        <v>2026</v>
      </c>
      <c r="J27" s="22" t="inlineStr">
        <is>
          <t>Merchant WACC</t>
        </is>
      </c>
      <c r="K27" s="22" t="n"/>
    </row>
    <row r="28" ht="16" customHeight="1" s="133">
      <c r="C28" s="20" t="n"/>
      <c r="D28" s="21" t="n"/>
      <c r="E28" s="21" t="n"/>
      <c r="F28" s="22" t="n"/>
      <c r="G28" s="21" t="n"/>
      <c r="H28" s="21" t="n"/>
      <c r="I28" s="24" t="n"/>
      <c r="J28" s="22" t="n"/>
      <c r="K28" s="22" t="n"/>
    </row>
    <row r="29" ht="16" customHeight="1" s="133">
      <c r="C29" s="20" t="inlineStr">
        <is>
          <t>Debt margin (PPA phase)</t>
        </is>
      </c>
      <c r="D29" s="21" t="inlineStr">
        <is>
          <t>% spread</t>
        </is>
      </c>
      <c r="E29" s="23" t="n">
        <v>0.0175</v>
      </c>
      <c r="F29" s="22" t="inlineStr">
        <is>
          <t>Gatti, 2019; IRENA, The Cost of Financing for Renewable Power, 2023</t>
        </is>
      </c>
      <c r="G29" s="21" t="inlineStr">
        <is>
          <t>Point estimate</t>
        </is>
      </c>
      <c r="H29" s="21" t="inlineStr">
        <is>
          <t>Europe</t>
        </is>
      </c>
      <c r="I29" s="21" t="n">
        <v>2023</v>
      </c>
      <c r="J29" s="22" t="inlineStr">
        <is>
          <t>r_d,PPA for WACC_PPA</t>
        </is>
      </c>
      <c r="K29" s="22" t="inlineStr">
        <is>
          <t>Debt margins represent midpoints of indicative ranges for European contracted (150-200 bps) and merchant-exposed (300-350 bps) renewable project finance, consistent with Gatti (2019) and IRENA (2023)</t>
        </is>
      </c>
    </row>
    <row r="30" ht="16" customHeight="1" s="133">
      <c r="B30" s="2" t="n"/>
      <c r="C30" s="20" t="inlineStr">
        <is>
          <t>Debt margin (Merchant phase)</t>
        </is>
      </c>
      <c r="D30" s="21" t="inlineStr">
        <is>
          <t>% spread</t>
        </is>
      </c>
      <c r="E30" s="23" t="n">
        <v>0.0325</v>
      </c>
      <c r="F30" s="22" t="inlineStr">
        <is>
          <t>Gatti, 2019; IRENA, The Cost of Financing for Renewable Power, 2023</t>
        </is>
      </c>
      <c r="G30" s="21" t="inlineStr">
        <is>
          <t>Point estimate</t>
        </is>
      </c>
      <c r="H30" s="21" t="inlineStr">
        <is>
          <t>Europe</t>
        </is>
      </c>
      <c r="I30" s="21" t="n">
        <v>2023</v>
      </c>
      <c r="J30" s="22" t="inlineStr">
        <is>
          <t>r_d,merchant for WACC_merchant</t>
        </is>
      </c>
      <c r="K30" s="22" t="inlineStr">
        <is>
          <t>Debt margins represent midpoints of indicative ranges for European contracted (150-200 bps) and merchant-exposed (300-350 bps) renewable project finance, consistent with Gatti (2019) and IRENA (2023)</t>
        </is>
      </c>
    </row>
    <row r="31" ht="16" customHeight="1" s="133">
      <c r="B31" s="2" t="n"/>
      <c r="C31" s="20" t="n"/>
      <c r="D31" s="21" t="n"/>
      <c r="E31" s="23" t="n"/>
      <c r="F31" s="22" t="n"/>
      <c r="G31" s="21" t="n"/>
      <c r="H31" s="21" t="n"/>
      <c r="I31" s="21" t="n"/>
      <c r="J31" s="22" t="n"/>
      <c r="K31" s="22" t="n"/>
    </row>
    <row r="32" ht="16" customHeight="1" s="133">
      <c r="B32" s="2" t="n"/>
      <c r="C32" s="20" t="inlineStr">
        <is>
          <t>Equity Share (PPA phase)</t>
        </is>
      </c>
      <c r="D32" s="21" t="inlineStr">
        <is>
          <t>%</t>
        </is>
      </c>
      <c r="E32" s="25" t="n">
        <v>0.25</v>
      </c>
      <c r="F32" s="22" t="inlineStr">
        <is>
          <t>Gatti, 2019; Steffen, 2020</t>
        </is>
      </c>
      <c r="G32" s="21" t="inlineStr">
        <is>
          <t>Point estimate</t>
        </is>
      </c>
      <c r="H32" s="21" t="inlineStr">
        <is>
          <t>Europe</t>
        </is>
      </c>
      <c r="I32" s="21" t="n">
        <v>2020</v>
      </c>
      <c r="J32" s="22" t="inlineStr">
        <is>
          <t>WACC_PPA (equity weight)</t>
        </is>
      </c>
      <c r="K32" s="22" t="inlineStr">
        <is>
          <t>25% equity PPA consistent with 70-80% debt standard for contracted renewables (Gatti, 2019); 45% equity merchant reflects reduced debt capacity under unhedged exposure (Steffen, 2020)</t>
        </is>
      </c>
    </row>
    <row r="33" ht="16" customHeight="1" s="133">
      <c r="B33" s="2" t="n"/>
      <c r="C33" s="20" t="inlineStr">
        <is>
          <t>Equity Share (Merchant phase)</t>
        </is>
      </c>
      <c r="D33" s="21" t="inlineStr">
        <is>
          <t>%</t>
        </is>
      </c>
      <c r="E33" s="25" t="n">
        <v>0.45</v>
      </c>
      <c r="F33" s="22" t="inlineStr">
        <is>
          <t>Gatti, 2019; Steffen, 2020</t>
        </is>
      </c>
      <c r="G33" s="21" t="inlineStr">
        <is>
          <t>Point estimate</t>
        </is>
      </c>
      <c r="H33" s="21" t="inlineStr">
        <is>
          <t>Europe</t>
        </is>
      </c>
      <c r="I33" s="21" t="n">
        <v>2020</v>
      </c>
      <c r="J33" s="22" t="inlineStr">
        <is>
          <t>WACC_merchant (equity weight)</t>
        </is>
      </c>
      <c r="K33" s="22" t="inlineStr">
        <is>
          <t>25% equity PPA consistent with 70-80% debt standard for contracted renewables (Gatti, 2019); 45% equity merchant reflects reduced debt capacity under unhedged exposure (Steffen, 2020)</t>
        </is>
      </c>
    </row>
    <row r="34" ht="16" customHeight="1" s="133">
      <c r="B34" s="2" t="n"/>
      <c r="C34" s="20" t="n"/>
      <c r="D34" s="21" t="n"/>
      <c r="E34" s="23" t="n"/>
      <c r="F34" s="22" t="n"/>
      <c r="G34" s="21" t="n"/>
      <c r="H34" s="21" t="n"/>
      <c r="I34" s="21" t="n"/>
      <c r="J34" s="22" t="n"/>
      <c r="K34" s="22" t="n"/>
    </row>
    <row r="35" ht="16" customHeight="1" s="133">
      <c r="C35" s="20" t="inlineStr">
        <is>
          <t>Corporate tax rate (τ)</t>
        </is>
      </c>
      <c r="D35" s="21" t="inlineStr">
        <is>
          <t>%</t>
        </is>
      </c>
      <c r="E35" s="25" t="n">
        <v>0.22</v>
      </c>
      <c r="F35" s="22" t="inlineStr">
        <is>
          <t>Damodaran Country Risk Premiums, 2026; Skattestyrelsen, 2025</t>
        </is>
      </c>
      <c r="G35" s="21" t="inlineStr">
        <is>
          <t>Point estimate</t>
        </is>
      </c>
      <c r="H35" s="21" t="inlineStr">
        <is>
          <t>Denmark</t>
        </is>
      </c>
      <c r="I35" s="21" t="n">
        <v>2026</v>
      </c>
      <c r="J35" s="22" t="inlineStr">
        <is>
          <t>WACC, FCFF model</t>
        </is>
      </c>
      <c r="K35" s="22" t="n"/>
    </row>
    <row r="36" ht="16" customHeight="1" s="133">
      <c r="B36" s="2" t="n"/>
      <c r="C36" s="20" t="n"/>
      <c r="D36" s="21" t="n"/>
      <c r="E36" s="23" t="n"/>
      <c r="F36" s="22" t="n"/>
      <c r="G36" s="21" t="n"/>
      <c r="H36" s="21" t="n"/>
      <c r="I36" s="21" t="n"/>
      <c r="J36" s="22" t="n"/>
      <c r="K36" s="22" t="n"/>
    </row>
    <row r="37" ht="16" customHeight="1" s="133">
      <c r="B37" s="14" t="n">
        <v>5</v>
      </c>
      <c r="C37" s="15" t="inlineStr">
        <is>
          <t>Technical and Commercial Input - Assumptions</t>
        </is>
      </c>
      <c r="D37" s="16" t="n"/>
      <c r="E37" s="16" t="n"/>
      <c r="F37" s="17" t="n"/>
      <c r="G37" s="16" t="n"/>
      <c r="H37" s="16" t="n"/>
      <c r="I37" s="16" t="n"/>
      <c r="J37" s="17" t="n"/>
      <c r="K37" s="18" t="n"/>
    </row>
    <row r="38" ht="16" customHeight="1" s="133">
      <c r="B38" s="26" t="n"/>
      <c r="C38" s="27" t="n"/>
      <c r="D38" s="28" t="n"/>
      <c r="E38" s="28" t="n"/>
      <c r="F38" s="29" t="n"/>
      <c r="G38" s="28" t="n"/>
      <c r="H38" s="28" t="n"/>
      <c r="I38" s="28" t="n"/>
      <c r="J38" s="29" t="n"/>
      <c r="K38" s="29" t="n"/>
    </row>
    <row r="39" ht="16" customHeight="1" s="133">
      <c r="C39" s="20" t="inlineStr">
        <is>
          <t>CAPEX</t>
        </is>
      </c>
      <c r="D39" s="21" t="inlineStr">
        <is>
          <t>USD/kW</t>
        </is>
      </c>
      <c r="E39" s="66" t="n">
        <v>500</v>
      </c>
      <c r="F39" s="22" t="inlineStr">
        <is>
          <t>IRENA, Renewable Power Generation Costs, 2024</t>
        </is>
      </c>
      <c r="G39" s="21" t="inlineStr">
        <is>
          <t>Annual</t>
        </is>
      </c>
      <c r="H39" s="21" t="inlineStr">
        <is>
          <t>Europe</t>
        </is>
      </c>
      <c r="I39" s="21" t="n">
        <v>2024</v>
      </c>
      <c r="J39" s="22" t="inlineStr">
        <is>
          <t>FCFF model</t>
        </is>
      </c>
      <c r="K39" s="22" t="inlineStr">
        <is>
          <t>EUR/USD conversion at time of modelling required</t>
        </is>
      </c>
    </row>
    <row r="40" ht="16" customHeight="1" s="133">
      <c r="C40" s="20" t="inlineStr">
        <is>
          <t>OPEX</t>
        </is>
      </c>
      <c r="D40" s="21" t="inlineStr">
        <is>
          <t>USD/kW/year</t>
        </is>
      </c>
      <c r="E40" s="21" t="n">
        <v>9</v>
      </c>
      <c r="F40" s="22" t="inlineStr">
        <is>
          <t>Wood Mackenzie, Europe LCOE Report, 2024</t>
        </is>
      </c>
      <c r="G40" s="21" t="inlineStr">
        <is>
          <t>Annual</t>
        </is>
      </c>
      <c r="H40" s="21" t="inlineStr">
        <is>
          <t>Europe</t>
        </is>
      </c>
      <c r="I40" s="21" t="n">
        <v>2024</v>
      </c>
      <c r="J40" s="22" t="inlineStr">
        <is>
          <t>FCFF model</t>
        </is>
      </c>
      <c r="K40" s="22" t="n"/>
    </row>
    <row r="41" ht="16" customHeight="1" s="133">
      <c r="C41" s="20" t="inlineStr">
        <is>
          <t>OPEX Escalation</t>
        </is>
      </c>
      <c r="D41" s="21" t="inlineStr">
        <is>
          <t>%</t>
        </is>
      </c>
      <c r="E41" s="81" t="n">
        <v>0.02</v>
      </c>
      <c r="F41" s="22" t="inlineStr">
        <is>
          <t>European Central Bank, 2025</t>
        </is>
      </c>
      <c r="G41" s="21" t="n"/>
      <c r="H41" s="21" t="n"/>
      <c r="I41" s="21" t="n">
        <v>2025</v>
      </c>
      <c r="J41" s="22" t="inlineStr">
        <is>
          <t>FCFF model</t>
        </is>
      </c>
      <c r="K41" s="22" t="inlineStr">
        <is>
          <t>European Central Bank, ECB inflation target 2%, consistent with Danish long-run inflation expectations</t>
        </is>
      </c>
    </row>
    <row r="42" ht="16" customHeight="1" s="133">
      <c r="C42" s="20" t="n"/>
      <c r="D42" s="21" t="n"/>
      <c r="E42" s="21" t="n"/>
      <c r="F42" s="22" t="n"/>
      <c r="G42" s="21" t="n"/>
      <c r="H42" s="21" t="n"/>
      <c r="I42" s="21" t="n"/>
      <c r="J42" s="22" t="n"/>
      <c r="K42" s="22" t="n"/>
    </row>
    <row r="43" ht="16" customHeight="1" s="133">
      <c r="B43" s="2" t="n"/>
      <c r="C43" s="20" t="inlineStr">
        <is>
          <t>PPA benchmark price</t>
        </is>
      </c>
      <c r="D43" s="21" t="inlineStr">
        <is>
          <t>EUR/MWh</t>
        </is>
      </c>
      <c r="E43" s="21" t="n">
        <v>45</v>
      </c>
      <c r="F43" s="22" t="inlineStr">
        <is>
          <t>Pexapark, 2025; LevelTen Energy Q3, 2025; KYOS, 2025; DK1 solar PPA reference price, March 2025</t>
        </is>
      </c>
      <c r="G43" s="21" t="inlineStr">
        <is>
          <t>Point estimate</t>
        </is>
      </c>
      <c r="H43" s="21" t="inlineStr">
        <is>
          <t>DK1</t>
        </is>
      </c>
      <c r="I43" s="21" t="n">
        <v>2025</v>
      </c>
      <c r="J43" s="22" t="inlineStr">
        <is>
          <t>Revenue model (PPA phase)</t>
        </is>
      </c>
      <c r="K43" s="22" t="n"/>
    </row>
    <row r="44" ht="16" customHeight="1" s="133">
      <c r="C44" s="20" t="inlineStr">
        <is>
          <t>Project capacity</t>
        </is>
      </c>
      <c r="D44" s="21" t="inlineStr">
        <is>
          <t>MW</t>
        </is>
      </c>
      <c r="E44" s="21" t="n">
        <v>50</v>
      </c>
      <c r="F44" s="22" t="inlineStr">
        <is>
          <t>IEA, 2025; Energinet, 2025</t>
        </is>
      </c>
      <c r="G44" s="21" t="inlineStr">
        <is>
          <t>Point estimate</t>
        </is>
      </c>
      <c r="H44" s="21" t="inlineStr">
        <is>
          <t>Denmark</t>
        </is>
      </c>
      <c r="I44" s="21" t="n">
        <v>2025</v>
      </c>
      <c r="J44" s="22" t="inlineStr">
        <is>
          <t>Revenue model</t>
        </is>
      </c>
      <c r="K44" s="22" t="inlineStr">
        <is>
          <t>Representative Danish utility-scale</t>
        </is>
      </c>
    </row>
    <row r="45" ht="16" customHeight="1" s="133">
      <c r="C45" s="20" t="inlineStr">
        <is>
          <t>Project life</t>
        </is>
      </c>
      <c r="D45" s="21" t="inlineStr">
        <is>
          <t>Years</t>
        </is>
      </c>
      <c r="E45" s="21" t="n">
        <v>25</v>
      </c>
      <c r="F45" s="22" t="inlineStr">
        <is>
          <t>IEA, 2025</t>
        </is>
      </c>
      <c r="G45" s="21" t="inlineStr">
        <is>
          <t>Point estimate</t>
        </is>
      </c>
      <c r="H45" s="21" t="inlineStr">
        <is>
          <t>Denmark</t>
        </is>
      </c>
      <c r="I45" s="21" t="n">
        <v>2025</v>
      </c>
      <c r="J45" s="22" t="inlineStr">
        <is>
          <t>All models</t>
        </is>
      </c>
      <c r="K45" s="22" t="inlineStr">
        <is>
          <t>Standard for solar PV</t>
        </is>
      </c>
    </row>
    <row r="46" ht="16" customHeight="1" s="133">
      <c r="C46" s="20" t="inlineStr">
        <is>
          <t>PPA duration</t>
        </is>
      </c>
      <c r="D46" s="21" t="inlineStr">
        <is>
          <t>Years</t>
        </is>
      </c>
      <c r="E46" s="21" t="n">
        <v>10</v>
      </c>
      <c r="F46" s="22" t="inlineStr">
        <is>
          <t>Pexapark, 2024</t>
        </is>
      </c>
      <c r="G46" s="21" t="inlineStr">
        <is>
          <t>Point estimate</t>
        </is>
      </c>
      <c r="H46" s="21" t="inlineStr">
        <is>
          <t>Denmark</t>
        </is>
      </c>
      <c r="I46" s="21" t="n">
        <v>2024</v>
      </c>
      <c r="J46" s="22" t="inlineStr">
        <is>
          <t>Switch date T*</t>
        </is>
      </c>
      <c r="K46" s="22" t="inlineStr">
        <is>
          <t>Typical bankable PPA tenor in Denmark</t>
        </is>
      </c>
    </row>
    <row r="47" ht="16" customHeight="1" s="133">
      <c r="C47" s="20" t="n"/>
      <c r="D47" s="21" t="n"/>
      <c r="E47" s="21" t="n"/>
      <c r="F47" s="22" t="n"/>
      <c r="G47" s="21" t="n"/>
      <c r="H47" s="21" t="n"/>
      <c r="I47" s="21" t="n"/>
      <c r="J47" s="22" t="n"/>
      <c r="K47" s="22" t="n"/>
    </row>
    <row r="48" ht="16" customHeight="1" s="133">
      <c r="C48" s="20" t="inlineStr">
        <is>
          <t>Panel degradation rate</t>
        </is>
      </c>
      <c r="D48" s="21" t="inlineStr">
        <is>
          <t>% p.a.</t>
        </is>
      </c>
      <c r="E48" s="72" t="n">
        <v>0.005</v>
      </c>
      <c r="F48" s="22" t="inlineStr">
        <is>
          <t>IEA Renewables 2025; IRENA industry standard</t>
        </is>
      </c>
      <c r="G48" s="21" t="inlineStr">
        <is>
          <t>Point estimate</t>
        </is>
      </c>
      <c r="H48" s="21" t="inlineStr">
        <is>
          <t>Global</t>
        </is>
      </c>
      <c r="I48" s="21" t="n">
        <v>2025</v>
      </c>
      <c r="J48" s="22" t="inlineStr">
        <is>
          <t>Production profile</t>
        </is>
      </c>
      <c r="K48" s="22" t="n"/>
    </row>
    <row r="49" ht="16" customHeight="1" s="133">
      <c r="C49" s="20" t="inlineStr">
        <is>
          <t>Capacity factor</t>
        </is>
      </c>
      <c r="D49" s="21" t="inlineStr">
        <is>
          <t>%</t>
        </is>
      </c>
      <c r="E49" s="25" t="n">
        <v>0.13</v>
      </c>
      <c r="F49" s="22" t="inlineStr">
        <is>
          <t>Derived: EurObserv'ER, 2024</t>
        </is>
      </c>
      <c r="G49" s="21" t="inlineStr">
        <is>
          <t>Point estimate</t>
        </is>
      </c>
      <c r="H49" s="21" t="inlineStr">
        <is>
          <t>Denmark</t>
        </is>
      </c>
      <c r="I49" s="21" t="n">
        <v>2024</v>
      </c>
      <c r="J49" s="22" t="inlineStr">
        <is>
          <t>Revenue model</t>
        </is>
      </c>
      <c r="K49" s="22" t="inlineStr">
        <is>
          <t xml:space="preserve"> 3,363 GWh production, 3,529 MW capacity, 8,760 hours</t>
        </is>
      </c>
    </row>
    <row r="50" ht="16" customHeight="1" s="133">
      <c r="C50" s="20" t="inlineStr">
        <is>
          <t>Technical availability</t>
        </is>
      </c>
      <c r="D50" s="21" t="inlineStr">
        <is>
          <t>%</t>
        </is>
      </c>
      <c r="E50" s="25" t="n">
        <v>0.97</v>
      </c>
      <c r="F50" s="22" t="inlineStr">
        <is>
          <t>IEA, 2025; IRENA, 2024</t>
        </is>
      </c>
      <c r="G50" s="21" t="inlineStr">
        <is>
          <t>Point estimate</t>
        </is>
      </c>
      <c r="H50" s="21" t="inlineStr">
        <is>
          <t>Global</t>
        </is>
      </c>
      <c r="I50" s="21" t="n">
        <v>2025</v>
      </c>
      <c r="J50" s="22" t="inlineStr">
        <is>
          <t>Production profile</t>
        </is>
      </c>
      <c r="K50" s="7" t="inlineStr">
        <is>
          <t>Industry standard for utility-scale solar PV (consistent with IEA/IRENA O&amp;M benchmarks)</t>
        </is>
      </c>
    </row>
    <row r="51" ht="16" customHeight="1" s="133">
      <c r="C51" s="20" t="inlineStr">
        <is>
          <t>Curtailment</t>
        </is>
      </c>
      <c r="D51" s="21" t="inlineStr">
        <is>
          <t>%</t>
        </is>
      </c>
      <c r="E51" s="25" t="n">
        <v>0.03</v>
      </c>
      <c r="F51" s="22" t="inlineStr">
        <is>
          <t>IEA Renewables, 2025</t>
        </is>
      </c>
      <c r="G51" s="21" t="inlineStr">
        <is>
          <t>Point estimate</t>
        </is>
      </c>
      <c r="H51" s="21" t="inlineStr">
        <is>
          <t>Global</t>
        </is>
      </c>
      <c r="I51" s="21" t="n">
        <v>2025</v>
      </c>
      <c r="J51" s="22" t="inlineStr">
        <is>
          <t>Production profile</t>
        </is>
      </c>
      <c r="K51" s="22" t="inlineStr">
        <is>
          <t>Global solar PV curtailment rate 2024 per IEA Renewables 2025; applied as conservative Danish base case</t>
        </is>
      </c>
    </row>
    <row r="52" ht="16" customHeight="1" s="133">
      <c r="C52" s="41" t="inlineStr">
        <is>
          <t>AC:DC Ratio</t>
        </is>
      </c>
      <c r="D52" s="21" t="inlineStr">
        <is>
          <t>Ratio</t>
        </is>
      </c>
      <c r="E52" s="66" t="n">
        <v>1</v>
      </c>
      <c r="F52" s="22" t="inlineStr">
        <is>
          <t>IEA, 2025; IRENA, 2024</t>
        </is>
      </c>
      <c r="G52" s="21" t="inlineStr">
        <is>
          <t>Point estimate</t>
        </is>
      </c>
      <c r="H52" s="21" t="inlineStr">
        <is>
          <t>Global</t>
        </is>
      </c>
      <c r="I52" s="21" t="n">
        <v>2024</v>
      </c>
      <c r="J52" s="22" t="inlineStr">
        <is>
          <t>Production profile</t>
        </is>
      </c>
      <c r="K52" s="22" t="inlineStr">
        <is>
          <t>AC:DC ratio of 1.0 implies no DC oversizing — conservative baseline</t>
        </is>
      </c>
    </row>
    <row r="53" ht="16" customHeight="1" s="133"/>
    <row r="54" ht="16" customHeight="1" s="133">
      <c r="B54" s="14" t="n"/>
      <c r="C54" s="15" t="inlineStr">
        <is>
          <t>End</t>
        </is>
      </c>
      <c r="D54" s="16" t="n"/>
      <c r="E54" s="16" t="n"/>
      <c r="F54" s="17" t="n"/>
      <c r="G54" s="16" t="n"/>
      <c r="H54" s="16" t="n"/>
      <c r="I54" s="16" t="n"/>
      <c r="J54" s="17" t="n"/>
      <c r="K54" s="18" t="n"/>
    </row>
    <row r="57">
      <c r="B57" s="2" t="n"/>
    </row>
  </sheetData>
  <pageMargins left="0.75" right="0.75" top="1" bottom="1" header="0.5" footer="0.5"/>
  <pageSetup orientation="portrait" paperSize="9" horizontalDpi="0" verticalDpi="0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B1:G52"/>
  <sheetViews>
    <sheetView showGridLines="0" workbookViewId="0">
      <selection activeCell="E18" sqref="E18"/>
    </sheetView>
  </sheetViews>
  <sheetFormatPr baseColWidth="10" defaultRowHeight="16"/>
  <cols>
    <col width="2.83203125" customWidth="1" style="133" min="1" max="1"/>
    <col width="2.83203125" customWidth="1" style="3" min="2" max="2"/>
    <col width="34.83203125" customWidth="1" style="133" min="3" max="3"/>
    <col width="13.83203125" customWidth="1" style="3" min="4" max="5"/>
    <col width="2.83203125" customWidth="1" style="37" min="6" max="6"/>
    <col width="90.83203125" customWidth="1" style="4" min="7" max="7"/>
  </cols>
  <sheetData>
    <row r="1" customFormat="1" s="2">
      <c r="B1" s="5" t="n"/>
      <c r="F1" s="36" t="n"/>
    </row>
    <row r="2" ht="45" customFormat="1" customHeight="1" s="2">
      <c r="B2" s="6" t="inlineStr">
        <is>
          <t xml:space="preserve">   Assumptions</t>
        </is>
      </c>
      <c r="C2" s="8" t="n"/>
      <c r="D2" s="8" t="n"/>
      <c r="E2" s="8" t="n"/>
      <c r="F2" s="8" t="n"/>
      <c r="G2" s="9" t="n"/>
    </row>
    <row r="3" ht="15" customFormat="1" customHeight="1" s="41">
      <c r="B3" s="35" t="n"/>
      <c r="D3" s="35" t="n"/>
      <c r="E3" s="35" t="n"/>
      <c r="F3" s="44" t="n"/>
      <c r="G3" s="42" t="n"/>
    </row>
    <row r="4" ht="16" customFormat="1" customHeight="1" s="41">
      <c r="B4" s="30" t="inlineStr">
        <is>
          <t>#</t>
        </is>
      </c>
      <c r="C4" s="31" t="inlineStr">
        <is>
          <t>Variable</t>
        </is>
      </c>
      <c r="D4" s="32" t="inlineStr">
        <is>
          <t>Unit</t>
        </is>
      </c>
      <c r="E4" s="32" t="inlineStr">
        <is>
          <t>Value</t>
        </is>
      </c>
      <c r="F4" s="8" t="n"/>
      <c r="G4" s="78" t="inlineStr">
        <is>
          <t>Note</t>
        </is>
      </c>
    </row>
    <row r="5" ht="15" customFormat="1" customHeight="1" s="41">
      <c r="B5" s="35" t="n"/>
      <c r="D5" s="35" t="n"/>
      <c r="E5" s="35" t="n"/>
      <c r="F5" s="44" t="n"/>
      <c r="G5" s="42" t="n"/>
    </row>
    <row r="6" ht="15" customFormat="1" customHeight="1" s="41">
      <c r="B6" s="30" t="n">
        <v>1</v>
      </c>
      <c r="C6" s="31" t="inlineStr">
        <is>
          <t>Timeline</t>
        </is>
      </c>
      <c r="D6" s="32" t="n"/>
      <c r="E6" s="32" t="n"/>
      <c r="F6" s="8" t="n"/>
      <c r="G6" s="78" t="n"/>
    </row>
    <row r="7" ht="15" customFormat="1" customHeight="1" s="41">
      <c r="B7" s="35" t="n"/>
      <c r="D7" s="35" t="n"/>
      <c r="E7" s="35" t="n"/>
      <c r="F7" s="44" t="n"/>
      <c r="G7" s="42" t="n"/>
    </row>
    <row r="8" ht="15" customFormat="1" customHeight="1" s="41">
      <c r="B8" s="35" t="n"/>
      <c r="C8" s="41" t="inlineStr">
        <is>
          <t>Start of Development</t>
        </is>
      </c>
      <c r="D8" s="35" t="inlineStr">
        <is>
          <t>Date</t>
        </is>
      </c>
      <c r="E8" s="58" t="n">
        <v>46023</v>
      </c>
      <c r="F8" s="44" t="n"/>
      <c r="G8" s="42" t="n"/>
    </row>
    <row r="9" ht="15" customFormat="1" customHeight="1" s="41">
      <c r="B9" s="35" t="n"/>
      <c r="C9" s="41" t="inlineStr">
        <is>
          <t>Start of Construction</t>
        </is>
      </c>
      <c r="D9" s="35" t="inlineStr">
        <is>
          <t>Date</t>
        </is>
      </c>
      <c r="E9" s="58" t="n">
        <v>47484</v>
      </c>
      <c r="F9" s="44" t="n"/>
      <c r="G9" s="42" t="n"/>
    </row>
    <row r="10" ht="15" customFormat="1" customHeight="1" s="41">
      <c r="B10" s="35" t="n"/>
      <c r="C10" s="41" t="inlineStr">
        <is>
          <t>Commercial Operation Date</t>
        </is>
      </c>
      <c r="D10" s="35" t="inlineStr">
        <is>
          <t>Date</t>
        </is>
      </c>
      <c r="E10" s="58" t="n">
        <v>48214</v>
      </c>
      <c r="F10" s="44" t="n"/>
      <c r="G10" s="42" t="n"/>
    </row>
    <row r="11" customFormat="1" s="41">
      <c r="B11" s="35" t="n"/>
      <c r="C11" s="41" t="inlineStr">
        <is>
          <t>Operational Lifetime</t>
        </is>
      </c>
      <c r="D11" s="35" t="inlineStr">
        <is>
          <t>Months</t>
        </is>
      </c>
      <c r="E11" s="35">
        <f>'Data Log'!E45*12</f>
        <v/>
      </c>
      <c r="F11" s="44" t="n"/>
      <c r="G11" s="51" t="inlineStr">
        <is>
          <t>Input from Data Log</t>
        </is>
      </c>
    </row>
    <row r="12" ht="15" customFormat="1" customHeight="1" s="41">
      <c r="B12" s="35" t="n"/>
      <c r="D12" s="35" t="n"/>
      <c r="E12" s="35" t="n"/>
      <c r="F12" s="42" t="n"/>
      <c r="G12" s="42" t="n"/>
    </row>
    <row r="13" ht="15" customFormat="1" customHeight="1" s="41">
      <c r="B13" s="30" t="n">
        <v>2</v>
      </c>
      <c r="C13" s="31" t="inlineStr">
        <is>
          <t>Technicalities</t>
        </is>
      </c>
      <c r="D13" s="32" t="n"/>
      <c r="E13" s="32" t="n"/>
      <c r="F13" s="57" t="n"/>
      <c r="G13" s="78" t="n"/>
    </row>
    <row r="14" ht="15" customFormat="1" customHeight="1" s="41">
      <c r="B14" s="35" t="n"/>
      <c r="D14" s="35" t="n"/>
      <c r="E14" s="35" t="n"/>
      <c r="F14" s="44" t="n"/>
      <c r="G14" s="42" t="n"/>
    </row>
    <row r="15" customFormat="1" s="41">
      <c r="B15" s="35" t="n"/>
      <c r="C15" s="41" t="inlineStr">
        <is>
          <t>Installed Capacity</t>
        </is>
      </c>
      <c r="D15" s="35" t="inlineStr">
        <is>
          <t>MW(dc)</t>
        </is>
      </c>
      <c r="E15" s="65">
        <f>+'Data Log'!E44</f>
        <v/>
      </c>
      <c r="F15" s="44" t="n"/>
      <c r="G15" s="51" t="inlineStr">
        <is>
          <t>Input from Data Log</t>
        </is>
      </c>
    </row>
    <row r="16" ht="15" customFormat="1" customHeight="1" s="41">
      <c r="B16" s="35" t="n"/>
      <c r="C16" s="41" t="inlineStr">
        <is>
          <t>Power Production</t>
        </is>
      </c>
      <c r="D16" s="35" t="n"/>
      <c r="E16" s="35" t="n"/>
      <c r="F16" s="44" t="n"/>
      <c r="G16" s="42" t="n"/>
    </row>
    <row r="17" ht="15" customFormat="1" customHeight="1" s="41">
      <c r="B17" s="35" t="n"/>
      <c r="D17" s="35" t="n"/>
      <c r="E17" s="35" t="n"/>
      <c r="F17" s="44" t="n"/>
      <c r="G17" s="42" t="n"/>
    </row>
    <row r="18" ht="15" customFormat="1" customHeight="1" s="41">
      <c r="B18" s="35" t="n"/>
      <c r="C18" s="41" t="inlineStr">
        <is>
          <t>NCF, P50</t>
        </is>
      </c>
      <c r="D18" s="35" t="inlineStr">
        <is>
          <t>%</t>
        </is>
      </c>
      <c r="E18" s="82">
        <f>'Data Log'!E49*(1-Assumptions!E22)*(1-Assumptions!E23)*E25</f>
        <v/>
      </c>
      <c r="F18" s="44" t="n"/>
      <c r="G18" s="68" t="inlineStr">
        <is>
          <t>Derived: NCF = Capacity Factor * (1 − Curtailment) * (1 − Degradation) * Technical Availability</t>
        </is>
      </c>
    </row>
    <row r="19" ht="15" customFormat="1" customHeight="1" s="41">
      <c r="B19" s="35" t="n"/>
      <c r="C19" s="41" t="inlineStr">
        <is>
          <t>NCF, P90</t>
        </is>
      </c>
      <c r="D19" s="35" t="inlineStr">
        <is>
          <t>%</t>
        </is>
      </c>
      <c r="E19" s="53" t="n"/>
      <c r="F19" s="44" t="n"/>
      <c r="G19" s="68" t="inlineStr">
        <is>
          <t>Will be calculated using Monte Carlo simulation</t>
        </is>
      </c>
    </row>
    <row r="20" ht="15" customFormat="1" customHeight="1" s="41">
      <c r="B20" s="35" t="n"/>
      <c r="C20" s="41" t="inlineStr">
        <is>
          <t>NCF, P99</t>
        </is>
      </c>
      <c r="D20" s="35" t="inlineStr">
        <is>
          <t>%</t>
        </is>
      </c>
      <c r="E20" s="53" t="n"/>
      <c r="F20" s="44" t="n"/>
      <c r="G20" s="68" t="inlineStr">
        <is>
          <t>Will be calculated using Monte Carlo simulation</t>
        </is>
      </c>
    </row>
    <row r="21" ht="15" customFormat="1" customHeight="1" s="41">
      <c r="B21" s="35" t="n"/>
      <c r="D21" s="35" t="n"/>
      <c r="E21" s="35" t="n"/>
      <c r="F21" s="44" t="n"/>
      <c r="G21" s="42" t="n"/>
    </row>
    <row r="22" customFormat="1" s="41">
      <c r="B22" s="35" t="n"/>
      <c r="C22" s="41" t="inlineStr">
        <is>
          <t>Curtailment</t>
        </is>
      </c>
      <c r="D22" s="35" t="inlineStr">
        <is>
          <t>%</t>
        </is>
      </c>
      <c r="E22" s="71">
        <f>+'Data Log'!E51</f>
        <v/>
      </c>
      <c r="F22" s="42" t="n"/>
      <c r="G22" s="51" t="inlineStr">
        <is>
          <t>Input from Data Log</t>
        </is>
      </c>
    </row>
    <row r="23" customFormat="1" s="41">
      <c r="B23" s="35" t="n"/>
      <c r="C23" s="41" t="inlineStr">
        <is>
          <t>Degradation</t>
        </is>
      </c>
      <c r="D23" s="21" t="inlineStr">
        <is>
          <t>% p.a.</t>
        </is>
      </c>
      <c r="E23" s="70">
        <f>+'Data Log'!E48</f>
        <v/>
      </c>
      <c r="F23" s="44" t="n"/>
      <c r="G23" s="51" t="inlineStr">
        <is>
          <t>Input from Data Log</t>
        </is>
      </c>
    </row>
    <row r="24" customFormat="1" s="41">
      <c r="B24" s="35" t="n"/>
      <c r="C24" s="41" t="inlineStr">
        <is>
          <t>AC:DC Ratio</t>
        </is>
      </c>
      <c r="D24" s="35" t="inlineStr">
        <is>
          <t>Ratio</t>
        </is>
      </c>
      <c r="E24" s="67">
        <f>+'Data Log'!E52</f>
        <v/>
      </c>
      <c r="F24" s="44" t="n"/>
      <c r="G24" s="51" t="inlineStr">
        <is>
          <t>Input from Data Log</t>
        </is>
      </c>
    </row>
    <row r="25" customFormat="1" s="41">
      <c r="B25" s="35" t="n"/>
      <c r="C25" s="41" t="inlineStr">
        <is>
          <t>Technical Availability</t>
        </is>
      </c>
      <c r="D25" s="35" t="inlineStr">
        <is>
          <t>%</t>
        </is>
      </c>
      <c r="E25" s="69">
        <f>+'Data Log'!E50</f>
        <v/>
      </c>
      <c r="F25" s="44" t="n"/>
      <c r="G25" s="51" t="inlineStr">
        <is>
          <t>Input from Data Log</t>
        </is>
      </c>
    </row>
    <row r="26" ht="15" customFormat="1" customHeight="1" s="41">
      <c r="B26" s="35" t="n"/>
      <c r="D26" s="35" t="n"/>
      <c r="E26" s="35" t="n"/>
      <c r="F26" s="44" t="n"/>
      <c r="G26" s="42" t="n"/>
    </row>
    <row r="27" ht="15" customFormat="1" customHeight="1" s="41">
      <c r="B27" s="30" t="n">
        <v>3</v>
      </c>
      <c r="C27" s="31" t="inlineStr">
        <is>
          <t>Project Costs</t>
        </is>
      </c>
      <c r="D27" s="32" t="n"/>
      <c r="E27" s="32" t="n"/>
      <c r="F27" s="57" t="n"/>
      <c r="G27" s="78" t="n"/>
    </row>
    <row r="28" ht="15" customFormat="1" customHeight="1" s="41">
      <c r="B28" s="35" t="n"/>
      <c r="D28" s="35" t="n"/>
      <c r="E28" s="35" t="n"/>
      <c r="F28" s="44" t="n"/>
      <c r="G28" s="42" t="n"/>
    </row>
    <row r="29" ht="15" customFormat="1" customHeight="1" s="41">
      <c r="B29" s="35" t="n"/>
      <c r="C29" s="59" t="inlineStr">
        <is>
          <t>Construction Costs</t>
        </is>
      </c>
      <c r="D29" s="35" t="n"/>
      <c r="E29" s="35" t="n"/>
      <c r="F29" s="44" t="n"/>
      <c r="G29" s="42" t="n"/>
    </row>
    <row r="30" ht="15" customFormat="1" customHeight="1" s="41">
      <c r="B30" s="35" t="n"/>
      <c r="D30" s="35" t="n"/>
      <c r="E30" s="35" t="n"/>
      <c r="F30" s="44" t="n"/>
      <c r="G30" s="42" t="n"/>
    </row>
    <row r="31" customFormat="1" s="41">
      <c r="B31" s="35" t="n"/>
      <c r="C31" s="41" t="inlineStr">
        <is>
          <t>CAPEX</t>
        </is>
      </c>
      <c r="D31" s="35" t="inlineStr">
        <is>
          <t>EURk</t>
        </is>
      </c>
      <c r="E31" s="74">
        <f>'Data Log'!E39*0.92*E15</f>
        <v/>
      </c>
      <c r="F31" s="44" t="n"/>
      <c r="G31" s="51" t="inlineStr">
        <is>
          <t>Input from Data Log</t>
        </is>
      </c>
    </row>
    <row r="32" ht="15" customFormat="1" customHeight="1" s="41">
      <c r="B32" s="35" t="n"/>
      <c r="D32" s="35" t="n"/>
      <c r="E32" s="35" t="n"/>
      <c r="F32" s="44" t="n"/>
      <c r="G32" s="42" t="n"/>
    </row>
    <row r="33" ht="15" customFormat="1" customHeight="1" s="41">
      <c r="B33" s="35" t="n"/>
      <c r="C33" s="60" t="inlineStr">
        <is>
          <t>Operational Costs</t>
        </is>
      </c>
      <c r="D33" s="35" t="n"/>
      <c r="E33" s="35" t="n"/>
      <c r="F33" s="35" t="n"/>
      <c r="G33" s="42" t="n"/>
    </row>
    <row r="34" ht="15" customFormat="1" customHeight="1" s="41">
      <c r="B34" s="35" t="n"/>
      <c r="D34" s="35" t="n"/>
      <c r="E34" s="35" t="n"/>
      <c r="F34" s="44" t="n"/>
      <c r="G34" s="42" t="n"/>
    </row>
    <row r="35" customFormat="1" s="41">
      <c r="B35" s="35" t="n"/>
      <c r="C35" s="41" t="inlineStr">
        <is>
          <t>O&amp;M</t>
        </is>
      </c>
      <c r="D35" s="35" t="inlineStr">
        <is>
          <t>EURk</t>
        </is>
      </c>
      <c r="E35" s="73">
        <f>+'Data Log'!E40*E15*0.92</f>
        <v/>
      </c>
      <c r="F35" s="44" t="n"/>
      <c r="G35" s="51" t="inlineStr">
        <is>
          <t>Input from Data Log</t>
        </is>
      </c>
    </row>
    <row r="36" customFormat="1" s="41">
      <c r="B36" s="35" t="n"/>
      <c r="C36" s="41" t="inlineStr">
        <is>
          <t>OPEX Escalation</t>
        </is>
      </c>
      <c r="D36" s="35" t="inlineStr">
        <is>
          <t>% p.a.</t>
        </is>
      </c>
      <c r="E36" s="81">
        <f>+'Data Log'!E41</f>
        <v/>
      </c>
      <c r="F36" s="44" t="n"/>
      <c r="G36" s="51" t="inlineStr">
        <is>
          <t>Input from Data Log</t>
        </is>
      </c>
    </row>
    <row r="37" ht="15" customFormat="1" customHeight="1" s="41">
      <c r="B37" s="35" t="n"/>
      <c r="D37" s="35" t="n"/>
      <c r="E37" s="35" t="n"/>
      <c r="F37" s="44" t="n"/>
      <c r="G37" s="42" t="n"/>
    </row>
    <row r="38" ht="15" customFormat="1" customHeight="1" s="41">
      <c r="B38" s="30" t="n">
        <v>4</v>
      </c>
      <c r="C38" s="31" t="inlineStr">
        <is>
          <t>Revenue</t>
        </is>
      </c>
      <c r="D38" s="32" t="n"/>
      <c r="E38" s="32" t="n"/>
      <c r="F38" s="8" t="n"/>
      <c r="G38" s="78" t="n"/>
    </row>
    <row r="39" ht="15" customFormat="1" customHeight="1" s="41">
      <c r="B39" s="35" t="n"/>
      <c r="D39" s="35" t="n"/>
      <c r="E39" s="35" t="n"/>
      <c r="F39" s="44" t="n"/>
      <c r="G39" s="42" t="n"/>
    </row>
    <row r="40" customFormat="1" s="41">
      <c r="B40" s="35" t="n"/>
      <c r="C40" s="41" t="inlineStr">
        <is>
          <t>PPA</t>
        </is>
      </c>
      <c r="D40" s="35" t="inlineStr">
        <is>
          <t>EUR/MWh</t>
        </is>
      </c>
      <c r="E40" s="65">
        <f>+'Data Log'!E43</f>
        <v/>
      </c>
      <c r="F40" s="44" t="n"/>
      <c r="G40" s="51" t="inlineStr">
        <is>
          <t>Input from Data Log</t>
        </is>
      </c>
    </row>
    <row r="41" customFormat="1" s="41">
      <c r="B41" s="35" t="n"/>
      <c r="C41" s="41" t="inlineStr">
        <is>
          <t>PPA Tenor</t>
        </is>
      </c>
      <c r="D41" s="35" t="inlineStr">
        <is>
          <t>Years</t>
        </is>
      </c>
      <c r="E41" s="65">
        <f>+'Data Log'!E46</f>
        <v/>
      </c>
      <c r="F41" s="44" t="n"/>
      <c r="G41" s="51" t="inlineStr">
        <is>
          <t>Input from Data Log</t>
        </is>
      </c>
    </row>
    <row r="42" ht="15" customFormat="1" customHeight="1" s="41">
      <c r="B42" s="35" t="n"/>
      <c r="D42" s="35" t="n"/>
      <c r="E42" s="35" t="n"/>
      <c r="F42" s="44" t="n"/>
      <c r="G42" s="42" t="n"/>
    </row>
    <row r="43" ht="15" customFormat="1" customHeight="1" s="41">
      <c r="B43" s="35" t="n"/>
      <c r="C43" s="41" t="inlineStr">
        <is>
          <t>Merchant Price</t>
        </is>
      </c>
      <c r="D43" s="35" t="inlineStr">
        <is>
          <t>EUR/MWh</t>
        </is>
      </c>
      <c r="E43" s="61" t="n"/>
      <c r="F43" s="44" t="n"/>
      <c r="G43" s="68" t="inlineStr">
        <is>
          <t>Will be calculated using Monte Carlo simulation</t>
        </is>
      </c>
    </row>
    <row r="44" ht="15" customFormat="1" customHeight="1" s="41">
      <c r="B44" s="35" t="n"/>
      <c r="D44" s="35" t="n"/>
      <c r="E44" s="35" t="n"/>
      <c r="F44" s="44" t="n"/>
      <c r="G44" s="42" t="n"/>
    </row>
    <row r="45" ht="15" customFormat="1" customHeight="1" s="41">
      <c r="B45" s="30" t="n">
        <v>5</v>
      </c>
      <c r="C45" s="31" t="inlineStr">
        <is>
          <t>Taxes</t>
        </is>
      </c>
      <c r="D45" s="32" t="n"/>
      <c r="E45" s="32" t="n"/>
      <c r="F45" s="57" t="n"/>
      <c r="G45" s="78" t="n"/>
    </row>
    <row r="46" customFormat="1" s="41">
      <c r="B46" s="35" t="n"/>
      <c r="D46" s="35" t="n"/>
      <c r="E46" s="35" t="n"/>
      <c r="F46" s="37" t="n"/>
      <c r="G46" s="42" t="n"/>
    </row>
    <row r="47" customFormat="1" s="41">
      <c r="B47" s="35" t="n"/>
      <c r="C47" s="41" t="inlineStr">
        <is>
          <t>Corporate Tax Rate</t>
        </is>
      </c>
      <c r="D47" s="35" t="inlineStr">
        <is>
          <t>%</t>
        </is>
      </c>
      <c r="E47" s="69">
        <f>+'Data Log'!E35</f>
        <v/>
      </c>
      <c r="F47" s="37" t="n"/>
      <c r="G47" s="42" t="n"/>
    </row>
    <row r="48" customFormat="1" s="41">
      <c r="B48" s="35" t="n"/>
      <c r="D48" s="35" t="n"/>
      <c r="E48" s="35" t="n"/>
      <c r="F48" s="37" t="n"/>
      <c r="G48" s="42" t="n"/>
    </row>
    <row r="49" ht="15" customFormat="1" customHeight="1" s="41">
      <c r="B49" s="30" t="n"/>
      <c r="C49" s="31" t="inlineStr">
        <is>
          <t>End</t>
        </is>
      </c>
      <c r="D49" s="32" t="n"/>
      <c r="E49" s="32" t="n"/>
      <c r="F49" s="57" t="n"/>
      <c r="G49" s="78" t="n"/>
    </row>
    <row r="50" customFormat="1" s="41">
      <c r="B50" s="35" t="n"/>
      <c r="D50" s="35" t="n"/>
      <c r="E50" s="35" t="n"/>
      <c r="F50" s="37" t="n"/>
      <c r="G50" s="42" t="n"/>
    </row>
    <row r="51" customFormat="1" s="41">
      <c r="B51" s="35" t="n"/>
      <c r="D51" s="35" t="n"/>
      <c r="E51" s="35" t="n"/>
      <c r="F51" s="37" t="n"/>
      <c r="G51" s="42" t="n"/>
    </row>
    <row r="52" customFormat="1" s="41">
      <c r="B52" s="35" t="n"/>
      <c r="D52" s="35" t="n"/>
      <c r="E52" s="35" t="n"/>
      <c r="F52" s="37" t="n"/>
      <c r="G52" s="42" t="n"/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B2:G46"/>
  <sheetViews>
    <sheetView showGridLines="0" topLeftCell="A3" workbookViewId="0">
      <selection activeCell="E34" sqref="E34"/>
    </sheetView>
  </sheetViews>
  <sheetFormatPr baseColWidth="10" defaultRowHeight="16"/>
  <cols>
    <col width="2.83203125" customWidth="1" style="37" min="1" max="1"/>
    <col width="3" customWidth="1" style="37" min="2" max="2"/>
    <col width="34.83203125" customWidth="1" style="37" min="3" max="3"/>
    <col width="13.83203125" customWidth="1" style="37" min="4" max="5"/>
    <col width="2.83203125" customWidth="1" style="37" min="6" max="6"/>
    <col width="90.83203125" customWidth="1" style="37" min="7" max="7"/>
    <col width="10.83203125" customWidth="1" style="37" min="8" max="15"/>
    <col width="10.83203125" customWidth="1" style="37" min="16" max="16384"/>
  </cols>
  <sheetData>
    <row r="1" ht="15" customFormat="1" customHeight="1" s="36"/>
    <row r="2" ht="45" customFormat="1" customHeight="1" s="36">
      <c r="B2" s="6" t="inlineStr">
        <is>
          <t xml:space="preserve">  WACC</t>
        </is>
      </c>
      <c r="C2" s="8" t="n"/>
      <c r="D2" s="8" t="n"/>
      <c r="E2" s="8" t="n"/>
      <c r="F2" s="8" t="n"/>
      <c r="G2" s="9" t="n"/>
    </row>
    <row r="3" ht="15" customFormat="1" customHeight="1" s="44"/>
    <row r="4" ht="18" customFormat="1" customHeight="1" s="44">
      <c r="B4" s="43" t="inlineStr">
        <is>
          <t>#</t>
        </is>
      </c>
      <c r="C4" s="45" t="inlineStr">
        <is>
          <t>Parameter</t>
        </is>
      </c>
      <c r="D4" s="46" t="inlineStr">
        <is>
          <t>Unit</t>
        </is>
      </c>
      <c r="E4" s="46" t="inlineStr">
        <is>
          <t>Value</t>
        </is>
      </c>
      <c r="F4" s="8" t="n"/>
      <c r="G4" s="77" t="inlineStr">
        <is>
          <t>Formula / Note</t>
        </is>
      </c>
    </row>
    <row r="5" ht="18" customFormat="1" customHeight="1" s="44">
      <c r="C5" s="39" t="n"/>
      <c r="D5" s="40" t="n"/>
      <c r="E5" s="40" t="n"/>
      <c r="G5" s="40" t="n"/>
    </row>
    <row r="6" ht="16" customFormat="1" customHeight="1" s="44">
      <c r="B6" s="43" t="n">
        <v>1</v>
      </c>
      <c r="C6" s="45" t="inlineStr">
        <is>
          <t>Macroeconomic Inputs</t>
        </is>
      </c>
      <c r="D6" s="46" t="n"/>
      <c r="E6" s="46" t="n"/>
      <c r="F6" s="8" t="n"/>
      <c r="G6" s="47" t="n"/>
    </row>
    <row r="7" ht="16" customFormat="1" customHeight="1" s="44">
      <c r="C7" s="48" t="n"/>
    </row>
    <row r="8" ht="20" customFormat="1" customHeight="1" s="44">
      <c r="C8" s="49" t="inlineStr">
        <is>
          <t>Risk-free rate (Rf)</t>
        </is>
      </c>
      <c r="D8" s="50" t="inlineStr">
        <is>
          <t>%</t>
        </is>
      </c>
      <c r="E8" s="62">
        <f>+'Data Log'!E23</f>
        <v/>
      </c>
      <c r="G8" s="51" t="inlineStr">
        <is>
          <t>Input from Data Log</t>
        </is>
      </c>
    </row>
    <row r="9" ht="20" customFormat="1" customHeight="1" s="44">
      <c r="C9" s="49" t="inlineStr">
        <is>
          <t>Equity Risk Premium (ERP)</t>
        </is>
      </c>
      <c r="D9" s="50" t="inlineStr">
        <is>
          <t>%</t>
        </is>
      </c>
      <c r="E9" s="62">
        <f>+'Data Log'!E24</f>
        <v/>
      </c>
      <c r="G9" s="51" t="inlineStr">
        <is>
          <t>Input from Data Log</t>
        </is>
      </c>
    </row>
    <row r="10" ht="20" customFormat="1" customHeight="1" s="44">
      <c r="C10" s="49" t="inlineStr">
        <is>
          <t>Corporate tax rate (τ)</t>
        </is>
      </c>
      <c r="D10" s="50" t="inlineStr">
        <is>
          <t>%</t>
        </is>
      </c>
      <c r="E10" s="62">
        <f>+'Data Log'!E35</f>
        <v/>
      </c>
      <c r="G10" s="51" t="inlineStr">
        <is>
          <t>Input from Data Log</t>
        </is>
      </c>
    </row>
    <row r="11" ht="15" customFormat="1" customHeight="1" s="44">
      <c r="C11" s="52" t="n"/>
    </row>
    <row r="12" ht="16" customFormat="1" customHeight="1" s="44">
      <c r="B12" s="43" t="n">
        <v>2</v>
      </c>
      <c r="C12" s="45" t="inlineStr">
        <is>
          <t>PPA Phase - Cost of Capital</t>
        </is>
      </c>
      <c r="D12" s="46" t="n"/>
      <c r="E12" s="46" t="n"/>
      <c r="F12" s="8" t="n"/>
      <c r="G12" s="47" t="n"/>
    </row>
    <row r="13" ht="16" customFormat="1" customHeight="1" s="44">
      <c r="C13" s="48" t="n"/>
    </row>
    <row r="14" ht="20" customFormat="1" customHeight="1" s="44">
      <c r="C14" s="49" t="inlineStr">
        <is>
          <t>β_PPA (unlevered asset beta)</t>
        </is>
      </c>
      <c r="D14" s="50" t="inlineStr">
        <is>
          <t>—</t>
        </is>
      </c>
      <c r="E14" s="63">
        <f>+'Data Log'!E26</f>
        <v/>
      </c>
      <c r="G14" s="51" t="inlineStr">
        <is>
          <t>Input from Data Log</t>
        </is>
      </c>
    </row>
    <row r="15" ht="20" customFormat="1" customHeight="1" s="44">
      <c r="C15" s="49" t="inlineStr">
        <is>
          <t>Equity share — PPA (E/V)</t>
        </is>
      </c>
      <c r="D15" s="50" t="inlineStr">
        <is>
          <t>%</t>
        </is>
      </c>
      <c r="E15" s="79">
        <f>+'Data Log'!E32</f>
        <v/>
      </c>
      <c r="G15" s="51" t="inlineStr">
        <is>
          <t>Input from Data Log</t>
        </is>
      </c>
    </row>
    <row r="16" ht="20" customFormat="1" customHeight="1" s="44">
      <c r="C16" s="49" t="inlineStr">
        <is>
          <t>Debt share — PPA (D/V)</t>
        </is>
      </c>
      <c r="D16" s="50" t="inlineStr">
        <is>
          <t>%</t>
        </is>
      </c>
      <c r="E16" s="80">
        <f>1-E15</f>
        <v/>
      </c>
      <c r="G16" s="51" t="inlineStr">
        <is>
          <t>Derived: 1 - Equity Share - PPA (E/V)</t>
        </is>
      </c>
    </row>
    <row r="17" ht="20" customFormat="1" customHeight="1" s="44">
      <c r="C17" s="49" t="inlineStr">
        <is>
          <t>Debt margin — PPA</t>
        </is>
      </c>
      <c r="D17" s="50" t="inlineStr">
        <is>
          <t>%</t>
        </is>
      </c>
      <c r="E17" s="62">
        <f>+'Data Log'!E29</f>
        <v/>
      </c>
      <c r="G17" s="51" t="inlineStr">
        <is>
          <t>Input from Data Log</t>
        </is>
      </c>
    </row>
    <row r="18" ht="20" customFormat="1" customHeight="1" s="44">
      <c r="C18" s="49" t="inlineStr">
        <is>
          <t>r_e,PPA (cost of equity)</t>
        </is>
      </c>
      <c r="D18" s="50" t="inlineStr">
        <is>
          <t>%</t>
        </is>
      </c>
      <c r="E18" s="53">
        <f>E8+E14*E9</f>
        <v/>
      </c>
      <c r="G18" s="51" t="inlineStr">
        <is>
          <t>Derived: CAPM: Rf + β_PPA × ERP</t>
        </is>
      </c>
    </row>
    <row r="19" ht="20" customFormat="1" customHeight="1" s="44">
      <c r="C19" s="49" t="inlineStr">
        <is>
          <t>r_d,PPA (cost of debt)</t>
        </is>
      </c>
      <c r="D19" s="50" t="inlineStr">
        <is>
          <t>%</t>
        </is>
      </c>
      <c r="E19" s="53">
        <f>E8+E17</f>
        <v/>
      </c>
      <c r="G19" s="51" t="inlineStr">
        <is>
          <t>Derived: Rf + debt margin PPA</t>
        </is>
      </c>
    </row>
    <row r="20" ht="22" customFormat="1" customHeight="1" s="44">
      <c r="C20" s="54" t="inlineStr">
        <is>
          <t>WACC_PPA</t>
        </is>
      </c>
      <c r="D20" s="50" t="inlineStr">
        <is>
          <t>%</t>
        </is>
      </c>
      <c r="E20" s="53">
        <f>E15*E18+E16*E19*(1-E10)</f>
        <v/>
      </c>
      <c r="G20" s="51" t="inlineStr">
        <is>
          <t>Derived: WACC_PPA = (E_PPA/V_PPA) · r_e,PPA + (D_PPA/V_PPA) · r_d,PPA · (1 − τ)</t>
        </is>
      </c>
    </row>
    <row r="21" ht="15" customFormat="1" customHeight="1" s="44">
      <c r="C21" s="52" t="n"/>
    </row>
    <row r="22" ht="16" customFormat="1" customHeight="1" s="44">
      <c r="B22" s="43" t="n">
        <v>3</v>
      </c>
      <c r="C22" s="45" t="inlineStr">
        <is>
          <t>Merchant Phase - Cost of Capital</t>
        </is>
      </c>
      <c r="D22" s="46" t="n"/>
      <c r="E22" s="46" t="n"/>
      <c r="F22" s="8" t="n"/>
      <c r="G22" s="47" t="n"/>
    </row>
    <row r="23" ht="16" customFormat="1" customHeight="1" s="44">
      <c r="C23" s="48" t="n"/>
    </row>
    <row r="24" ht="20" customFormat="1" customHeight="1" s="44">
      <c r="C24" s="49" t="inlineStr">
        <is>
          <t>β_merchant (unlevered asset beta)</t>
        </is>
      </c>
      <c r="D24" s="50" t="inlineStr">
        <is>
          <t>—</t>
        </is>
      </c>
      <c r="E24" s="63">
        <f>+'Data Log'!E27</f>
        <v/>
      </c>
      <c r="G24" s="51" t="inlineStr">
        <is>
          <t>Input from Data Log</t>
        </is>
      </c>
    </row>
    <row r="25" ht="20" customFormat="1" customHeight="1" s="44">
      <c r="C25" s="49" t="inlineStr">
        <is>
          <t>Equity share — Merchant (E/V)</t>
        </is>
      </c>
      <c r="D25" s="50" t="inlineStr">
        <is>
          <t>%</t>
        </is>
      </c>
      <c r="E25" s="64">
        <f>+'Data Log'!E33</f>
        <v/>
      </c>
      <c r="G25" s="51" t="inlineStr">
        <is>
          <t>Input from Data Log</t>
        </is>
      </c>
    </row>
    <row r="26" ht="20" customFormat="1" customHeight="1" s="44">
      <c r="C26" s="49" t="inlineStr">
        <is>
          <t>Debt share — Merchant (D/V)</t>
        </is>
      </c>
      <c r="D26" s="50" t="inlineStr">
        <is>
          <t>%</t>
        </is>
      </c>
      <c r="E26" s="76">
        <f>1-E25</f>
        <v/>
      </c>
      <c r="G26" s="51" t="inlineStr">
        <is>
          <t>Derived: 1 - Equity Share - Merchant  (E/V)</t>
        </is>
      </c>
    </row>
    <row r="27" ht="20" customFormat="1" customHeight="1" s="44">
      <c r="C27" s="49" t="inlineStr">
        <is>
          <t>Debt margin — Merchant</t>
        </is>
      </c>
      <c r="D27" s="50" t="inlineStr">
        <is>
          <t>%</t>
        </is>
      </c>
      <c r="E27" s="62">
        <f>+'Data Log'!E30</f>
        <v/>
      </c>
      <c r="G27" s="51" t="inlineStr">
        <is>
          <t>Input from Data Log</t>
        </is>
      </c>
    </row>
    <row r="28" ht="20" customFormat="1" customHeight="1" s="44">
      <c r="C28" s="49" t="inlineStr">
        <is>
          <t>r_e,merchant (cost of equity)</t>
        </is>
      </c>
      <c r="D28" s="50" t="inlineStr">
        <is>
          <t>%</t>
        </is>
      </c>
      <c r="E28" s="53">
        <f>E8+E24*E9</f>
        <v/>
      </c>
      <c r="G28" s="51" t="inlineStr">
        <is>
          <t>Derived: CAPM: Rf + β_merchant × ERP</t>
        </is>
      </c>
    </row>
    <row r="29" ht="20" customFormat="1" customHeight="1" s="44">
      <c r="C29" s="49" t="inlineStr">
        <is>
          <t>r_d,merchant (cost of debt)</t>
        </is>
      </c>
      <c r="D29" s="50" t="inlineStr">
        <is>
          <t>%</t>
        </is>
      </c>
      <c r="E29" s="53">
        <f>E8+E27</f>
        <v/>
      </c>
      <c r="G29" s="51" t="inlineStr">
        <is>
          <t>Derived: Rf + debt margin merchant</t>
        </is>
      </c>
    </row>
    <row r="30" ht="22" customFormat="1" customHeight="1" s="44">
      <c r="C30" s="54" t="inlineStr">
        <is>
          <t>WACC_merchant</t>
        </is>
      </c>
      <c r="D30" s="50" t="inlineStr">
        <is>
          <t>%</t>
        </is>
      </c>
      <c r="E30" s="53">
        <f>E25*E28+E26*E29*(1-E10)</f>
        <v/>
      </c>
      <c r="G30" s="51" t="inlineStr">
        <is>
          <t>Derived: WACC_merchant = (E_merchant/V_merchant) · r_e,merchant + (D_merchant/V_merchant) · r_d,merchant · (1 − τ)</t>
        </is>
      </c>
    </row>
    <row r="31" ht="15" customFormat="1" customHeight="1" s="44">
      <c r="C31" s="52" t="n"/>
    </row>
    <row r="32" ht="16" customFormat="1" customHeight="1" s="44">
      <c r="B32" s="43" t="n">
        <v>4</v>
      </c>
      <c r="C32" s="45" t="inlineStr">
        <is>
          <t>Monthly Discount Rates</t>
        </is>
      </c>
      <c r="D32" s="46" t="n"/>
      <c r="E32" s="46" t="n"/>
      <c r="F32" s="8" t="n"/>
      <c r="G32" s="47" t="n"/>
    </row>
    <row r="33" ht="16" customFormat="1" customHeight="1" s="44">
      <c r="C33" s="48" t="n"/>
    </row>
    <row r="34" ht="20" customFormat="1" customHeight="1" s="44">
      <c r="C34" s="54" t="inlineStr">
        <is>
          <t>WACC_PPA,m (monthly)</t>
        </is>
      </c>
      <c r="D34" s="50" t="inlineStr">
        <is>
          <t>%</t>
        </is>
      </c>
      <c r="E34" s="75">
        <f>(1+E20)^(1/12)-1</f>
        <v/>
      </c>
      <c r="G34" s="51" t="inlineStr">
        <is>
          <t>Derived (Converted for monthly cash flow model)</t>
        </is>
      </c>
    </row>
    <row r="35" ht="20" customFormat="1" customHeight="1" s="44">
      <c r="C35" s="54" t="inlineStr">
        <is>
          <t>WACC_merchant,m (monthly)</t>
        </is>
      </c>
      <c r="D35" s="50" t="inlineStr">
        <is>
          <t>%</t>
        </is>
      </c>
      <c r="E35" s="75">
        <f>(1+E30)^(1/12)-1</f>
        <v/>
      </c>
      <c r="G35" s="51" t="inlineStr">
        <is>
          <t>Derived (Converted for monthly cash flow model)</t>
        </is>
      </c>
    </row>
    <row r="36" ht="15" customFormat="1" customHeight="1" s="44">
      <c r="C36" s="52" t="n"/>
    </row>
    <row r="37" ht="16" customFormat="1" customHeight="1" s="44">
      <c r="B37" s="43" t="n">
        <v>5</v>
      </c>
      <c r="C37" s="45" t="inlineStr">
        <is>
          <t>Beta Shift Summary</t>
        </is>
      </c>
      <c r="D37" s="46" t="n"/>
      <c r="E37" s="46" t="n"/>
      <c r="F37" s="8" t="n"/>
      <c r="G37" s="47" t="n"/>
    </row>
    <row r="38" ht="16" customFormat="1" customHeight="1" s="44">
      <c r="C38" s="48" t="n"/>
    </row>
    <row r="39" ht="20" customFormat="1" customHeight="1" s="44">
      <c r="C39" s="49" t="inlineStr">
        <is>
          <t>Δβ (beta shift)</t>
        </is>
      </c>
      <c r="D39" s="50" t="inlineStr">
        <is>
          <t>—</t>
        </is>
      </c>
      <c r="E39" s="55">
        <f>E24-E14</f>
        <v/>
      </c>
      <c r="G39" s="44" t="inlineStr">
        <is>
          <t>β_merchant (unlevered asset beta) - β_PPA (unlevered asset beta)</t>
        </is>
      </c>
    </row>
    <row r="40" ht="20" customFormat="1" customHeight="1" s="44">
      <c r="C40" s="49" t="inlineStr">
        <is>
          <t>ΔWACC (discount rate shift)</t>
        </is>
      </c>
      <c r="D40" s="50" t="inlineStr">
        <is>
          <t>%</t>
        </is>
      </c>
      <c r="E40" s="53">
        <f>E30-E20</f>
        <v/>
      </c>
      <c r="G40" s="44" t="inlineStr">
        <is>
          <t>WACC_merchant - WACC_PPA</t>
        </is>
      </c>
    </row>
    <row r="41" ht="20" customFormat="1" customHeight="1" s="44">
      <c r="C41" s="49" t="n"/>
      <c r="D41" s="50" t="n"/>
      <c r="E41" s="56" t="n"/>
    </row>
    <row r="42" ht="20" customFormat="1" customHeight="1" s="44">
      <c r="C42" s="54" t="inlineStr">
        <is>
          <t>Three-channel WACC differentiation:</t>
        </is>
      </c>
      <c r="E42" s="56" t="n"/>
      <c r="G42" s="44" t="inlineStr">
        <is>
          <t>1) r_e rises via beta shift</t>
        </is>
      </c>
    </row>
    <row r="43" ht="20" customFormat="1" customHeight="1" s="44">
      <c r="E43" s="56" t="n"/>
      <c r="G43" s="44" t="inlineStr">
        <is>
          <t>2) r_d rises via higher credit spread</t>
        </is>
      </c>
    </row>
    <row r="44" ht="20" customFormat="1" customHeight="1" s="44">
      <c r="E44" s="56" t="n"/>
      <c r="G44" s="44" t="inlineStr">
        <is>
          <t>3) D/V falls via reduced debt capacity</t>
        </is>
      </c>
    </row>
    <row r="46">
      <c r="B46" s="30" t="n"/>
      <c r="C46" s="31" t="inlineStr">
        <is>
          <t>End</t>
        </is>
      </c>
      <c r="D46" s="32" t="n"/>
      <c r="E46" s="32" t="n"/>
      <c r="F46" s="57" t="n"/>
      <c r="G46" s="34" t="n"/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85"/>
  <sheetViews>
    <sheetView showGridLines="0" workbookViewId="0">
      <selection activeCell="P4" sqref="P4"/>
    </sheetView>
  </sheetViews>
  <sheetFormatPr baseColWidth="10" defaultRowHeight="16"/>
  <cols>
    <col width="7.83203125" bestFit="1" customWidth="1" style="133" min="1" max="1"/>
    <col width="31.83203125" bestFit="1" customWidth="1" style="1" min="2" max="2"/>
    <col width="35.1640625" bestFit="1" customWidth="1" style="1" min="3" max="3"/>
    <col width="32.5" bestFit="1" customWidth="1" style="1" min="4" max="4"/>
    <col width="33.33203125" bestFit="1" customWidth="1" style="1" min="5" max="5"/>
    <col width="32.5" bestFit="1" customWidth="1" style="1" min="6" max="6"/>
    <col width="33.33203125" bestFit="1" customWidth="1" style="1" min="7" max="7"/>
    <col width="10.83203125" customWidth="1" style="1" min="8" max="10"/>
  </cols>
  <sheetData>
    <row r="1" customFormat="1" s="2">
      <c r="A1" t="inlineStr">
        <is>
          <t>Month</t>
        </is>
      </c>
      <c r="B1" t="inlineStr">
        <is>
          <t>DK1 Spot Price (EUR/MWh) — Primary</t>
        </is>
      </c>
      <c r="C1" t="inlineStr">
        <is>
          <t>DK2 Spot Price (EUR/MWh) — Robustness</t>
        </is>
      </c>
      <c r="D1" t="inlineStr">
        <is>
          <t>DK1 Seasonal Component (EUR/MWh)</t>
        </is>
      </c>
      <c r="E1" t="inlineStr">
        <is>
          <t>DK1 De-seasonalised Price (EUR/MWh)</t>
        </is>
      </c>
      <c r="F1" t="inlineStr">
        <is>
          <t>DK2 Seasonal Component (EUR/MWh)</t>
        </is>
      </c>
      <c r="G1" t="inlineStr">
        <is>
          <t>DK2 De-seasonalised Price (EUR/MWh)</t>
        </is>
      </c>
    </row>
    <row r="2" ht="45" customFormat="1" customHeight="1" s="2">
      <c r="A2" t="inlineStr">
        <is>
          <t>2019-01</t>
        </is>
      </c>
      <c r="B2" t="n">
        <v>50.29564516129032</v>
      </c>
      <c r="C2" t="n">
        <v>51.65502688172042</v>
      </c>
      <c r="D2" t="n">
        <v>75.53038402457757</v>
      </c>
      <c r="E2" t="n">
        <v>-25.23473886328725</v>
      </c>
      <c r="F2" t="n">
        <v>74.23182219662058</v>
      </c>
      <c r="G2" t="n">
        <v>-22.57679531490016</v>
      </c>
    </row>
    <row r="3">
      <c r="A3" t="inlineStr">
        <is>
          <t>2019-02</t>
        </is>
      </c>
      <c r="B3" t="n">
        <v>42.81395833333333</v>
      </c>
      <c r="C3" t="n">
        <v>43.93294642857143</v>
      </c>
      <c r="D3" t="n">
        <v>72.91418660567673</v>
      </c>
      <c r="E3" t="n">
        <v>-30.1002282723434</v>
      </c>
      <c r="F3" t="n">
        <v>70.12802046680741</v>
      </c>
      <c r="G3" t="n">
        <v>-26.19507403823599</v>
      </c>
    </row>
    <row r="4" customFormat="1" s="33">
      <c r="A4" t="inlineStr">
        <is>
          <t>2019-03</t>
        </is>
      </c>
      <c r="B4" t="n">
        <v>33.60825910931175</v>
      </c>
      <c r="C4" t="n">
        <v>35.66735492577597</v>
      </c>
      <c r="D4" t="n">
        <v>82.50761793567055</v>
      </c>
      <c r="E4" t="n">
        <v>-48.89935882635881</v>
      </c>
      <c r="F4" t="n">
        <v>80.57939602892235</v>
      </c>
      <c r="G4" t="n">
        <v>-44.91204110314637</v>
      </c>
    </row>
    <row r="5" customFormat="1" s="33">
      <c r="A5" t="inlineStr">
        <is>
          <t>2019-04</t>
        </is>
      </c>
      <c r="B5" t="n">
        <v>39.06841666666666</v>
      </c>
      <c r="C5" t="n">
        <v>39.89209722222223</v>
      </c>
      <c r="D5" t="n">
        <v>70.82900198412695</v>
      </c>
      <c r="E5" t="n">
        <v>-31.76058531746028</v>
      </c>
      <c r="F5" t="n">
        <v>68.26817261904762</v>
      </c>
      <c r="G5" t="n">
        <v>-28.37607539682539</v>
      </c>
    </row>
    <row r="6" customFormat="1" s="33">
      <c r="A6" t="inlineStr">
        <is>
          <t>2019-05</t>
        </is>
      </c>
      <c r="B6" t="n">
        <v>37.42951612903226</v>
      </c>
      <c r="C6" t="n">
        <v>38.15139784946236</v>
      </c>
      <c r="D6" t="n">
        <v>68.05216589861753</v>
      </c>
      <c r="E6" t="n">
        <v>-30.62264976958527</v>
      </c>
      <c r="F6" t="n">
        <v>66.05999615975423</v>
      </c>
      <c r="G6" t="n">
        <v>-27.90859831029187</v>
      </c>
    </row>
    <row r="7" customFormat="1" s="33">
      <c r="A7" t="inlineStr">
        <is>
          <t>2019-06</t>
        </is>
      </c>
      <c r="B7" t="n">
        <v>32.87922222222223</v>
      </c>
      <c r="C7" t="n">
        <v>33.62223611111111</v>
      </c>
      <c r="D7" t="n">
        <v>80.33409523809523</v>
      </c>
      <c r="E7" t="n">
        <v>-47.45487301587301</v>
      </c>
      <c r="F7" t="n">
        <v>80.70399404761902</v>
      </c>
      <c r="G7" t="n">
        <v>-47.08175793650791</v>
      </c>
    </row>
    <row r="8" customFormat="1" s="33">
      <c r="A8" t="inlineStr">
        <is>
          <t>2019-07</t>
        </is>
      </c>
      <c r="B8" t="n">
        <v>38.81731182795698</v>
      </c>
      <c r="C8" t="n">
        <v>39.0001747311828</v>
      </c>
      <c r="D8" t="n">
        <v>89.73112519201229</v>
      </c>
      <c r="E8" t="n">
        <v>-50.9138133640553</v>
      </c>
      <c r="F8" t="n">
        <v>83.97813172043011</v>
      </c>
      <c r="G8" t="n">
        <v>-44.97795698924732</v>
      </c>
    </row>
    <row r="9" customFormat="1" s="33">
      <c r="A9" t="inlineStr">
        <is>
          <t>2019-08</t>
        </is>
      </c>
      <c r="B9" t="n">
        <v>37.86569892473118</v>
      </c>
      <c r="C9" t="n">
        <v>39.49317204301075</v>
      </c>
      <c r="D9" t="n">
        <v>120.6198252688172</v>
      </c>
      <c r="E9" t="n">
        <v>-82.75412634408602</v>
      </c>
      <c r="F9" t="n">
        <v>121.2532661290323</v>
      </c>
      <c r="G9" t="n">
        <v>-81.7600940860215</v>
      </c>
    </row>
    <row r="10" customFormat="1" s="33">
      <c r="A10" t="inlineStr">
        <is>
          <t>2019-09</t>
        </is>
      </c>
      <c r="B10" t="n">
        <v>35.37886111111111</v>
      </c>
      <c r="C10" t="n">
        <v>37.32134722222222</v>
      </c>
      <c r="D10" t="n">
        <v>110.1355753968254</v>
      </c>
      <c r="E10" t="n">
        <v>-74.75671428571428</v>
      </c>
      <c r="F10" t="n">
        <v>109.8175337301587</v>
      </c>
      <c r="G10" t="n">
        <v>-72.49618650793647</v>
      </c>
    </row>
    <row r="11" customFormat="1" s="33">
      <c r="A11" t="inlineStr">
        <is>
          <t>2019-10</t>
        </is>
      </c>
      <c r="B11" t="n">
        <v>38.34740242261103</v>
      </c>
      <c r="C11" t="n">
        <v>41.59935397039031</v>
      </c>
      <c r="D11" t="n">
        <v>76.2258887713901</v>
      </c>
      <c r="E11" t="n">
        <v>-37.87848634877907</v>
      </c>
      <c r="F11" t="n">
        <v>75.4261411267064</v>
      </c>
      <c r="G11" t="n">
        <v>-33.82678715631609</v>
      </c>
    </row>
    <row r="12" customFormat="1" s="33">
      <c r="A12" t="inlineStr">
        <is>
          <t>2019-11</t>
        </is>
      </c>
      <c r="B12" t="n">
        <v>41.74506944444445</v>
      </c>
      <c r="C12" t="n">
        <v>42.69644444444445</v>
      </c>
      <c r="D12" t="n">
        <v>89.1334290674603</v>
      </c>
      <c r="E12" t="n">
        <v>-47.38835962301585</v>
      </c>
      <c r="F12" t="n">
        <v>90.04428025793649</v>
      </c>
      <c r="G12" t="n">
        <v>-47.34783581349205</v>
      </c>
    </row>
    <row r="13" customFormat="1" s="33">
      <c r="A13" t="inlineStr">
        <is>
          <t>2019-12</t>
        </is>
      </c>
      <c r="B13" t="n">
        <v>34.04197580645161</v>
      </c>
      <c r="C13" t="n">
        <v>35.34711021505376</v>
      </c>
      <c r="D13" t="n">
        <v>107.3322091013825</v>
      </c>
      <c r="E13" t="n">
        <v>-73.29023329493089</v>
      </c>
      <c r="F13" t="n">
        <v>108.6063378456221</v>
      </c>
      <c r="G13" t="n">
        <v>-73.25922763056836</v>
      </c>
    </row>
    <row r="14" customFormat="1" s="33">
      <c r="A14" t="inlineStr">
        <is>
          <t>2020-01</t>
        </is>
      </c>
      <c r="B14" t="n">
        <v>24.99454301075269</v>
      </c>
      <c r="C14" t="n">
        <v>27.38524193548387</v>
      </c>
      <c r="D14" t="n">
        <v>75.53038402457757</v>
      </c>
      <c r="E14" t="n">
        <v>-50.53584101382489</v>
      </c>
      <c r="F14" t="n">
        <v>74.23182219662058</v>
      </c>
      <c r="G14" t="n">
        <v>-46.84658026113672</v>
      </c>
    </row>
    <row r="15" customFormat="1" s="33">
      <c r="A15" t="inlineStr">
        <is>
          <t>2020-02</t>
        </is>
      </c>
      <c r="B15" t="n">
        <v>17.58507183908046</v>
      </c>
      <c r="C15" t="n">
        <v>18.81699712643678</v>
      </c>
      <c r="D15" t="n">
        <v>72.91418660567673</v>
      </c>
      <c r="E15" t="n">
        <v>-55.32911476659628</v>
      </c>
      <c r="F15" t="n">
        <v>70.12802046680741</v>
      </c>
      <c r="G15" t="n">
        <v>-51.31102334037063</v>
      </c>
    </row>
    <row r="16" customFormat="1" s="33">
      <c r="A16" t="inlineStr">
        <is>
          <t>2020-03</t>
        </is>
      </c>
      <c r="B16" t="n">
        <v>18.30172739541161</v>
      </c>
      <c r="C16" t="n">
        <v>20.05249662618084</v>
      </c>
      <c r="D16" t="n">
        <v>82.50761793567055</v>
      </c>
      <c r="E16" t="n">
        <v>-64.20589054025895</v>
      </c>
      <c r="F16" t="n">
        <v>80.57939602892235</v>
      </c>
      <c r="G16" t="n">
        <v>-60.52689940274151</v>
      </c>
    </row>
    <row r="17" customFormat="1" s="33">
      <c r="A17" t="inlineStr">
        <is>
          <t>2020-04</t>
        </is>
      </c>
      <c r="B17" t="n">
        <v>14.53377777777778</v>
      </c>
      <c r="C17" t="n">
        <v>17.35486111111111</v>
      </c>
      <c r="D17" t="n">
        <v>70.82900198412695</v>
      </c>
      <c r="E17" t="n">
        <v>-56.29522420634917</v>
      </c>
      <c r="F17" t="n">
        <v>68.26817261904762</v>
      </c>
      <c r="G17" t="n">
        <v>-50.91331150793651</v>
      </c>
    </row>
    <row r="18" customFormat="1" s="33">
      <c r="A18" t="inlineStr">
        <is>
          <t>2020-05</t>
        </is>
      </c>
      <c r="B18" t="n">
        <v>16.05399193548387</v>
      </c>
      <c r="C18" t="n">
        <v>19.04407258064516</v>
      </c>
      <c r="D18" t="n">
        <v>68.05216589861753</v>
      </c>
      <c r="E18" t="n">
        <v>-51.99817396313366</v>
      </c>
      <c r="F18" t="n">
        <v>66.05999615975423</v>
      </c>
      <c r="G18" t="n">
        <v>-47.01592357910907</v>
      </c>
    </row>
    <row r="19" customFormat="1" s="33">
      <c r="A19" t="inlineStr">
        <is>
          <t>2020-06</t>
        </is>
      </c>
      <c r="B19" t="n">
        <v>26.27627777777777</v>
      </c>
      <c r="C19" t="n">
        <v>29.82329166666667</v>
      </c>
      <c r="D19" t="n">
        <v>80.33409523809523</v>
      </c>
      <c r="E19" t="n">
        <v>-54.05781746031745</v>
      </c>
      <c r="F19" t="n">
        <v>80.70399404761902</v>
      </c>
      <c r="G19" t="n">
        <v>-50.88070238095236</v>
      </c>
    </row>
    <row r="20" customFormat="1" s="33">
      <c r="A20" t="inlineStr">
        <is>
          <t>2020-07</t>
        </is>
      </c>
      <c r="B20" t="n">
        <v>24.61956989247312</v>
      </c>
      <c r="C20" t="n">
        <v>25.88668010752688</v>
      </c>
      <c r="D20" t="n">
        <v>89.73112519201229</v>
      </c>
      <c r="E20" t="n">
        <v>-65.11155529953916</v>
      </c>
      <c r="F20" t="n">
        <v>83.97813172043011</v>
      </c>
      <c r="G20" t="n">
        <v>-58.09145161290324</v>
      </c>
    </row>
    <row r="21" customFormat="1" s="33">
      <c r="A21" t="inlineStr">
        <is>
          <t>2020-08</t>
        </is>
      </c>
      <c r="B21" t="n">
        <v>34.5392876344086</v>
      </c>
      <c r="C21" t="n">
        <v>40.92381720430107</v>
      </c>
      <c r="D21" t="n">
        <v>120.6198252688172</v>
      </c>
      <c r="E21" t="n">
        <v>-86.08053763440859</v>
      </c>
      <c r="F21" t="n">
        <v>121.2532661290323</v>
      </c>
      <c r="G21" t="n">
        <v>-80.32944892473118</v>
      </c>
    </row>
    <row r="22" customFormat="1" s="33">
      <c r="A22" t="inlineStr">
        <is>
          <t>2020-09</t>
        </is>
      </c>
      <c r="B22" t="n">
        <v>38.53504166666666</v>
      </c>
      <c r="C22" t="n">
        <v>39.51423611111111</v>
      </c>
      <c r="D22" t="n">
        <v>110.1355753968254</v>
      </c>
      <c r="E22" t="n">
        <v>-71.60053373015873</v>
      </c>
      <c r="F22" t="n">
        <v>109.8175337301587</v>
      </c>
      <c r="G22" t="n">
        <v>-70.30329761904758</v>
      </c>
    </row>
    <row r="23" customFormat="1" s="33">
      <c r="A23" t="inlineStr">
        <is>
          <t>2020-10</t>
        </is>
      </c>
      <c r="B23" t="n">
        <v>25.81475100942126</v>
      </c>
      <c r="C23" t="n">
        <v>26.93351278600269</v>
      </c>
      <c r="D23" t="n">
        <v>76.2258887713901</v>
      </c>
      <c r="E23" t="n">
        <v>-50.41113776196884</v>
      </c>
      <c r="F23" t="n">
        <v>75.4261411267064</v>
      </c>
      <c r="G23" t="n">
        <v>-48.4926283407037</v>
      </c>
    </row>
    <row r="24" customFormat="1" s="33">
      <c r="A24" t="inlineStr">
        <is>
          <t>2020-11</t>
        </is>
      </c>
      <c r="B24" t="n">
        <v>23.75458333333333</v>
      </c>
      <c r="C24" t="n">
        <v>35.71134722222222</v>
      </c>
      <c r="D24" t="n">
        <v>89.1334290674603</v>
      </c>
      <c r="E24" t="n">
        <v>-65.37884573412697</v>
      </c>
      <c r="F24" t="n">
        <v>90.04428025793649</v>
      </c>
      <c r="G24" t="n">
        <v>-54.33293303571427</v>
      </c>
    </row>
    <row r="25" customFormat="1" s="33">
      <c r="A25" t="inlineStr">
        <is>
          <t>2020-12</t>
        </is>
      </c>
      <c r="B25" t="n">
        <v>34.51112903225806</v>
      </c>
      <c r="C25" t="n">
        <v>39.25715053763441</v>
      </c>
      <c r="D25" t="n">
        <v>107.3322091013825</v>
      </c>
      <c r="E25" t="n">
        <v>-72.82108006912443</v>
      </c>
      <c r="F25" t="n">
        <v>108.6063378456221</v>
      </c>
      <c r="G25" t="n">
        <v>-69.34918730798771</v>
      </c>
    </row>
    <row r="26" customFormat="1" s="33">
      <c r="A26" t="inlineStr">
        <is>
          <t>2021-01</t>
        </is>
      </c>
      <c r="B26" t="n">
        <v>50.20510752688172</v>
      </c>
      <c r="C26" t="n">
        <v>50.85895161290323</v>
      </c>
      <c r="D26" t="n">
        <v>75.53038402457757</v>
      </c>
      <c r="E26" t="n">
        <v>-25.32527649769585</v>
      </c>
      <c r="F26" t="n">
        <v>74.23182219662058</v>
      </c>
      <c r="G26" t="n">
        <v>-23.37287058371736</v>
      </c>
    </row>
    <row r="27" customFormat="1" s="33">
      <c r="A27" t="inlineStr">
        <is>
          <t>2021-02</t>
        </is>
      </c>
      <c r="B27" t="n">
        <v>47.26150297619048</v>
      </c>
      <c r="C27" t="n">
        <v>54.54806547619048</v>
      </c>
      <c r="D27" t="n">
        <v>72.91418660567673</v>
      </c>
      <c r="E27" t="n">
        <v>-25.65268362948625</v>
      </c>
      <c r="F27" t="n">
        <v>70.12802046680741</v>
      </c>
      <c r="G27" t="n">
        <v>-15.57995499061693</v>
      </c>
    </row>
    <row r="28" customFormat="1" s="33">
      <c r="A28" t="inlineStr">
        <is>
          <t>2021-03</t>
        </is>
      </c>
      <c r="B28" t="n">
        <v>45.12944669365721</v>
      </c>
      <c r="C28" t="n">
        <v>46.73221322537112</v>
      </c>
      <c r="D28" t="n">
        <v>82.50761793567055</v>
      </c>
      <c r="E28" t="n">
        <v>-37.37817124201334</v>
      </c>
      <c r="F28" t="n">
        <v>80.57939602892235</v>
      </c>
      <c r="G28" t="n">
        <v>-33.84718280355123</v>
      </c>
    </row>
    <row r="29" customFormat="1" s="33">
      <c r="A29" t="inlineStr">
        <is>
          <t>2021-04</t>
        </is>
      </c>
      <c r="B29" t="n">
        <v>47.96711111111111</v>
      </c>
      <c r="C29" t="n">
        <v>47.86295833333334</v>
      </c>
      <c r="D29" t="n">
        <v>70.82900198412695</v>
      </c>
      <c r="E29" t="n">
        <v>-22.86189087301584</v>
      </c>
      <c r="F29" t="n">
        <v>68.26817261904762</v>
      </c>
      <c r="G29" t="n">
        <v>-20.40521428571428</v>
      </c>
    </row>
    <row r="30" customFormat="1" s="33">
      <c r="A30" t="inlineStr">
        <is>
          <t>2021-05</t>
        </is>
      </c>
      <c r="B30" t="n">
        <v>54.30756720430108</v>
      </c>
      <c r="C30" t="n">
        <v>55.20880376344086</v>
      </c>
      <c r="D30" t="n">
        <v>68.05216589861753</v>
      </c>
      <c r="E30" t="n">
        <v>-13.74459869431645</v>
      </c>
      <c r="F30" t="n">
        <v>66.05999615975423</v>
      </c>
      <c r="G30" t="n">
        <v>-10.85119239631338</v>
      </c>
    </row>
    <row r="31" customFormat="1" s="33">
      <c r="A31" t="inlineStr">
        <is>
          <t>2021-06</t>
        </is>
      </c>
      <c r="B31" t="n">
        <v>73.71981944444444</v>
      </c>
      <c r="C31" t="n">
        <v>73.58690277777778</v>
      </c>
      <c r="D31" t="n">
        <v>80.33409523809523</v>
      </c>
      <c r="E31" t="n">
        <v>-6.614275793650791</v>
      </c>
      <c r="F31" t="n">
        <v>80.70399404761902</v>
      </c>
      <c r="G31" t="n">
        <v>-7.117091269841239</v>
      </c>
    </row>
    <row r="32" customFormat="1" s="33">
      <c r="A32" t="inlineStr">
        <is>
          <t>2021-07</t>
        </is>
      </c>
      <c r="B32" t="n">
        <v>79.99924731182796</v>
      </c>
      <c r="C32" t="n">
        <v>81.44088709677419</v>
      </c>
      <c r="D32" t="n">
        <v>89.73112519201229</v>
      </c>
      <c r="E32" t="n">
        <v>-9.731877880184328</v>
      </c>
      <c r="F32" t="n">
        <v>83.97813172043011</v>
      </c>
      <c r="G32" t="n">
        <v>-2.537244623655923</v>
      </c>
    </row>
    <row r="33" customFormat="1" s="33">
      <c r="A33" t="inlineStr">
        <is>
          <t>2021-08</t>
        </is>
      </c>
      <c r="B33" t="n">
        <v>82.78876344086021</v>
      </c>
      <c r="C33" t="n">
        <v>84.36354838709678</v>
      </c>
      <c r="D33" t="n">
        <v>120.6198252688172</v>
      </c>
      <c r="E33" t="n">
        <v>-37.83106182795699</v>
      </c>
      <c r="F33" t="n">
        <v>121.2532661290323</v>
      </c>
      <c r="G33" t="n">
        <v>-36.88971774193547</v>
      </c>
    </row>
    <row r="34" customFormat="1" s="33">
      <c r="A34" t="inlineStr">
        <is>
          <t>2021-09</t>
        </is>
      </c>
      <c r="B34" t="n">
        <v>125.3637638888889</v>
      </c>
      <c r="C34" t="n">
        <v>123.9021111111111</v>
      </c>
      <c r="D34" t="n">
        <v>110.1355753968254</v>
      </c>
      <c r="E34" t="n">
        <v>15.22818849206351</v>
      </c>
      <c r="F34" t="n">
        <v>109.8175337301587</v>
      </c>
      <c r="G34" t="n">
        <v>14.08457738095241</v>
      </c>
    </row>
    <row r="35" customFormat="1" s="33">
      <c r="A35" t="inlineStr">
        <is>
          <t>2021-10</t>
        </is>
      </c>
      <c r="B35" t="n">
        <v>117.0398115746972</v>
      </c>
      <c r="C35" t="n">
        <v>106.9322745625841</v>
      </c>
      <c r="D35" t="n">
        <v>76.2258887713901</v>
      </c>
      <c r="E35" t="n">
        <v>40.81392280330708</v>
      </c>
      <c r="F35" t="n">
        <v>75.4261411267064</v>
      </c>
      <c r="G35" t="n">
        <v>31.50613343587771</v>
      </c>
    </row>
    <row r="36" customFormat="1" s="33">
      <c r="A36" t="inlineStr">
        <is>
          <t>2021-11</t>
        </is>
      </c>
      <c r="B36" t="n">
        <v>141.7975833333333</v>
      </c>
      <c r="C36" t="n">
        <v>136.3800555555555</v>
      </c>
      <c r="D36" t="n">
        <v>89.1334290674603</v>
      </c>
      <c r="E36" t="n">
        <v>52.66415426587304</v>
      </c>
      <c r="F36" t="n">
        <v>90.04428025793649</v>
      </c>
      <c r="G36" t="n">
        <v>46.33577529761905</v>
      </c>
    </row>
    <row r="37" customFormat="1" s="33">
      <c r="A37" t="inlineStr">
        <is>
          <t>2021-12</t>
        </is>
      </c>
      <c r="B37" t="n">
        <v>189.3493279569892</v>
      </c>
      <c r="C37" t="n">
        <v>191.0686155913978</v>
      </c>
      <c r="D37" t="n">
        <v>107.3322091013825</v>
      </c>
      <c r="E37" t="n">
        <v>82.01711885560675</v>
      </c>
      <c r="F37" t="n">
        <v>108.6063378456221</v>
      </c>
      <c r="G37" t="n">
        <v>82.46227774577572</v>
      </c>
    </row>
    <row r="38" customFormat="1" s="33">
      <c r="A38" t="inlineStr">
        <is>
          <t>2022-01</t>
        </is>
      </c>
      <c r="B38" t="n">
        <v>117.9946505376344</v>
      </c>
      <c r="C38" t="n">
        <v>111.6220967741935</v>
      </c>
      <c r="D38" t="n">
        <v>75.53038402457757</v>
      </c>
      <c r="E38" t="n">
        <v>42.46426651305684</v>
      </c>
      <c r="F38" t="n">
        <v>74.23182219662058</v>
      </c>
      <c r="G38" t="n">
        <v>37.39027457757295</v>
      </c>
    </row>
    <row r="39" customFormat="1" s="33">
      <c r="A39" t="inlineStr">
        <is>
          <t>2022-02</t>
        </is>
      </c>
      <c r="B39" t="n">
        <v>113.120744047619</v>
      </c>
      <c r="C39" t="n">
        <v>100.2914136904762</v>
      </c>
      <c r="D39" t="n">
        <v>72.91418660567673</v>
      </c>
      <c r="E39" t="n">
        <v>40.20655744194231</v>
      </c>
      <c r="F39" t="n">
        <v>70.12802046680741</v>
      </c>
      <c r="G39" t="n">
        <v>30.16339322366878</v>
      </c>
    </row>
    <row r="40" customFormat="1" s="33">
      <c r="A40" t="inlineStr">
        <is>
          <t>2022-03</t>
        </is>
      </c>
      <c r="B40" t="n">
        <v>235.8248448043185</v>
      </c>
      <c r="C40" t="n">
        <v>227.9203643724696</v>
      </c>
      <c r="D40" t="n">
        <v>82.50761793567055</v>
      </c>
      <c r="E40" t="n">
        <v>153.3172268686479</v>
      </c>
      <c r="F40" t="n">
        <v>80.57939602892235</v>
      </c>
      <c r="G40" t="n">
        <v>147.3409683435473</v>
      </c>
    </row>
    <row r="41" customFormat="1" s="33">
      <c r="A41" t="inlineStr">
        <is>
          <t>2022-04</t>
        </is>
      </c>
      <c r="B41" t="n">
        <v>163.6374722222222</v>
      </c>
      <c r="C41" t="n">
        <v>152.8328055555556</v>
      </c>
      <c r="D41" t="n">
        <v>70.82900198412695</v>
      </c>
      <c r="E41" t="n">
        <v>92.80847023809527</v>
      </c>
      <c r="F41" t="n">
        <v>68.26817261904762</v>
      </c>
      <c r="G41" t="n">
        <v>84.56463293650793</v>
      </c>
    </row>
    <row r="42" customFormat="1" s="33">
      <c r="A42" t="inlineStr">
        <is>
          <t>2022-05</t>
        </is>
      </c>
      <c r="B42" t="n">
        <v>171.8580376344086</v>
      </c>
      <c r="C42" t="n">
        <v>162.6584139784946</v>
      </c>
      <c r="D42" t="n">
        <v>68.05216589861753</v>
      </c>
      <c r="E42" t="n">
        <v>103.8058717357911</v>
      </c>
      <c r="F42" t="n">
        <v>66.05999615975423</v>
      </c>
      <c r="G42" t="n">
        <v>96.59841781874039</v>
      </c>
    </row>
    <row r="43" customFormat="1" s="33">
      <c r="A43" t="inlineStr">
        <is>
          <t>2022-06</t>
        </is>
      </c>
      <c r="B43" t="n">
        <v>214.43025</v>
      </c>
      <c r="C43" t="n">
        <v>213.2331388888889</v>
      </c>
      <c r="D43" t="n">
        <v>80.33409523809523</v>
      </c>
      <c r="E43" t="n">
        <v>134.0961547619048</v>
      </c>
      <c r="F43" t="n">
        <v>80.70399404761902</v>
      </c>
      <c r="G43" t="n">
        <v>132.5291448412698</v>
      </c>
    </row>
    <row r="44" customFormat="1" s="33">
      <c r="A44" t="inlineStr">
        <is>
          <t>2022-07</t>
        </is>
      </c>
      <c r="B44" t="n">
        <v>275.0381720430107</v>
      </c>
      <c r="C44" t="n">
        <v>233.4777419354839</v>
      </c>
      <c r="D44" t="n">
        <v>89.73112519201229</v>
      </c>
      <c r="E44" t="n">
        <v>185.3070468509984</v>
      </c>
      <c r="F44" t="n">
        <v>83.97813172043011</v>
      </c>
      <c r="G44" t="n">
        <v>149.4996102150537</v>
      </c>
    </row>
    <row r="45" customFormat="1" s="33">
      <c r="A45" t="inlineStr">
        <is>
          <t>2022-08</t>
        </is>
      </c>
      <c r="B45" t="n">
        <v>456.7503494623656</v>
      </c>
      <c r="C45" t="n">
        <v>449.7688306451613</v>
      </c>
      <c r="D45" t="n">
        <v>120.6198252688172</v>
      </c>
      <c r="E45" t="n">
        <v>336.1305241935484</v>
      </c>
      <c r="F45" t="n">
        <v>121.2532661290323</v>
      </c>
      <c r="G45" t="n">
        <v>328.5155645161291</v>
      </c>
    </row>
    <row r="46" customFormat="1" s="33">
      <c r="A46" t="inlineStr">
        <is>
          <t>2022-09</t>
        </is>
      </c>
      <c r="B46" t="n">
        <v>342.8196527777778</v>
      </c>
      <c r="C46" t="n">
        <v>328.8001527777778</v>
      </c>
      <c r="D46" t="n">
        <v>110.1355753968254</v>
      </c>
      <c r="E46" t="n">
        <v>232.6840773809524</v>
      </c>
      <c r="F46" t="n">
        <v>109.8175337301587</v>
      </c>
      <c r="G46" t="n">
        <v>218.9826190476191</v>
      </c>
    </row>
    <row r="47" customFormat="1" s="33">
      <c r="A47" t="inlineStr">
        <is>
          <t>2022-10</t>
        </is>
      </c>
      <c r="B47" t="n">
        <v>137.1317227456258</v>
      </c>
      <c r="C47" t="n">
        <v>136.8978331090175</v>
      </c>
      <c r="D47" t="n">
        <v>76.2258887713901</v>
      </c>
      <c r="E47" t="n">
        <v>60.90583397423573</v>
      </c>
      <c r="F47" t="n">
        <v>75.4261411267064</v>
      </c>
      <c r="G47" t="n">
        <v>61.47169198231109</v>
      </c>
    </row>
    <row r="48" customFormat="1" s="33">
      <c r="A48" t="inlineStr">
        <is>
          <t>2022-11</t>
        </is>
      </c>
      <c r="B48" t="n">
        <v>139.7042083333333</v>
      </c>
      <c r="C48" t="n">
        <v>145.0578055555555</v>
      </c>
      <c r="D48" t="n">
        <v>89.1334290674603</v>
      </c>
      <c r="E48" t="n">
        <v>50.57077926587303</v>
      </c>
      <c r="F48" t="n">
        <v>90.04428025793649</v>
      </c>
      <c r="G48" t="n">
        <v>55.01352529761905</v>
      </c>
    </row>
    <row r="49" customFormat="1" s="33">
      <c r="A49" t="inlineStr">
        <is>
          <t>2022-12</t>
        </is>
      </c>
      <c r="B49" t="n">
        <v>249.6656182795699</v>
      </c>
      <c r="C49" t="n">
        <v>248.8820698924731</v>
      </c>
      <c r="D49" t="n">
        <v>107.3322091013825</v>
      </c>
      <c r="E49" t="n">
        <v>142.3334091781874</v>
      </c>
      <c r="F49" t="n">
        <v>108.6063378456221</v>
      </c>
      <c r="G49" t="n">
        <v>140.275732046851</v>
      </c>
    </row>
    <row r="50" customFormat="1" s="33">
      <c r="A50" t="inlineStr">
        <is>
          <t>2023-01</t>
        </is>
      </c>
      <c r="B50" t="n">
        <v>112.5418413978495</v>
      </c>
      <c r="C50" t="n">
        <v>99.76288978494622</v>
      </c>
      <c r="D50" t="n">
        <v>75.53038402457757</v>
      </c>
      <c r="E50" t="n">
        <v>37.0114573732719</v>
      </c>
      <c r="F50" t="n">
        <v>74.23182219662058</v>
      </c>
      <c r="G50" t="n">
        <v>25.53106758832564</v>
      </c>
    </row>
    <row r="51" customFormat="1" s="33">
      <c r="A51" t="inlineStr">
        <is>
          <t>2023-02</t>
        </is>
      </c>
      <c r="B51" t="n">
        <v>118.136130952381</v>
      </c>
      <c r="C51" t="n">
        <v>100.6489285714286</v>
      </c>
      <c r="D51" t="n">
        <v>72.91418660567673</v>
      </c>
      <c r="E51" t="n">
        <v>45.22194434670422</v>
      </c>
      <c r="F51" t="n">
        <v>70.12802046680741</v>
      </c>
      <c r="G51" t="n">
        <v>30.52090810462116</v>
      </c>
    </row>
    <row r="52" customFormat="1" s="33">
      <c r="A52" t="inlineStr">
        <is>
          <t>2023-03</t>
        </is>
      </c>
      <c r="B52" t="n">
        <v>99.11391363022942</v>
      </c>
      <c r="C52" t="n">
        <v>89.79561403508772</v>
      </c>
      <c r="D52" t="n">
        <v>82.50761793567055</v>
      </c>
      <c r="E52" t="n">
        <v>16.60629569455887</v>
      </c>
      <c r="F52" t="n">
        <v>80.57939602892235</v>
      </c>
      <c r="G52" t="n">
        <v>9.216218006165377</v>
      </c>
    </row>
    <row r="53" customFormat="1" s="33">
      <c r="A53" t="inlineStr">
        <is>
          <t>2023-04</t>
        </is>
      </c>
      <c r="B53" t="n">
        <v>96.27097222222223</v>
      </c>
      <c r="C53" t="n">
        <v>83.65112499999999</v>
      </c>
      <c r="D53" t="n">
        <v>70.82900198412695</v>
      </c>
      <c r="E53" t="n">
        <v>25.44197023809528</v>
      </c>
      <c r="F53" t="n">
        <v>68.26817261904762</v>
      </c>
      <c r="G53" t="n">
        <v>15.38295238095237</v>
      </c>
    </row>
    <row r="54" customFormat="1" s="33">
      <c r="A54" t="inlineStr">
        <is>
          <t>2023-05</t>
        </is>
      </c>
      <c r="B54" t="n">
        <v>73.96577956989248</v>
      </c>
      <c r="C54" t="n">
        <v>66.15174731182796</v>
      </c>
      <c r="D54" t="n">
        <v>68.05216589861753</v>
      </c>
      <c r="E54" t="n">
        <v>5.913613671274945</v>
      </c>
      <c r="F54" t="n">
        <v>66.05999615975423</v>
      </c>
      <c r="G54" t="n">
        <v>0.09175115207372642</v>
      </c>
    </row>
    <row r="55" customFormat="1" s="33">
      <c r="A55" t="inlineStr">
        <is>
          <t>2023-06</t>
        </is>
      </c>
      <c r="B55" t="n">
        <v>92.49543055555556</v>
      </c>
      <c r="C55" t="n">
        <v>91.42315277777777</v>
      </c>
      <c r="D55" t="n">
        <v>80.33409523809523</v>
      </c>
      <c r="E55" t="n">
        <v>12.16133531746033</v>
      </c>
      <c r="F55" t="n">
        <v>80.70399404761902</v>
      </c>
      <c r="G55" t="n">
        <v>10.71915873015875</v>
      </c>
    </row>
    <row r="56" customFormat="1" s="33">
      <c r="A56" t="inlineStr">
        <is>
          <t>2023-07</t>
        </is>
      </c>
      <c r="B56" t="n">
        <v>64.81130376344086</v>
      </c>
      <c r="C56" t="n">
        <v>65.24004032258064</v>
      </c>
      <c r="D56" t="n">
        <v>89.73112519201229</v>
      </c>
      <c r="E56" t="n">
        <v>-24.91982142857142</v>
      </c>
      <c r="F56" t="n">
        <v>83.97813172043011</v>
      </c>
      <c r="G56" t="n">
        <v>-18.73809139784947</v>
      </c>
    </row>
    <row r="57" customFormat="1" s="33">
      <c r="A57" t="inlineStr">
        <is>
          <t>2023-08</t>
        </is>
      </c>
      <c r="B57" t="n">
        <v>85.96711021505376</v>
      </c>
      <c r="C57" t="n">
        <v>86.29373655913979</v>
      </c>
      <c r="D57" t="n">
        <v>120.6198252688172</v>
      </c>
      <c r="E57" t="n">
        <v>-34.65271505376343</v>
      </c>
      <c r="F57" t="n">
        <v>121.2532661290323</v>
      </c>
      <c r="G57" t="n">
        <v>-34.95952956989247</v>
      </c>
    </row>
    <row r="58" customFormat="1" s="33">
      <c r="A58" t="inlineStr">
        <is>
          <t>2023-09</t>
        </is>
      </c>
      <c r="B58" t="n">
        <v>84.73944444444444</v>
      </c>
      <c r="C58" t="n">
        <v>85.48412500000001</v>
      </c>
      <c r="D58" t="n">
        <v>110.1355753968254</v>
      </c>
      <c r="E58" t="n">
        <v>-25.39613095238094</v>
      </c>
      <c r="F58" t="n">
        <v>109.8175337301587</v>
      </c>
      <c r="G58" t="n">
        <v>-24.33340873015869</v>
      </c>
    </row>
    <row r="59" customFormat="1" s="33">
      <c r="A59" t="inlineStr">
        <is>
          <t>2023-10</t>
        </is>
      </c>
      <c r="B59" t="n">
        <v>60.10576043068641</v>
      </c>
      <c r="C59" t="n">
        <v>56.92581426648721</v>
      </c>
      <c r="D59" t="n">
        <v>76.2258887713901</v>
      </c>
      <c r="E59" t="n">
        <v>-16.12012834070369</v>
      </c>
      <c r="F59" t="n">
        <v>75.4261411267064</v>
      </c>
      <c r="G59" t="n">
        <v>-18.50032686021919</v>
      </c>
    </row>
    <row r="60" customFormat="1" s="33">
      <c r="A60" t="inlineStr">
        <is>
          <t>2023-11</t>
        </is>
      </c>
      <c r="B60" t="n">
        <v>88.15456944444445</v>
      </c>
      <c r="C60" t="n">
        <v>81.48604166666667</v>
      </c>
      <c r="D60" t="n">
        <v>89.1334290674603</v>
      </c>
      <c r="E60" t="n">
        <v>-0.9788596230158504</v>
      </c>
      <c r="F60" t="n">
        <v>90.04428025793649</v>
      </c>
      <c r="G60" t="n">
        <v>-8.558238591269827</v>
      </c>
    </row>
    <row r="61" customFormat="1" s="33">
      <c r="A61" t="inlineStr">
        <is>
          <t>2023-12</t>
        </is>
      </c>
      <c r="B61" t="n">
        <v>69.48251344086022</v>
      </c>
      <c r="C61" t="n">
        <v>70.87973118279569</v>
      </c>
      <c r="D61" t="n">
        <v>107.3322091013825</v>
      </c>
      <c r="E61" t="n">
        <v>-37.84969566052227</v>
      </c>
      <c r="F61" t="n">
        <v>108.6063378456221</v>
      </c>
      <c r="G61" t="n">
        <v>-37.72660666282643</v>
      </c>
    </row>
    <row r="62" customFormat="1" s="33">
      <c r="A62" t="inlineStr">
        <is>
          <t>2024-01</t>
        </is>
      </c>
      <c r="B62" t="n">
        <v>74.71493279569893</v>
      </c>
      <c r="C62" t="n">
        <v>78.21481182795699</v>
      </c>
      <c r="D62" t="n">
        <v>75.53038402457757</v>
      </c>
      <c r="E62" t="n">
        <v>-0.8154512288786435</v>
      </c>
      <c r="F62" t="n">
        <v>74.23182219662058</v>
      </c>
      <c r="G62" t="n">
        <v>3.982989631336409</v>
      </c>
    </row>
    <row r="63" customFormat="1" s="33">
      <c r="A63" t="inlineStr">
        <is>
          <t>2024-02</t>
        </is>
      </c>
      <c r="B63" t="n">
        <v>58.63393678160919</v>
      </c>
      <c r="C63" t="n">
        <v>54.72224137931035</v>
      </c>
      <c r="D63" t="n">
        <v>72.91418660567673</v>
      </c>
      <c r="E63" t="n">
        <v>-14.28024982406754</v>
      </c>
      <c r="F63" t="n">
        <v>70.12802046680741</v>
      </c>
      <c r="G63" t="n">
        <v>-15.40577908749707</v>
      </c>
    </row>
    <row r="64" customFormat="1" s="33">
      <c r="A64" t="inlineStr">
        <is>
          <t>2024-03</t>
        </is>
      </c>
      <c r="B64" t="n">
        <v>61.22628879892038</v>
      </c>
      <c r="C64" t="n">
        <v>61.0408636977058</v>
      </c>
      <c r="D64" t="n">
        <v>82.50761793567055</v>
      </c>
      <c r="E64" t="n">
        <v>-21.28132913675017</v>
      </c>
      <c r="F64" t="n">
        <v>80.57939602892235</v>
      </c>
      <c r="G64" t="n">
        <v>-19.53853233121654</v>
      </c>
    </row>
    <row r="65" customFormat="1" s="33">
      <c r="A65" t="inlineStr">
        <is>
          <t>2024-04</t>
        </is>
      </c>
      <c r="B65" t="n">
        <v>59.16479166666667</v>
      </c>
      <c r="C65" t="n">
        <v>60.47670833333333</v>
      </c>
      <c r="D65" t="n">
        <v>70.82900198412695</v>
      </c>
      <c r="E65" t="n">
        <v>-11.66421031746028</v>
      </c>
      <c r="F65" t="n">
        <v>68.26817261904762</v>
      </c>
      <c r="G65" t="n">
        <v>-7.791464285714284</v>
      </c>
    </row>
    <row r="66" customFormat="1" s="33">
      <c r="A66" t="inlineStr">
        <is>
          <t>2024-05</t>
        </is>
      </c>
      <c r="B66" t="n">
        <v>58.51685483870968</v>
      </c>
      <c r="C66" t="n">
        <v>58.12298387096774</v>
      </c>
      <c r="D66" t="n">
        <v>68.05216589861753</v>
      </c>
      <c r="E66" t="n">
        <v>-9.535311059907855</v>
      </c>
      <c r="F66" t="n">
        <v>66.05999615975423</v>
      </c>
      <c r="G66" t="n">
        <v>-7.937012288786491</v>
      </c>
    </row>
    <row r="67" customFormat="1" s="33">
      <c r="A67" t="inlineStr">
        <is>
          <t>2024-06</t>
        </is>
      </c>
      <c r="B67" t="n">
        <v>63.75304166666667</v>
      </c>
      <c r="C67" t="n">
        <v>66.79098611111111</v>
      </c>
      <c r="D67" t="n">
        <v>80.33409523809523</v>
      </c>
      <c r="E67" t="n">
        <v>-16.58105357142856</v>
      </c>
      <c r="F67" t="n">
        <v>80.70399404761902</v>
      </c>
      <c r="G67" t="n">
        <v>-13.91300793650791</v>
      </c>
    </row>
    <row r="68" customFormat="1" s="33">
      <c r="A68" t="inlineStr">
        <is>
          <t>2024-07</t>
        </is>
      </c>
      <c r="B68" t="n">
        <v>62.03034946236559</v>
      </c>
      <c r="C68" t="n">
        <v>62.84170698924731</v>
      </c>
      <c r="D68" t="n">
        <v>89.73112519201229</v>
      </c>
      <c r="E68" t="n">
        <v>-27.70077572964669</v>
      </c>
      <c r="F68" t="n">
        <v>83.97813172043011</v>
      </c>
      <c r="G68" t="n">
        <v>-21.1364247311828</v>
      </c>
    </row>
    <row r="69" customFormat="1" s="33">
      <c r="A69" t="inlineStr">
        <is>
          <t>2024-08</t>
        </is>
      </c>
      <c r="B69" t="n">
        <v>72.95380376344086</v>
      </c>
      <c r="C69" t="n">
        <v>72.61426075268818</v>
      </c>
      <c r="D69" t="n">
        <v>120.6198252688172</v>
      </c>
      <c r="E69" t="n">
        <v>-47.66602150537634</v>
      </c>
      <c r="F69" t="n">
        <v>121.2532661290323</v>
      </c>
      <c r="G69" t="n">
        <v>-48.63900537634407</v>
      </c>
    </row>
    <row r="70" customFormat="1" s="33">
      <c r="A70" t="inlineStr">
        <is>
          <t>2024-09</t>
        </is>
      </c>
      <c r="B70" t="n">
        <v>71.71358333333333</v>
      </c>
      <c r="C70" t="n">
        <v>70.41183333333333</v>
      </c>
      <c r="D70" t="n">
        <v>110.1355753968254</v>
      </c>
      <c r="E70" t="n">
        <v>-38.42199206349206</v>
      </c>
      <c r="F70" t="n">
        <v>109.8175337301587</v>
      </c>
      <c r="G70" t="n">
        <v>-39.40570039682537</v>
      </c>
    </row>
    <row r="71" customFormat="1" s="33">
      <c r="A71" t="inlineStr">
        <is>
          <t>2024-10</t>
        </is>
      </c>
      <c r="B71" t="n">
        <v>76.7199730820996</v>
      </c>
      <c r="C71" t="n">
        <v>76.32612382234186</v>
      </c>
      <c r="D71" t="n">
        <v>76.2258887713901</v>
      </c>
      <c r="E71" t="n">
        <v>0.4940843107094963</v>
      </c>
      <c r="F71" t="n">
        <v>75.4261411267064</v>
      </c>
      <c r="G71" t="n">
        <v>0.8999826956354582</v>
      </c>
    </row>
    <row r="72" customFormat="1" s="33">
      <c r="A72" t="inlineStr">
        <is>
          <t>2024-11</t>
        </is>
      </c>
      <c r="B72" t="n">
        <v>95.90459722222222</v>
      </c>
      <c r="C72" t="n">
        <v>95.28269444444443</v>
      </c>
      <c r="D72" t="n">
        <v>89.1334290674603</v>
      </c>
      <c r="E72" t="n">
        <v>6.771168154761924</v>
      </c>
      <c r="F72" t="n">
        <v>90.04428025793649</v>
      </c>
      <c r="G72" t="n">
        <v>5.238414186507939</v>
      </c>
    </row>
    <row r="73" customFormat="1" s="33">
      <c r="A73" t="inlineStr">
        <is>
          <t>2024-12</t>
        </is>
      </c>
      <c r="B73" t="n">
        <v>91.83743279569893</v>
      </c>
      <c r="C73" t="n">
        <v>92.72815860215054</v>
      </c>
      <c r="D73" t="n">
        <v>107.3322091013825</v>
      </c>
      <c r="E73" t="n">
        <v>-15.49477630568356</v>
      </c>
      <c r="F73" t="n">
        <v>108.6063378456221</v>
      </c>
      <c r="G73" t="n">
        <v>-15.87817924347158</v>
      </c>
    </row>
    <row r="74" customFormat="1" s="33">
      <c r="A74" t="inlineStr">
        <is>
          <t>2025-01</t>
        </is>
      </c>
      <c r="B74" t="n">
        <v>97.96596774193547</v>
      </c>
      <c r="C74" t="n">
        <v>100.1237365591398</v>
      </c>
      <c r="D74" t="n">
        <v>75.53038402457757</v>
      </c>
      <c r="E74" t="n">
        <v>22.4355837173579</v>
      </c>
      <c r="F74" t="n">
        <v>74.23182219662058</v>
      </c>
      <c r="G74" t="n">
        <v>25.8919143625192</v>
      </c>
    </row>
    <row r="75" customFormat="1" s="33">
      <c r="A75" t="inlineStr">
        <is>
          <t>2025-02</t>
        </is>
      </c>
      <c r="B75" t="n">
        <v>112.8479613095238</v>
      </c>
      <c r="C75" t="n">
        <v>117.9355505952381</v>
      </c>
      <c r="D75" t="n">
        <v>72.91418660567673</v>
      </c>
      <c r="E75" t="n">
        <v>39.93377470384708</v>
      </c>
      <c r="F75" t="n">
        <v>70.12802046680741</v>
      </c>
      <c r="G75" t="n">
        <v>47.80753012843068</v>
      </c>
    </row>
    <row r="76" customFormat="1" s="33">
      <c r="A76" t="inlineStr">
        <is>
          <t>2025-03</t>
        </is>
      </c>
      <c r="B76" t="n">
        <v>84.34884511784512</v>
      </c>
      <c r="C76" t="n">
        <v>82.84686531986532</v>
      </c>
      <c r="D76" t="n">
        <v>82.50761793567055</v>
      </c>
      <c r="E76" t="n">
        <v>1.841227182174563</v>
      </c>
      <c r="F76" t="n">
        <v>80.57939602892235</v>
      </c>
      <c r="G76" t="n">
        <v>2.267469290942969</v>
      </c>
    </row>
    <row r="77" customFormat="1" s="33">
      <c r="A77" t="inlineStr">
        <is>
          <t>2025-04</t>
        </is>
      </c>
      <c r="B77" t="n">
        <v>75.16047222222223</v>
      </c>
      <c r="C77" t="n">
        <v>75.80665277777778</v>
      </c>
      <c r="D77" t="n">
        <v>70.82900198412695</v>
      </c>
      <c r="E77" t="n">
        <v>4.331470238095278</v>
      </c>
      <c r="F77" t="n">
        <v>68.26817261904762</v>
      </c>
      <c r="G77" t="n">
        <v>7.538480158730167</v>
      </c>
    </row>
    <row r="78" customFormat="1" s="33">
      <c r="A78" t="inlineStr">
        <is>
          <t>2025-05</t>
        </is>
      </c>
      <c r="B78" t="n">
        <v>64.23341397849462</v>
      </c>
      <c r="C78" t="n">
        <v>63.08255376344086</v>
      </c>
      <c r="D78" t="n">
        <v>68.05216589861753</v>
      </c>
      <c r="E78" t="n">
        <v>-3.818751920122907</v>
      </c>
      <c r="F78" t="n">
        <v>66.05999615975423</v>
      </c>
      <c r="G78" t="n">
        <v>-2.977442396313378</v>
      </c>
    </row>
    <row r="79" customFormat="1" s="33">
      <c r="A79" t="inlineStr">
        <is>
          <t>2025-06</t>
        </is>
      </c>
      <c r="B79" t="n">
        <v>58.784625</v>
      </c>
      <c r="C79" t="n">
        <v>56.44824999999999</v>
      </c>
      <c r="D79" t="n">
        <v>80.33409523809523</v>
      </c>
      <c r="E79" t="n">
        <v>-21.54947023809523</v>
      </c>
      <c r="F79" t="n">
        <v>80.70399404761902</v>
      </c>
      <c r="G79" t="n">
        <v>-24.25574404761903</v>
      </c>
    </row>
    <row r="80" customFormat="1" s="33">
      <c r="A80" t="inlineStr">
        <is>
          <t>2025-07</t>
        </is>
      </c>
      <c r="B80" t="n">
        <v>82.80192204301075</v>
      </c>
      <c r="C80" t="n">
        <v>79.95969086021506</v>
      </c>
      <c r="D80" t="n">
        <v>89.73112519201229</v>
      </c>
      <c r="E80" t="n">
        <v>-6.929203149001538</v>
      </c>
      <c r="F80" t="n">
        <v>83.97813172043011</v>
      </c>
      <c r="G80" t="n">
        <v>-4.018440860215051</v>
      </c>
    </row>
    <row r="81" customFormat="1" s="33">
      <c r="A81" t="inlineStr">
        <is>
          <t>2025-08</t>
        </is>
      </c>
      <c r="B81" t="n">
        <v>73.47376344086022</v>
      </c>
      <c r="C81" t="n">
        <v>75.31549731182795</v>
      </c>
      <c r="D81" t="n">
        <v>120.6198252688172</v>
      </c>
      <c r="E81" t="n">
        <v>-47.14606182795697</v>
      </c>
      <c r="F81" t="n">
        <v>121.2532661290323</v>
      </c>
      <c r="G81" t="n">
        <v>-45.9377688172043</v>
      </c>
    </row>
    <row r="82" customFormat="1" s="33">
      <c r="A82" t="inlineStr">
        <is>
          <t>2025-09</t>
        </is>
      </c>
      <c r="B82" t="n">
        <v>72.39868055555556</v>
      </c>
      <c r="C82" t="n">
        <v>83.28893055555555</v>
      </c>
      <c r="D82" t="n">
        <v>110.1355753968254</v>
      </c>
      <c r="E82" t="n">
        <v>-37.73689484126983</v>
      </c>
      <c r="F82" t="n">
        <v>109.8175337301587</v>
      </c>
      <c r="G82" t="n">
        <v>-26.52860317460315</v>
      </c>
    </row>
    <row r="83" customFormat="1" s="33">
      <c r="A83" t="inlineStr">
        <is>
          <t>2025-10</t>
        </is>
      </c>
      <c r="B83" t="n">
        <v>78.4218001345895</v>
      </c>
      <c r="C83" t="n">
        <v>82.36807537012113</v>
      </c>
      <c r="D83" t="n">
        <v>76.2258887713901</v>
      </c>
      <c r="E83" t="n">
        <v>2.1959113631994</v>
      </c>
      <c r="F83" t="n">
        <v>75.4261411267064</v>
      </c>
      <c r="G83" t="n">
        <v>6.941934243414735</v>
      </c>
    </row>
    <row r="84" customFormat="1" s="33">
      <c r="A84" t="inlineStr">
        <is>
          <t>2025-11</t>
        </is>
      </c>
      <c r="B84" t="n">
        <v>92.87339236111112</v>
      </c>
      <c r="C84" t="n">
        <v>93.69557291666666</v>
      </c>
      <c r="D84" t="n">
        <v>89.1334290674603</v>
      </c>
      <c r="E84" t="n">
        <v>3.739963293650817</v>
      </c>
      <c r="F84" t="n">
        <v>90.04428025793649</v>
      </c>
      <c r="G84" t="n">
        <v>3.651292658730171</v>
      </c>
    </row>
    <row r="85" customFormat="1" s="33">
      <c r="A85" t="inlineStr">
        <is>
          <t>2025-12</t>
        </is>
      </c>
      <c r="B85" t="n">
        <v>82.43746639784946</v>
      </c>
      <c r="C85" t="n">
        <v>82.08152889784947</v>
      </c>
      <c r="D85" t="n">
        <v>107.3322091013825</v>
      </c>
      <c r="E85" t="n">
        <v>-24.89474270353303</v>
      </c>
      <c r="F85" t="n">
        <v>108.6063378456221</v>
      </c>
      <c r="G85" t="n">
        <v>-26.52480894777266</v>
      </c>
    </row>
    <row r="86" ht="15" customFormat="1" customHeight="1" s="33"/>
    <row r="87" ht="15" customFormat="1" customHeight="1" s="33"/>
    <row r="88" ht="15" customFormat="1" customHeight="1" s="33"/>
    <row r="89" ht="15" customFormat="1" customHeight="1" s="33"/>
  </sheetData>
  <pageMargins left="0.7" right="0.7" top="0.75" bottom="0.75" header="0.3" footer="0.3"/>
  <drawing xmlns:r="http://schemas.openxmlformats.org/officeDocument/2006/relationships" r:id="rId1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K85"/>
  <sheetViews>
    <sheetView showGridLines="0" workbookViewId="0">
      <selection activeCell="A1" sqref="A1:XFD1048576"/>
    </sheetView>
  </sheetViews>
  <sheetFormatPr baseColWidth="10" defaultRowHeight="16"/>
  <cols>
    <col width="7.83203125" bestFit="1" customWidth="1" style="133" min="1" max="1"/>
    <col width="33" bestFit="1" customWidth="1" style="133" min="2" max="2"/>
    <col width="36.33203125" bestFit="1" customWidth="1" style="133" min="3" max="3"/>
    <col width="27" bestFit="1" customWidth="1" style="133" min="4" max="5"/>
    <col width="30.83203125" bestFit="1" customWidth="1" style="133" min="6" max="6"/>
    <col width="34.1640625" bestFit="1" customWidth="1" style="133" min="7" max="7"/>
    <col width="34.6640625" bestFit="1" customWidth="1" style="133" min="8" max="8"/>
    <col width="38" bestFit="1" customWidth="1" style="133" min="9" max="9"/>
    <col width="26.1640625" bestFit="1" customWidth="1" style="133" min="10" max="11"/>
  </cols>
  <sheetData>
    <row r="1" customFormat="1" s="2">
      <c r="A1" t="inlineStr">
        <is>
          <t>Month</t>
        </is>
      </c>
      <c r="B1" t="inlineStr">
        <is>
          <t>DK1 Solar Production (MWh) — Primary</t>
        </is>
      </c>
      <c r="C1" t="inlineStr">
        <is>
          <t>DK2 Solar Production (MWh) — Robustness</t>
        </is>
      </c>
      <c r="D1" t="inlineStr">
        <is>
          <t>DK1 Gross Consumption (MWh)</t>
        </is>
      </c>
      <c r="E1" t="inlineStr">
        <is>
          <t>DK2 Gross Consumption (MWh)</t>
        </is>
      </c>
      <c r="F1" t="inlineStr">
        <is>
          <t>DK1 Solar Penetration (%) — Primary</t>
        </is>
      </c>
      <c r="G1" t="inlineStr">
        <is>
          <t>DK2 Solar Penetration (%) — Robustness</t>
        </is>
      </c>
      <c r="H1" t="inlineStr">
        <is>
          <t>DK1 Capture Price (EUR/MWh) — Primary</t>
        </is>
      </c>
      <c r="I1" t="inlineStr">
        <is>
          <t>DK2 Capture Price (EUR/MWh) — Robustness</t>
        </is>
      </c>
      <c r="J1" t="inlineStr">
        <is>
          <t>DK1 CPR — Primary</t>
        </is>
      </c>
      <c r="K1" t="inlineStr">
        <is>
          <t>DK2 CPR — Robustness</t>
        </is>
      </c>
    </row>
    <row r="2" ht="45" customFormat="1" customHeight="1" s="2">
      <c r="A2" t="inlineStr">
        <is>
          <t>2019-01</t>
        </is>
      </c>
      <c r="B2" t="n">
        <v>0</v>
      </c>
      <c r="C2" t="n">
        <v>0</v>
      </c>
      <c r="D2" t="n">
        <v>1981398.582526</v>
      </c>
      <c r="E2" t="n">
        <v>1314033.101437</v>
      </c>
    </row>
    <row r="3">
      <c r="A3" t="inlineStr">
        <is>
          <t>2019-02</t>
        </is>
      </c>
      <c r="B3" t="n">
        <v>0</v>
      </c>
      <c r="C3" t="n">
        <v>0</v>
      </c>
      <c r="D3" t="n">
        <v>1722773.786259</v>
      </c>
      <c r="E3" t="n">
        <v>1131046.589842</v>
      </c>
    </row>
    <row r="4">
      <c r="A4" t="inlineStr">
        <is>
          <t>2019-03</t>
        </is>
      </c>
      <c r="B4" t="n">
        <v>0</v>
      </c>
      <c r="C4" t="n">
        <v>0</v>
      </c>
      <c r="D4" t="n">
        <v>1852201.633665</v>
      </c>
      <c r="E4" t="n">
        <v>1198126.635384</v>
      </c>
    </row>
    <row r="5">
      <c r="A5" t="inlineStr">
        <is>
          <t>2019-04</t>
        </is>
      </c>
      <c r="B5" t="n">
        <v>0</v>
      </c>
      <c r="C5" t="n">
        <v>0</v>
      </c>
      <c r="D5" t="n">
        <v>1635794.503292</v>
      </c>
      <c r="E5" t="n">
        <v>1043346.761302</v>
      </c>
    </row>
    <row r="6">
      <c r="A6" t="inlineStr">
        <is>
          <t>2019-05</t>
        </is>
      </c>
      <c r="B6" t="n">
        <v>0</v>
      </c>
      <c r="C6" t="n">
        <v>0</v>
      </c>
      <c r="D6" t="n">
        <v>1705809.830089</v>
      </c>
      <c r="E6" t="n">
        <v>1053002.354429</v>
      </c>
    </row>
    <row r="7">
      <c r="A7" t="inlineStr">
        <is>
          <t>2019-06</t>
        </is>
      </c>
      <c r="B7" t="n">
        <v>0</v>
      </c>
      <c r="C7" t="n">
        <v>0</v>
      </c>
      <c r="D7" t="n">
        <v>1584045.385985</v>
      </c>
      <c r="E7" t="n">
        <v>975899.201308</v>
      </c>
    </row>
    <row r="8">
      <c r="A8" t="inlineStr">
        <is>
          <t>2019-07</t>
        </is>
      </c>
      <c r="B8" t="n">
        <v>0</v>
      </c>
      <c r="C8" t="n">
        <v>0</v>
      </c>
      <c r="D8" t="n">
        <v>1586666.809685</v>
      </c>
      <c r="E8" t="n">
        <v>974240.523676</v>
      </c>
    </row>
    <row r="9">
      <c r="A9" t="inlineStr">
        <is>
          <t>2019-08</t>
        </is>
      </c>
      <c r="B9" t="n">
        <v>0</v>
      </c>
      <c r="C9" t="n">
        <v>0</v>
      </c>
      <c r="D9" t="n">
        <v>1656327.969606</v>
      </c>
      <c r="E9" t="n">
        <v>1032294.027409</v>
      </c>
    </row>
    <row r="10">
      <c r="A10" t="inlineStr">
        <is>
          <t>2019-09</t>
        </is>
      </c>
      <c r="B10" t="n">
        <v>0</v>
      </c>
      <c r="C10" t="n">
        <v>0</v>
      </c>
      <c r="D10" t="n">
        <v>1676866.10718</v>
      </c>
      <c r="E10" t="n">
        <v>1027039.470945</v>
      </c>
    </row>
    <row r="11">
      <c r="A11" t="inlineStr">
        <is>
          <t>2019-10</t>
        </is>
      </c>
      <c r="B11" t="n">
        <v>0</v>
      </c>
      <c r="C11" t="n">
        <v>0</v>
      </c>
      <c r="D11" t="n">
        <v>1811180.068616</v>
      </c>
      <c r="E11" t="n">
        <v>1150263.607403</v>
      </c>
    </row>
    <row r="12">
      <c r="A12" t="inlineStr">
        <is>
          <t>2019-11</t>
        </is>
      </c>
      <c r="B12" t="n">
        <v>0</v>
      </c>
      <c r="C12" t="n">
        <v>0</v>
      </c>
      <c r="D12" t="n">
        <v>1863227.793106</v>
      </c>
      <c r="E12" t="n">
        <v>1178952.785895</v>
      </c>
    </row>
    <row r="13">
      <c r="A13" t="inlineStr">
        <is>
          <t>2019-12</t>
        </is>
      </c>
      <c r="B13" t="n">
        <v>0</v>
      </c>
      <c r="C13" t="n">
        <v>0</v>
      </c>
      <c r="D13" t="n">
        <v>1899232.867932</v>
      </c>
      <c r="E13" t="n">
        <v>1242107.384159</v>
      </c>
    </row>
    <row r="14">
      <c r="A14" t="inlineStr">
        <is>
          <t>2020-01</t>
        </is>
      </c>
      <c r="B14" t="n">
        <v>4471</v>
      </c>
      <c r="C14" t="n">
        <v>2331</v>
      </c>
      <c r="D14" t="n">
        <v>1974432.714726</v>
      </c>
      <c r="E14" t="n">
        <v>1250319.791622</v>
      </c>
      <c r="F14" t="n">
        <v>0.002264447892629483</v>
      </c>
      <c r="G14" t="n">
        <v>0.001864323044087839</v>
      </c>
      <c r="H14" t="n">
        <v>25.22320957280251</v>
      </c>
      <c r="I14" t="n">
        <v>29.86213642213642</v>
      </c>
      <c r="J14" t="n">
        <v>1.009148659447442</v>
      </c>
      <c r="K14" t="n">
        <v>1.090446324793763</v>
      </c>
    </row>
    <row r="15">
      <c r="A15" t="inlineStr">
        <is>
          <t>2020-02</t>
        </is>
      </c>
      <c r="B15" t="n">
        <v>10110</v>
      </c>
      <c r="C15" t="n">
        <v>5861</v>
      </c>
      <c r="D15" t="n">
        <v>1926649.343878</v>
      </c>
      <c r="E15" t="n">
        <v>1181334.231075</v>
      </c>
      <c r="F15" t="n">
        <v>0.005247452024482245</v>
      </c>
      <c r="G15" t="n">
        <v>0.004961339344807235</v>
      </c>
      <c r="H15" t="n">
        <v>22.83581899109792</v>
      </c>
      <c r="I15" t="n">
        <v>23.55551782972189</v>
      </c>
      <c r="J15" t="n">
        <v>1.298591168695051</v>
      </c>
      <c r="K15" t="n">
        <v>1.251821301318464</v>
      </c>
    </row>
    <row r="16">
      <c r="A16" t="inlineStr">
        <is>
          <t>2020-03</t>
        </is>
      </c>
      <c r="B16" t="n">
        <v>38892</v>
      </c>
      <c r="C16" t="n">
        <v>18129</v>
      </c>
      <c r="D16" t="n">
        <v>1925186.649415</v>
      </c>
      <c r="E16" t="n">
        <v>1183329.342896</v>
      </c>
      <c r="F16" t="n">
        <v>0.02020167759412729</v>
      </c>
      <c r="G16" t="n">
        <v>0.01532033335337761</v>
      </c>
      <c r="H16" t="n">
        <v>15.94107348554973</v>
      </c>
      <c r="I16" t="n">
        <v>17.14905069226102</v>
      </c>
      <c r="J16" t="n">
        <v>0.8710146939215303</v>
      </c>
      <c r="K16" t="n">
        <v>0.8552077585127711</v>
      </c>
    </row>
    <row r="17">
      <c r="A17" t="inlineStr">
        <is>
          <t>2020-04</t>
        </is>
      </c>
      <c r="B17" t="n">
        <v>55159</v>
      </c>
      <c r="C17" t="n">
        <v>26915</v>
      </c>
      <c r="D17" t="n">
        <v>1700968.843874</v>
      </c>
      <c r="E17" t="n">
        <v>1028051.49622</v>
      </c>
      <c r="F17" t="n">
        <v>0.0324279896123047</v>
      </c>
      <c r="G17" t="n">
        <v>0.02618059513454593</v>
      </c>
      <c r="H17" t="n">
        <v>10.36487590420421</v>
      </c>
      <c r="I17" t="n">
        <v>13.25252312836708</v>
      </c>
      <c r="J17" t="n">
        <v>0.7131577255881921</v>
      </c>
      <c r="K17" t="n">
        <v>0.763620235478716</v>
      </c>
    </row>
    <row r="18">
      <c r="A18" t="inlineStr">
        <is>
          <t>2020-05</t>
        </is>
      </c>
      <c r="B18" t="n">
        <v>61569</v>
      </c>
      <c r="C18" t="n">
        <v>33210</v>
      </c>
      <c r="D18" t="n">
        <v>1706453.745359</v>
      </c>
      <c r="E18" t="n">
        <v>1030057.110715</v>
      </c>
      <c r="F18" t="n">
        <v>0.03608008723790357</v>
      </c>
      <c r="G18" t="n">
        <v>0.03224093077416624</v>
      </c>
      <c r="H18" t="n">
        <v>15.478548945086</v>
      </c>
      <c r="I18" t="n">
        <v>18.59404938271605</v>
      </c>
      <c r="J18" t="n">
        <v>0.9641557693120565</v>
      </c>
      <c r="K18" t="n">
        <v>0.9763693823354528</v>
      </c>
    </row>
    <row r="19">
      <c r="A19" t="inlineStr">
        <is>
          <t>2020-06</t>
        </is>
      </c>
      <c r="B19" t="n">
        <v>61474</v>
      </c>
      <c r="C19" t="n">
        <v>30998</v>
      </c>
      <c r="D19" t="n">
        <v>1643091.524416</v>
      </c>
      <c r="E19" t="n">
        <v>1011294.207039</v>
      </c>
      <c r="F19" t="n">
        <v>0.03741361883164089</v>
      </c>
      <c r="G19" t="n">
        <v>0.03065181208815584</v>
      </c>
      <c r="H19" t="n">
        <v>27.31330822786869</v>
      </c>
      <c r="I19" t="n">
        <v>35.21078005032583</v>
      </c>
      <c r="J19" t="n">
        <v>1.039466413731094</v>
      </c>
      <c r="K19" t="n">
        <v>1.180647007173951</v>
      </c>
    </row>
    <row r="20">
      <c r="A20" t="inlineStr">
        <is>
          <t>2020-07</t>
        </is>
      </c>
      <c r="B20" t="n">
        <v>54854</v>
      </c>
      <c r="C20" t="n">
        <v>29317</v>
      </c>
      <c r="D20" t="n">
        <v>1613427.260405</v>
      </c>
      <c r="E20" t="n">
        <v>977817.807313</v>
      </c>
      <c r="F20" t="n">
        <v>0.03399843385950392</v>
      </c>
      <c r="G20" t="n">
        <v>0.02998206800974695</v>
      </c>
      <c r="H20" t="n">
        <v>24.83174517810916</v>
      </c>
      <c r="I20" t="n">
        <v>26.450778046867</v>
      </c>
      <c r="J20" t="n">
        <v>1.008618155660831</v>
      </c>
      <c r="K20" t="n">
        <v>1.021791049952987</v>
      </c>
    </row>
    <row r="21">
      <c r="A21" t="inlineStr">
        <is>
          <t>2020-08</t>
        </is>
      </c>
      <c r="B21" t="n">
        <v>59389</v>
      </c>
      <c r="C21" t="n">
        <v>28887</v>
      </c>
      <c r="D21" t="n">
        <v>1735264.01783</v>
      </c>
      <c r="E21" t="n">
        <v>1030401.116398</v>
      </c>
      <c r="F21" t="n">
        <v>0.03422476314253766</v>
      </c>
      <c r="G21" t="n">
        <v>0.02803471341430708</v>
      </c>
      <c r="H21" t="n">
        <v>33.87691542204785</v>
      </c>
      <c r="I21" t="n">
        <v>44.11376501540486</v>
      </c>
      <c r="J21" t="n">
        <v>0.9808226440750074</v>
      </c>
      <c r="K21" t="n">
        <v>1.077948442472481</v>
      </c>
    </row>
    <row r="22">
      <c r="A22" t="inlineStr">
        <is>
          <t>2020-09</t>
        </is>
      </c>
      <c r="B22" t="n">
        <v>41721</v>
      </c>
      <c r="C22" t="n">
        <v>21825</v>
      </c>
      <c r="D22" t="n">
        <v>1714785.838754</v>
      </c>
      <c r="E22" t="n">
        <v>1004072.458009</v>
      </c>
      <c r="F22" t="n">
        <v>0.02433015193915724</v>
      </c>
      <c r="G22" t="n">
        <v>0.02173647910159525</v>
      </c>
      <c r="H22" t="n">
        <v>38.93597900337959</v>
      </c>
      <c r="I22" t="n">
        <v>41.85304788087056</v>
      </c>
      <c r="J22" t="n">
        <v>1.010404486913005</v>
      </c>
      <c r="K22" t="n">
        <v>1.059189092335807</v>
      </c>
    </row>
    <row r="23">
      <c r="A23" t="inlineStr">
        <is>
          <t>2020-10</t>
        </is>
      </c>
      <c r="B23" t="n">
        <v>21643</v>
      </c>
      <c r="C23" t="n">
        <v>12341</v>
      </c>
      <c r="D23" t="n">
        <v>1883574.414428</v>
      </c>
      <c r="E23" t="n">
        <v>1113897.363289</v>
      </c>
      <c r="F23" t="n">
        <v>0.01149038754944678</v>
      </c>
      <c r="G23" t="n">
        <v>0.01107911770574695</v>
      </c>
      <c r="H23" t="n">
        <v>31.92774153305919</v>
      </c>
      <c r="I23" t="n">
        <v>33.60087837290333</v>
      </c>
      <c r="J23" t="n">
        <v>1.236802226812374</v>
      </c>
      <c r="K23" t="n">
        <v>1.247549053102559</v>
      </c>
    </row>
    <row r="24">
      <c r="A24" t="inlineStr">
        <is>
          <t>2020-11</t>
        </is>
      </c>
      <c r="B24" t="n">
        <v>297</v>
      </c>
      <c r="C24" t="n">
        <v>128</v>
      </c>
      <c r="D24" t="n">
        <v>1952532.714599</v>
      </c>
      <c r="E24" t="n">
        <v>1158936.18433</v>
      </c>
      <c r="F24" t="n">
        <v>0.0001521101274151999</v>
      </c>
      <c r="G24" t="n">
        <v>0.0001104461157833284</v>
      </c>
      <c r="H24" t="n">
        <v>26.00599326599326</v>
      </c>
      <c r="I24" t="n">
        <v>37.749765625</v>
      </c>
      <c r="J24" t="n">
        <v>1.094777917215692</v>
      </c>
      <c r="K24" t="n">
        <v>1.057080411727209</v>
      </c>
    </row>
    <row r="25">
      <c r="A25" t="inlineStr">
        <is>
          <t>2020-12</t>
        </is>
      </c>
      <c r="B25" t="n">
        <v>31</v>
      </c>
      <c r="C25" t="n">
        <v>7</v>
      </c>
      <c r="D25" t="n">
        <v>2105390.893815</v>
      </c>
      <c r="E25" t="n">
        <v>1242182.378789</v>
      </c>
      <c r="F25" t="n">
        <v>1.472410662127807e-05</v>
      </c>
      <c r="G25" t="n">
        <v>5.635243358406259e-06</v>
      </c>
      <c r="H25" t="n">
        <v>34.79516129032258</v>
      </c>
      <c r="I25" t="n">
        <v>44.19142857142857</v>
      </c>
      <c r="J25" t="n">
        <v>1.008230164182662</v>
      </c>
      <c r="K25" t="n">
        <v>1.125691191699302</v>
      </c>
    </row>
    <row r="26">
      <c r="A26" t="inlineStr">
        <is>
          <t>2021-01</t>
        </is>
      </c>
      <c r="B26" t="n">
        <v>8179.138089</v>
      </c>
      <c r="C26" t="n">
        <v>4426.121237</v>
      </c>
      <c r="D26" t="n">
        <v>2252364.70651</v>
      </c>
      <c r="E26" t="n">
        <v>1425723.342772</v>
      </c>
      <c r="F26" t="n">
        <v>0.003631355999035091</v>
      </c>
      <c r="G26" t="n">
        <v>0.003104474131982996</v>
      </c>
      <c r="H26" t="n">
        <v>55.42296760727792</v>
      </c>
      <c r="I26" t="n">
        <v>57.07213441008145</v>
      </c>
      <c r="J26" t="n">
        <v>1.103930861568265</v>
      </c>
      <c r="K26" t="n">
        <v>1.122164979814525</v>
      </c>
    </row>
    <row r="27">
      <c r="A27" t="inlineStr">
        <is>
          <t>2021-02</t>
        </is>
      </c>
      <c r="B27" t="n">
        <v>22310.176508</v>
      </c>
      <c r="C27" t="n">
        <v>11907.835349</v>
      </c>
      <c r="D27" t="n">
        <v>2052653.982948</v>
      </c>
      <c r="E27" t="n">
        <v>1287565.041689</v>
      </c>
      <c r="F27" t="n">
        <v>0.0108689417180573</v>
      </c>
      <c r="G27" t="n">
        <v>0.009248336948772359</v>
      </c>
      <c r="H27" t="n">
        <v>47.54261097914259</v>
      </c>
      <c r="I27" t="n">
        <v>52.28508365452458</v>
      </c>
      <c r="J27" t="n">
        <v>1.005947927705425</v>
      </c>
      <c r="K27" t="n">
        <v>0.9585139857498034</v>
      </c>
    </row>
    <row r="28">
      <c r="A28" t="inlineStr">
        <is>
          <t>2021-03</t>
        </is>
      </c>
      <c r="B28" t="n">
        <v>46123.345655</v>
      </c>
      <c r="C28" t="n">
        <v>23046.668846</v>
      </c>
      <c r="D28" t="n">
        <v>2060705.897207</v>
      </c>
      <c r="E28" t="n">
        <v>1247484.239485</v>
      </c>
      <c r="F28" t="n">
        <v>0.02238230390737163</v>
      </c>
      <c r="G28" t="n">
        <v>0.01847451704521283</v>
      </c>
      <c r="H28" t="n">
        <v>44.55070091580549</v>
      </c>
      <c r="I28" t="n">
        <v>47.42264301189781</v>
      </c>
      <c r="J28" t="n">
        <v>0.9871758725122356</v>
      </c>
      <c r="K28" t="n">
        <v>1.014774172650395</v>
      </c>
    </row>
    <row r="29">
      <c r="A29" t="inlineStr">
        <is>
          <t>2021-04</t>
        </is>
      </c>
      <c r="B29" t="n">
        <v>78204.03568</v>
      </c>
      <c r="C29" t="n">
        <v>36626.383794</v>
      </c>
      <c r="D29" t="n">
        <v>1856327.067263</v>
      </c>
      <c r="E29" t="n">
        <v>1120264.492106</v>
      </c>
      <c r="F29" t="n">
        <v>0.04212837115783985</v>
      </c>
      <c r="G29" t="n">
        <v>0.03269440748331279</v>
      </c>
      <c r="H29" t="n">
        <v>43.594739828473</v>
      </c>
      <c r="I29" t="n">
        <v>45.90136374824883</v>
      </c>
      <c r="J29" t="n">
        <v>0.9088464745665017</v>
      </c>
      <c r="K29" t="n">
        <v>0.9590164366476613</v>
      </c>
    </row>
    <row r="30">
      <c r="A30" t="inlineStr">
        <is>
          <t>2021-05</t>
        </is>
      </c>
      <c r="B30" t="n">
        <v>60275.706328</v>
      </c>
      <c r="C30" t="n">
        <v>35485.870905</v>
      </c>
      <c r="D30" t="n">
        <v>1822391.872331</v>
      </c>
      <c r="E30" t="n">
        <v>1077097.516282</v>
      </c>
      <c r="F30" t="n">
        <v>0.03307505221196035</v>
      </c>
      <c r="G30" t="n">
        <v>0.03294582929454019</v>
      </c>
      <c r="H30" t="n">
        <v>47.65587057500122</v>
      </c>
      <c r="I30" t="n">
        <v>50.2587202314608</v>
      </c>
      <c r="J30" t="n">
        <v>0.8775180518715436</v>
      </c>
      <c r="K30" t="n">
        <v>0.9103388736117121</v>
      </c>
    </row>
    <row r="31">
      <c r="A31" t="inlineStr">
        <is>
          <t>2021-06</t>
        </is>
      </c>
      <c r="B31" t="n">
        <v>85532.757465</v>
      </c>
      <c r="C31" t="n">
        <v>44409.075368</v>
      </c>
      <c r="D31" t="n">
        <v>1716089.599315</v>
      </c>
      <c r="E31" t="n">
        <v>998402.482928</v>
      </c>
      <c r="F31" t="n">
        <v>0.04984166182181952</v>
      </c>
      <c r="G31" t="n">
        <v>0.04448013314005607</v>
      </c>
      <c r="H31" t="n">
        <v>70.54354791111106</v>
      </c>
      <c r="I31" t="n">
        <v>69.46934165377623</v>
      </c>
      <c r="J31" t="n">
        <v>0.9569142795347317</v>
      </c>
      <c r="K31" t="n">
        <v>0.9440449187481634</v>
      </c>
    </row>
    <row r="32">
      <c r="A32" t="inlineStr">
        <is>
          <t>2021-07</t>
        </is>
      </c>
      <c r="B32" t="n">
        <v>82389.24472800001</v>
      </c>
      <c r="C32" t="n">
        <v>37596.672481</v>
      </c>
      <c r="D32" t="n">
        <v>1696245.143057</v>
      </c>
      <c r="E32" t="n">
        <v>1014767.522248</v>
      </c>
      <c r="F32" t="n">
        <v>0.0485715434854639</v>
      </c>
      <c r="G32" t="n">
        <v>0.03704954253730217</v>
      </c>
      <c r="H32" t="n">
        <v>78.56831974775861</v>
      </c>
      <c r="I32" t="n">
        <v>77.93311155139432</v>
      </c>
      <c r="J32" t="n">
        <v>0.9821132371596978</v>
      </c>
      <c r="K32" t="n">
        <v>0.9569285690465077</v>
      </c>
    </row>
    <row r="33">
      <c r="A33" t="inlineStr">
        <is>
          <t>2021-08</t>
        </is>
      </c>
      <c r="B33" t="n">
        <v>67953.091637</v>
      </c>
      <c r="C33" t="n">
        <v>33109.572812</v>
      </c>
      <c r="D33" t="n">
        <v>1747901.911787</v>
      </c>
      <c r="E33" t="n">
        <v>1039293.523167</v>
      </c>
      <c r="F33" t="n">
        <v>0.0388769479447087</v>
      </c>
      <c r="G33" t="n">
        <v>0.03185776883426199</v>
      </c>
      <c r="H33" t="n">
        <v>81.98335113640179</v>
      </c>
      <c r="I33" t="n">
        <v>84.51274769025703</v>
      </c>
      <c r="J33" t="n">
        <v>0.9902714780245057</v>
      </c>
      <c r="K33" t="n">
        <v>1.001768528067071</v>
      </c>
    </row>
    <row r="34">
      <c r="A34" t="inlineStr">
        <is>
          <t>2021-09</t>
        </is>
      </c>
      <c r="B34" t="n">
        <v>46072.909251</v>
      </c>
      <c r="C34" t="n">
        <v>23365.051619</v>
      </c>
      <c r="D34" t="n">
        <v>1776623.430599</v>
      </c>
      <c r="E34" t="n">
        <v>1043170.506637</v>
      </c>
      <c r="F34" t="n">
        <v>0.02593285017943629</v>
      </c>
      <c r="G34" t="n">
        <v>0.0223981137027396</v>
      </c>
      <c r="H34" t="n">
        <v>116.2002249554484</v>
      </c>
      <c r="I34" t="n">
        <v>118.7457227855615</v>
      </c>
      <c r="J34" t="n">
        <v>0.9269044048361358</v>
      </c>
      <c r="K34" t="n">
        <v>0.9583833699094481</v>
      </c>
    </row>
    <row r="35">
      <c r="A35" t="inlineStr">
        <is>
          <t>2021-10</t>
        </is>
      </c>
      <c r="B35" t="n">
        <v>34328.644789</v>
      </c>
      <c r="C35" t="n">
        <v>14703.421397</v>
      </c>
      <c r="D35" t="n">
        <v>1966119.999606</v>
      </c>
      <c r="E35" t="n">
        <v>1160192.200648</v>
      </c>
      <c r="F35" t="n">
        <v>0.01746009643148906</v>
      </c>
      <c r="G35" t="n">
        <v>0.01267326343754744</v>
      </c>
      <c r="H35" t="n">
        <v>126.5303952032395</v>
      </c>
      <c r="I35" t="n">
        <v>122.3841235967906</v>
      </c>
      <c r="J35" t="n">
        <v>1.081088507413439</v>
      </c>
      <c r="K35" t="n">
        <v>1.144501265847132</v>
      </c>
    </row>
    <row r="36">
      <c r="A36" t="inlineStr">
        <is>
          <t>2021-11</t>
        </is>
      </c>
      <c r="B36" t="n">
        <v>14343.278972</v>
      </c>
      <c r="C36" t="n">
        <v>4832.182922</v>
      </c>
      <c r="D36" t="n">
        <v>2040497.16432</v>
      </c>
      <c r="E36" t="n">
        <v>1204047.964422</v>
      </c>
      <c r="F36" t="n">
        <v>0.007029306005813504</v>
      </c>
      <c r="G36" t="n">
        <v>0.004013281085791027</v>
      </c>
      <c r="H36" t="n">
        <v>160.7705833010295</v>
      </c>
      <c r="I36" t="n">
        <v>153.6267942781575</v>
      </c>
      <c r="J36" t="n">
        <v>1.133803408504466</v>
      </c>
      <c r="K36" t="n">
        <v>1.126460857141801</v>
      </c>
    </row>
    <row r="37">
      <c r="A37" t="inlineStr">
        <is>
          <t>2021-12</t>
        </is>
      </c>
      <c r="B37" t="n">
        <v>7133.181582</v>
      </c>
      <c r="C37" t="n">
        <v>2510.935792</v>
      </c>
      <c r="D37" t="n">
        <v>2199314.822759</v>
      </c>
      <c r="E37" t="n">
        <v>1377644.593439</v>
      </c>
      <c r="F37" t="n">
        <v>0.003243365391886713</v>
      </c>
      <c r="G37" t="n">
        <v>0.001822629583826099</v>
      </c>
      <c r="H37" t="n">
        <v>228.8621705579358</v>
      </c>
      <c r="I37" t="n">
        <v>244.4872785976441</v>
      </c>
      <c r="J37" t="n">
        <v>1.208676962454928</v>
      </c>
      <c r="K37" t="n">
        <v>1.279578427053047</v>
      </c>
    </row>
    <row r="38">
      <c r="A38" t="inlineStr">
        <is>
          <t>2022-01</t>
        </is>
      </c>
      <c r="B38" t="n">
        <v>14552.070618</v>
      </c>
      <c r="C38" t="n">
        <v>6670.437076</v>
      </c>
      <c r="D38" t="n">
        <v>2179982.431542</v>
      </c>
      <c r="E38" t="n">
        <v>1350412.076067</v>
      </c>
      <c r="F38" t="n">
        <v>0.006675315547248087</v>
      </c>
      <c r="G38" t="n">
        <v>0.004939556742877535</v>
      </c>
      <c r="H38" t="n">
        <v>123.2012506791719</v>
      </c>
      <c r="I38" t="n">
        <v>129.6774902315082</v>
      </c>
      <c r="J38" t="n">
        <v>1.044125730427727</v>
      </c>
      <c r="K38" t="n">
        <v>1.161754652341282</v>
      </c>
    </row>
    <row r="39">
      <c r="A39" t="inlineStr">
        <is>
          <t>2022-02</t>
        </is>
      </c>
      <c r="B39" t="n">
        <v>35326.670344</v>
      </c>
      <c r="C39" t="n">
        <v>16064.483173</v>
      </c>
      <c r="D39" t="n">
        <v>2030318.441238</v>
      </c>
      <c r="E39" t="n">
        <v>1212552.413472</v>
      </c>
      <c r="F39" t="n">
        <v>0.0173995712330029</v>
      </c>
      <c r="G39" t="n">
        <v>0.01324848558669828</v>
      </c>
      <c r="H39" t="n">
        <v>117.67077903546</v>
      </c>
      <c r="I39" t="n">
        <v>108.8033389925641</v>
      </c>
      <c r="J39" t="n">
        <v>1.04022281700981</v>
      </c>
      <c r="K39" t="n">
        <v>1.084871924613185</v>
      </c>
    </row>
    <row r="40">
      <c r="A40" t="inlineStr">
        <is>
          <t>2022-03</t>
        </is>
      </c>
      <c r="B40" t="n">
        <v>124366.691162</v>
      </c>
      <c r="C40" t="n">
        <v>42239.699938</v>
      </c>
      <c r="D40" t="n">
        <v>2007369.049616</v>
      </c>
      <c r="E40" t="n">
        <v>1239088.580075</v>
      </c>
      <c r="F40" t="n">
        <v>0.06195507058644287</v>
      </c>
      <c r="G40" t="n">
        <v>0.03408933034912105</v>
      </c>
      <c r="H40" t="n">
        <v>191.508071735067</v>
      </c>
      <c r="I40" t="n">
        <v>186.0504424586062</v>
      </c>
      <c r="J40" t="n">
        <v>0.8120775904420741</v>
      </c>
      <c r="K40" t="n">
        <v>0.8162958275837114</v>
      </c>
    </row>
    <row r="41">
      <c r="A41" t="inlineStr">
        <is>
          <t>2022-04</t>
        </is>
      </c>
      <c r="B41" t="n">
        <v>154179.581176</v>
      </c>
      <c r="C41" t="n">
        <v>61056.924754</v>
      </c>
      <c r="D41" t="n">
        <v>1834585.230014</v>
      </c>
      <c r="E41" t="n">
        <v>1105013.987365</v>
      </c>
      <c r="F41" t="n">
        <v>0.08404056603836467</v>
      </c>
      <c r="G41" t="n">
        <v>0.05525443609957865</v>
      </c>
      <c r="H41" t="n">
        <v>145.7013871592604</v>
      </c>
      <c r="I41" t="n">
        <v>143.5375888642185</v>
      </c>
      <c r="J41" t="n">
        <v>0.8903913338467833</v>
      </c>
      <c r="K41" t="n">
        <v>0.9391804877392103</v>
      </c>
    </row>
    <row r="42">
      <c r="A42" t="inlineStr">
        <is>
          <t>2022-05</t>
        </is>
      </c>
      <c r="B42" t="n">
        <v>172893.434417</v>
      </c>
      <c r="C42" t="n">
        <v>69216.109461</v>
      </c>
      <c r="D42" t="n">
        <v>1784671.575256</v>
      </c>
      <c r="E42" t="n">
        <v>1051733.38355</v>
      </c>
      <c r="F42" t="n">
        <v>0.09687689142031611</v>
      </c>
      <c r="G42" t="n">
        <v>0.06581145996085939</v>
      </c>
      <c r="H42" t="n">
        <v>149.4185612445558</v>
      </c>
      <c r="I42" t="n">
        <v>146.2536023446033</v>
      </c>
      <c r="J42" t="n">
        <v>0.8694301605049858</v>
      </c>
      <c r="K42" t="n">
        <v>0.8991456314331195</v>
      </c>
    </row>
    <row r="43">
      <c r="A43" t="inlineStr">
        <is>
          <t>2022-06</t>
        </is>
      </c>
      <c r="B43" t="n">
        <v>160616.716209</v>
      </c>
      <c r="C43" t="n">
        <v>65097.83429</v>
      </c>
      <c r="D43" t="n">
        <v>1691378.457936</v>
      </c>
      <c r="E43" t="n">
        <v>1008827.225736</v>
      </c>
      <c r="F43" t="n">
        <v>0.09496202074431148</v>
      </c>
      <c r="G43" t="n">
        <v>0.06452822904586782</v>
      </c>
      <c r="H43" t="n">
        <v>194.7110340948198</v>
      </c>
      <c r="I43" t="n">
        <v>192.2325905808319</v>
      </c>
      <c r="J43" t="n">
        <v>0.9080390201234191</v>
      </c>
      <c r="K43" t="n">
        <v>0.9015136745747578</v>
      </c>
    </row>
    <row r="44">
      <c r="A44" t="inlineStr">
        <is>
          <t>2022-07</t>
        </is>
      </c>
      <c r="B44" t="n">
        <v>163505.582532</v>
      </c>
      <c r="C44" t="n">
        <v>65436.252589</v>
      </c>
      <c r="D44" t="n">
        <v>1641036.31096</v>
      </c>
      <c r="E44" t="n">
        <v>976284.4886179999</v>
      </c>
      <c r="F44" t="n">
        <v>0.09963556652585577</v>
      </c>
      <c r="G44" t="n">
        <v>0.06702580380195292</v>
      </c>
      <c r="H44" t="n">
        <v>239.3981525107354</v>
      </c>
      <c r="I44" t="n">
        <v>212.3625858003895</v>
      </c>
      <c r="J44" t="n">
        <v>0.8704179159294955</v>
      </c>
      <c r="K44" t="n">
        <v>0.909562444967756</v>
      </c>
    </row>
    <row r="45">
      <c r="A45" t="inlineStr">
        <is>
          <t>2022-08</t>
        </is>
      </c>
      <c r="B45" t="n">
        <v>154636.197697</v>
      </c>
      <c r="C45" t="n">
        <v>63282.831495</v>
      </c>
      <c r="D45" t="n">
        <v>1725330.928103</v>
      </c>
      <c r="E45" t="n">
        <v>1032347.627135</v>
      </c>
      <c r="F45" t="n">
        <v>0.08962697832526678</v>
      </c>
      <c r="G45" t="n">
        <v>0.06129992439719582</v>
      </c>
      <c r="H45" t="n">
        <v>419.792637226606</v>
      </c>
      <c r="I45" t="n">
        <v>397.1798848597606</v>
      </c>
      <c r="J45" t="n">
        <v>0.9190855304670003</v>
      </c>
      <c r="K45" t="n">
        <v>0.8830756108422062</v>
      </c>
    </row>
    <row r="46">
      <c r="A46" t="inlineStr">
        <is>
          <t>2022-09</t>
        </is>
      </c>
      <c r="B46" t="n">
        <v>109474.908134</v>
      </c>
      <c r="C46" t="n">
        <v>45340.115011</v>
      </c>
      <c r="D46" t="n">
        <v>1657542.95032</v>
      </c>
      <c r="E46" t="n">
        <v>990298.82898</v>
      </c>
      <c r="F46" t="n">
        <v>0.06604649859170474</v>
      </c>
      <c r="G46" t="n">
        <v>0.04578427610350702</v>
      </c>
      <c r="H46" t="n">
        <v>310.7073992726671</v>
      </c>
      <c r="I46" t="n">
        <v>315.928842796779</v>
      </c>
      <c r="J46" t="n">
        <v>0.9063290180568312</v>
      </c>
      <c r="K46" t="n">
        <v>0.9608536982958826</v>
      </c>
    </row>
    <row r="47">
      <c r="A47" t="inlineStr">
        <is>
          <t>2022-10</t>
        </is>
      </c>
      <c r="B47" t="n">
        <v>66193.573263</v>
      </c>
      <c r="C47" t="n">
        <v>30871.409397</v>
      </c>
      <c r="D47" t="n">
        <v>1766602.819547</v>
      </c>
      <c r="E47" t="n">
        <v>1035638.542117</v>
      </c>
      <c r="F47" t="n">
        <v>0.03746941447765471</v>
      </c>
      <c r="G47" t="n">
        <v>0.0298090580270354</v>
      </c>
      <c r="H47" t="n">
        <v>125.6295598680838</v>
      </c>
      <c r="I47" t="n">
        <v>120.1190076327392</v>
      </c>
      <c r="J47" t="n">
        <v>0.9161232525396177</v>
      </c>
      <c r="K47" t="n">
        <v>0.8774354195736861</v>
      </c>
    </row>
    <row r="48">
      <c r="A48" t="inlineStr">
        <is>
          <t>2022-11</t>
        </is>
      </c>
      <c r="B48" t="n">
        <v>20244.574879</v>
      </c>
      <c r="C48" t="n">
        <v>8808.377627</v>
      </c>
      <c r="D48" t="n">
        <v>1933703.604189</v>
      </c>
      <c r="E48" t="n">
        <v>1119904.254538</v>
      </c>
      <c r="F48" t="n">
        <v>0.01046932675470221</v>
      </c>
      <c r="G48" t="n">
        <v>0.007865295261900549</v>
      </c>
      <c r="H48" t="n">
        <v>131.7111886265582</v>
      </c>
      <c r="I48" t="n">
        <v>134.0399027878758</v>
      </c>
      <c r="J48" t="n">
        <v>0.9427861207466001</v>
      </c>
      <c r="K48" t="n">
        <v>0.9240447439178995</v>
      </c>
    </row>
    <row r="49">
      <c r="A49" t="inlineStr">
        <is>
          <t>2022-12</t>
        </is>
      </c>
      <c r="B49" t="n">
        <v>12418.278815</v>
      </c>
      <c r="C49" t="n">
        <v>5832.816239</v>
      </c>
      <c r="D49" t="n">
        <v>1993570.490158</v>
      </c>
      <c r="E49" t="n">
        <v>1286928.214441</v>
      </c>
      <c r="F49" t="n">
        <v>0.006229164645196865</v>
      </c>
      <c r="G49" t="n">
        <v>0.004532355552973548</v>
      </c>
      <c r="H49" t="n">
        <v>282.8237937420726</v>
      </c>
      <c r="I49" t="n">
        <v>303.2697848166857</v>
      </c>
      <c r="J49" t="n">
        <v>1.132810339248927</v>
      </c>
      <c r="K49" t="n">
        <v>1.218528056069729</v>
      </c>
    </row>
    <row r="50">
      <c r="A50" t="inlineStr">
        <is>
          <t>2023-01</t>
        </is>
      </c>
      <c r="B50" t="n">
        <v>26212.558556</v>
      </c>
      <c r="C50" t="n">
        <v>7533.928013</v>
      </c>
      <c r="D50" t="n">
        <v>2103619.427103</v>
      </c>
      <c r="E50" t="n">
        <v>1285071.514345</v>
      </c>
      <c r="F50" t="n">
        <v>0.01246069427686292</v>
      </c>
      <c r="G50" t="n">
        <v>0.005862652723136608</v>
      </c>
      <c r="H50" t="n">
        <v>138.5299886842633</v>
      </c>
      <c r="I50" t="n">
        <v>120.8992864784306</v>
      </c>
      <c r="J50" t="n">
        <v>1.230919869122654</v>
      </c>
      <c r="K50" t="n">
        <v>1.21186632363043</v>
      </c>
    </row>
    <row r="51">
      <c r="A51" t="inlineStr">
        <is>
          <t>2023-02</t>
        </is>
      </c>
      <c r="B51" t="n">
        <v>63219.463193</v>
      </c>
      <c r="C51" t="n">
        <v>21707.823543</v>
      </c>
      <c r="D51" t="n">
        <v>1839036.533325</v>
      </c>
      <c r="E51" t="n">
        <v>1149922.016869</v>
      </c>
      <c r="F51" t="n">
        <v>0.03437640419176364</v>
      </c>
      <c r="G51" t="n">
        <v>0.01887764841837355</v>
      </c>
      <c r="H51" t="n">
        <v>109.8769757213503</v>
      </c>
      <c r="I51" t="n">
        <v>103.112625406295</v>
      </c>
      <c r="J51" t="n">
        <v>0.93008781340266</v>
      </c>
      <c r="K51" t="n">
        <v>1.024478122815962</v>
      </c>
    </row>
    <row r="52">
      <c r="A52" t="inlineStr">
        <is>
          <t>2023-03</t>
        </is>
      </c>
      <c r="B52" t="n">
        <v>117926.203065</v>
      </c>
      <c r="C52" t="n">
        <v>45514.131199</v>
      </c>
      <c r="D52" t="n">
        <v>2088003.623999</v>
      </c>
      <c r="E52" t="n">
        <v>1226920.685605</v>
      </c>
      <c r="F52" t="n">
        <v>0.05647796857705859</v>
      </c>
      <c r="G52" t="n">
        <v>0.03709622939200571</v>
      </c>
      <c r="H52" t="n">
        <v>93.77419094069538</v>
      </c>
      <c r="I52" t="n">
        <v>89.0984689216417</v>
      </c>
      <c r="J52" t="n">
        <v>0.9461253975959896</v>
      </c>
      <c r="K52" t="n">
        <v>0.992236312197012</v>
      </c>
    </row>
    <row r="53">
      <c r="A53" t="inlineStr">
        <is>
          <t>2023-04</t>
        </is>
      </c>
      <c r="B53" t="n">
        <v>268693.946621</v>
      </c>
      <c r="C53" t="n">
        <v>84896.828643</v>
      </c>
      <c r="D53" t="n">
        <v>1780058.090183</v>
      </c>
      <c r="E53" t="n">
        <v>1057641.267809</v>
      </c>
      <c r="F53" t="n">
        <v>0.1509467292684683</v>
      </c>
      <c r="G53" t="n">
        <v>0.08026996603382495</v>
      </c>
      <c r="H53" t="n">
        <v>76.25042822265543</v>
      </c>
      <c r="I53" t="n">
        <v>71.1250997055942</v>
      </c>
      <c r="J53" t="n">
        <v>0.7920396612038634</v>
      </c>
      <c r="K53" t="n">
        <v>0.8502587347820391</v>
      </c>
    </row>
    <row r="54">
      <c r="A54" t="inlineStr">
        <is>
          <t>2023-05</t>
        </is>
      </c>
      <c r="B54" t="n">
        <v>333078.207529</v>
      </c>
      <c r="C54" t="n">
        <v>109787.438132</v>
      </c>
      <c r="D54" t="n">
        <v>1790710.920116</v>
      </c>
      <c r="E54" t="n">
        <v>1016520.156023</v>
      </c>
      <c r="F54" t="n">
        <v>0.18600333743842</v>
      </c>
      <c r="G54" t="n">
        <v>0.1080032082802261</v>
      </c>
      <c r="H54" t="n">
        <v>50.54348776008261</v>
      </c>
      <c r="I54" t="n">
        <v>48.35808379645633</v>
      </c>
      <c r="J54" t="n">
        <v>0.6833361056151995</v>
      </c>
      <c r="K54" t="n">
        <v>0.7310174827054021</v>
      </c>
    </row>
    <row r="55">
      <c r="A55" t="inlineStr">
        <is>
          <t>2023-06</t>
        </is>
      </c>
      <c r="B55" t="n">
        <v>372965.390127</v>
      </c>
      <c r="C55" t="n">
        <v>112587.88752</v>
      </c>
      <c r="D55" t="n">
        <v>1703616.007041</v>
      </c>
      <c r="E55" t="n">
        <v>983949.4203389999</v>
      </c>
      <c r="F55" t="n">
        <v>0.218925737129461</v>
      </c>
      <c r="G55" t="n">
        <v>0.1144244665352921</v>
      </c>
      <c r="H55" t="n">
        <v>74.88898277621806</v>
      </c>
      <c r="I55" t="n">
        <v>71.8620903722224</v>
      </c>
      <c r="J55" t="n">
        <v>0.8096506208621567</v>
      </c>
      <c r="K55" t="n">
        <v>0.7860381991736552</v>
      </c>
    </row>
    <row r="56">
      <c r="A56" t="inlineStr">
        <is>
          <t>2023-07</t>
        </is>
      </c>
      <c r="B56" t="n">
        <v>298235.86587</v>
      </c>
      <c r="C56" t="n">
        <v>99656.298862</v>
      </c>
      <c r="D56" t="n">
        <v>1575506.415176</v>
      </c>
      <c r="E56" t="n">
        <v>976728.1302519999</v>
      </c>
      <c r="F56" t="n">
        <v>0.1892952405634502</v>
      </c>
      <c r="G56" t="n">
        <v>0.1020307450715976</v>
      </c>
      <c r="H56" t="n">
        <v>52.09559943846345</v>
      </c>
      <c r="I56" t="n">
        <v>50.34596661709235</v>
      </c>
      <c r="J56" t="n">
        <v>0.8038042195326093</v>
      </c>
      <c r="K56" t="n">
        <v>0.7717034871247128</v>
      </c>
    </row>
    <row r="57">
      <c r="A57" t="inlineStr">
        <is>
          <t>2023-08</t>
        </is>
      </c>
      <c r="B57" t="n">
        <v>255907.467773</v>
      </c>
      <c r="C57" t="n">
        <v>82116.36521</v>
      </c>
      <c r="D57" t="n">
        <v>1713706.648578</v>
      </c>
      <c r="E57" t="n">
        <v>1053705.895104</v>
      </c>
      <c r="F57" t="n">
        <v>0.1493297980639493</v>
      </c>
      <c r="G57" t="n">
        <v>0.07793101053296771</v>
      </c>
      <c r="H57" t="n">
        <v>74.18042603997819</v>
      </c>
      <c r="I57" t="n">
        <v>72.95799234798741</v>
      </c>
      <c r="J57" t="n">
        <v>0.8628930977720407</v>
      </c>
      <c r="K57" t="n">
        <v>0.8454610410569836</v>
      </c>
    </row>
    <row r="58">
      <c r="A58" t="inlineStr">
        <is>
          <t>2023-09</t>
        </is>
      </c>
      <c r="B58" t="n">
        <v>227433.95988</v>
      </c>
      <c r="C58" t="n">
        <v>81915.823344</v>
      </c>
      <c r="D58" t="n">
        <v>1724074.579394</v>
      </c>
      <c r="E58" t="n">
        <v>1012431.952399</v>
      </c>
      <c r="F58" t="n">
        <v>0.1319165438654872</v>
      </c>
      <c r="G58" t="n">
        <v>0.08090995463931874</v>
      </c>
      <c r="H58" t="n">
        <v>68.11686962339694</v>
      </c>
      <c r="I58" t="n">
        <v>64.3944846724649</v>
      </c>
      <c r="J58" t="n">
        <v>0.8038389922187259</v>
      </c>
      <c r="K58" t="n">
        <v>0.7532917330845335</v>
      </c>
    </row>
    <row r="59">
      <c r="A59" t="inlineStr">
        <is>
          <t>2023-10</t>
        </is>
      </c>
      <c r="B59" t="n">
        <v>88607.899353</v>
      </c>
      <c r="C59" t="n">
        <v>33631.158506</v>
      </c>
      <c r="D59" t="n">
        <v>2067144.151716</v>
      </c>
      <c r="E59" t="n">
        <v>1152844.038478</v>
      </c>
      <c r="F59" t="n">
        <v>0.0428648864567301</v>
      </c>
      <c r="G59" t="n">
        <v>0.02917234021559438</v>
      </c>
      <c r="H59" t="n">
        <v>50.53909051970285</v>
      </c>
      <c r="I59" t="n">
        <v>47.66025509428685</v>
      </c>
      <c r="J59" t="n">
        <v>0.8408360556054226</v>
      </c>
      <c r="K59" t="n">
        <v>0.837234490334641</v>
      </c>
    </row>
    <row r="60">
      <c r="A60" t="inlineStr">
        <is>
          <t>2023-11</t>
        </is>
      </c>
      <c r="B60" t="n">
        <v>33922.773104</v>
      </c>
      <c r="C60" t="n">
        <v>13389.709825</v>
      </c>
      <c r="D60" t="n">
        <v>2119710.488541</v>
      </c>
      <c r="E60" t="n">
        <v>1286251.505036</v>
      </c>
      <c r="F60" t="n">
        <v>0.01600349353715238</v>
      </c>
      <c r="G60" t="n">
        <v>0.0104098691216888</v>
      </c>
      <c r="H60" t="n">
        <v>90.68080556242518</v>
      </c>
      <c r="I60" t="n">
        <v>84.63997860526599</v>
      </c>
      <c r="J60" t="n">
        <v>1.028656893611996</v>
      </c>
      <c r="K60" t="n">
        <v>1.038705241708771</v>
      </c>
    </row>
    <row r="61">
      <c r="A61" t="inlineStr">
        <is>
          <t>2023-12</t>
        </is>
      </c>
      <c r="B61" t="n">
        <v>14877.983984</v>
      </c>
      <c r="C61" t="n">
        <v>5178.388891</v>
      </c>
      <c r="D61" t="n">
        <v>2328139.129225</v>
      </c>
      <c r="E61" t="n">
        <v>1359503.250836</v>
      </c>
      <c r="F61" t="n">
        <v>0.006390504672696534</v>
      </c>
      <c r="G61" t="n">
        <v>0.003809030164374855</v>
      </c>
      <c r="H61" t="n">
        <v>63.45532768878803</v>
      </c>
      <c r="I61" t="n">
        <v>59.06174633307972</v>
      </c>
      <c r="J61" t="n">
        <v>0.9132560776287663</v>
      </c>
      <c r="K61" t="n">
        <v>0.8332670757562848</v>
      </c>
    </row>
    <row r="62">
      <c r="A62" t="inlineStr">
        <is>
          <t>2024-01</t>
        </is>
      </c>
      <c r="B62" t="n">
        <v>31731.322358</v>
      </c>
      <c r="C62" t="n">
        <v>9085.405758999999</v>
      </c>
      <c r="D62" t="n">
        <v>2364975.952358</v>
      </c>
      <c r="E62" t="n">
        <v>1470562.728829</v>
      </c>
      <c r="F62" t="n">
        <v>0.01341718605060752</v>
      </c>
      <c r="G62" t="n">
        <v>0.006178183072975508</v>
      </c>
      <c r="H62" t="n">
        <v>78.57131644167831</v>
      </c>
      <c r="I62" t="n">
        <v>76.42720253521921</v>
      </c>
      <c r="J62" t="n">
        <v>1.051614630458469</v>
      </c>
      <c r="K62" t="n">
        <v>0.977144875107929</v>
      </c>
    </row>
    <row r="63">
      <c r="A63" t="inlineStr">
        <is>
          <t>2024-02</t>
        </is>
      </c>
      <c r="B63" t="n">
        <v>55803.681248</v>
      </c>
      <c r="C63" t="n">
        <v>20855.446145</v>
      </c>
      <c r="D63" t="n">
        <v>2110879.435358</v>
      </c>
      <c r="E63" t="n">
        <v>1250902.937618</v>
      </c>
      <c r="F63" t="n">
        <v>0.0264362238379265</v>
      </c>
      <c r="G63" t="n">
        <v>0.01667231366864759</v>
      </c>
      <c r="H63" t="n">
        <v>59.47948676805509</v>
      </c>
      <c r="I63" t="n">
        <v>51.43437919654775</v>
      </c>
      <c r="J63" t="n">
        <v>1.014420829179444</v>
      </c>
      <c r="K63" t="n">
        <v>0.9399172603334611</v>
      </c>
    </row>
    <row r="64">
      <c r="A64" t="inlineStr">
        <is>
          <t>2024-03</t>
        </is>
      </c>
      <c r="B64" t="n">
        <v>138779.090789</v>
      </c>
      <c r="C64" t="n">
        <v>51238.889885</v>
      </c>
      <c r="D64" t="n">
        <v>2095285.601396</v>
      </c>
      <c r="E64" t="n">
        <v>1246299.983202</v>
      </c>
      <c r="F64" t="n">
        <v>0.06623397340035048</v>
      </c>
      <c r="G64" t="n">
        <v>0.04111280636733766</v>
      </c>
      <c r="H64" t="n">
        <v>51.26978324155493</v>
      </c>
      <c r="I64" t="n">
        <v>50.75116381305344</v>
      </c>
      <c r="J64" t="n">
        <v>0.8373818542217274</v>
      </c>
      <c r="K64" t="n">
        <v>0.8314293202728863</v>
      </c>
    </row>
    <row r="65">
      <c r="A65" t="inlineStr">
        <is>
          <t>2024-04</t>
        </is>
      </c>
      <c r="B65" t="n">
        <v>219419.471626</v>
      </c>
      <c r="C65" t="n">
        <v>75205.28053600001</v>
      </c>
      <c r="D65" t="n">
        <v>2023847.700872</v>
      </c>
      <c r="E65" t="n">
        <v>1154812.326779</v>
      </c>
      <c r="F65" t="n">
        <v>0.1084169878649764</v>
      </c>
      <c r="G65" t="n">
        <v>0.06512337874480645</v>
      </c>
      <c r="H65" t="n">
        <v>49.38394056201121</v>
      </c>
      <c r="I65" t="n">
        <v>47.053967904828</v>
      </c>
      <c r="J65" t="n">
        <v>0.8346846016164379</v>
      </c>
      <c r="K65" t="n">
        <v>0.7780510745637418</v>
      </c>
    </row>
    <row r="66">
      <c r="A66" t="inlineStr">
        <is>
          <t>2024-05</t>
        </is>
      </c>
      <c r="B66" t="n">
        <v>349668.938712</v>
      </c>
      <c r="C66" t="n">
        <v>115253.283773</v>
      </c>
      <c r="D66" t="n">
        <v>1851370.533994</v>
      </c>
      <c r="E66" t="n">
        <v>1084070.108895</v>
      </c>
      <c r="F66" t="n">
        <v>0.1888703164988005</v>
      </c>
      <c r="G66" t="n">
        <v>0.106315341440858</v>
      </c>
      <c r="H66" t="n">
        <v>35.89414827140887</v>
      </c>
      <c r="I66" t="n">
        <v>34.29579411369289</v>
      </c>
      <c r="J66" t="n">
        <v>0.6133984536650869</v>
      </c>
      <c r="K66" t="n">
        <v>0.5900556342707577</v>
      </c>
    </row>
    <row r="67">
      <c r="A67" t="inlineStr">
        <is>
          <t>2024-06</t>
        </is>
      </c>
      <c r="B67" t="n">
        <v>309389.939005</v>
      </c>
      <c r="C67" t="n">
        <v>111949.231057</v>
      </c>
      <c r="D67" t="n">
        <v>1803780.462839</v>
      </c>
      <c r="E67" t="n">
        <v>1043592.771911</v>
      </c>
      <c r="F67" t="n">
        <v>0.1715230569234828</v>
      </c>
      <c r="G67" t="n">
        <v>0.1072729076610999</v>
      </c>
      <c r="H67" t="n">
        <v>47.03763372739765</v>
      </c>
      <c r="I67" t="n">
        <v>46.37938403458337</v>
      </c>
      <c r="J67" t="n">
        <v>0.7378100322386865</v>
      </c>
      <c r="K67" t="n">
        <v>0.6943958569114143</v>
      </c>
    </row>
    <row r="68">
      <c r="A68" t="inlineStr">
        <is>
          <t>2024-07</t>
        </is>
      </c>
      <c r="B68" t="n">
        <v>309397.112206</v>
      </c>
      <c r="C68" t="n">
        <v>108440.6407</v>
      </c>
      <c r="D68" t="n">
        <v>1710262.570829</v>
      </c>
      <c r="E68" t="n">
        <v>1025014.373407</v>
      </c>
      <c r="F68" t="n">
        <v>0.1809062055635286</v>
      </c>
      <c r="G68" t="n">
        <v>0.1057942634887733</v>
      </c>
      <c r="H68" t="n">
        <v>42.52177322309952</v>
      </c>
      <c r="I68" t="n">
        <v>38.81282196947117</v>
      </c>
      <c r="J68" t="n">
        <v>0.685499494870618</v>
      </c>
      <c r="K68" t="n">
        <v>0.6176283845394642</v>
      </c>
    </row>
    <row r="69">
      <c r="A69" t="inlineStr">
        <is>
          <t>2024-08</t>
        </is>
      </c>
      <c r="B69" t="n">
        <v>282770.617507</v>
      </c>
      <c r="C69" t="n">
        <v>102375.74457</v>
      </c>
      <c r="D69" t="n">
        <v>1822897.282346</v>
      </c>
      <c r="E69" t="n">
        <v>1092697.568065</v>
      </c>
      <c r="F69" t="n">
        <v>0.155121531117258</v>
      </c>
      <c r="G69" t="n">
        <v>0.0936908322687052</v>
      </c>
      <c r="H69" t="n">
        <v>52.17121747504909</v>
      </c>
      <c r="I69" t="n">
        <v>47.15186311829253</v>
      </c>
      <c r="J69" t="n">
        <v>0.7151267621934952</v>
      </c>
      <c r="K69" t="n">
        <v>0.6493471479229646</v>
      </c>
    </row>
    <row r="70">
      <c r="A70" t="inlineStr">
        <is>
          <t>2024-09</t>
        </is>
      </c>
      <c r="B70" t="n">
        <v>233870.254059</v>
      </c>
      <c r="C70" t="n">
        <v>77480.49970099999</v>
      </c>
      <c r="D70" t="n">
        <v>1833460.813231</v>
      </c>
      <c r="E70" t="n">
        <v>1069239.237093</v>
      </c>
      <c r="F70" t="n">
        <v>0.1275567235314205</v>
      </c>
      <c r="G70" t="n">
        <v>0.07246320282040017</v>
      </c>
      <c r="H70" t="n">
        <v>45.64750462621701</v>
      </c>
      <c r="I70" t="n">
        <v>43.35594635084219</v>
      </c>
      <c r="J70" t="n">
        <v>0.636525223039573</v>
      </c>
      <c r="K70" t="n">
        <v>0.6157480113547513</v>
      </c>
    </row>
    <row r="71">
      <c r="A71" t="inlineStr">
        <is>
          <t>2024-10</t>
        </is>
      </c>
      <c r="B71" t="n">
        <v>129355.061464</v>
      </c>
      <c r="C71" t="n">
        <v>43302.346201</v>
      </c>
      <c r="D71" t="n">
        <v>2057377.279789</v>
      </c>
      <c r="E71" t="n">
        <v>1198009.186211</v>
      </c>
      <c r="F71" t="n">
        <v>0.06287376784741511</v>
      </c>
      <c r="G71" t="n">
        <v>0.03614525389237988</v>
      </c>
      <c r="H71" t="n">
        <v>58.44158378709199</v>
      </c>
      <c r="I71" t="n">
        <v>59.53493763028656</v>
      </c>
      <c r="J71" t="n">
        <v>0.7617518807592967</v>
      </c>
      <c r="K71" t="n">
        <v>0.7800073506793195</v>
      </c>
    </row>
    <row r="72">
      <c r="A72" t="inlineStr">
        <is>
          <t>2024-11</t>
        </is>
      </c>
      <c r="B72" t="n">
        <v>38733.976426</v>
      </c>
      <c r="C72" t="n">
        <v>10987.964833</v>
      </c>
      <c r="D72" t="n">
        <v>2174963.045875</v>
      </c>
      <c r="E72" t="n">
        <v>1277248.331705</v>
      </c>
      <c r="F72" t="n">
        <v>0.01780902737610289</v>
      </c>
      <c r="G72" t="n">
        <v>0.008602841405423608</v>
      </c>
      <c r="H72" t="n">
        <v>97.58235261633192</v>
      </c>
      <c r="I72" t="n">
        <v>89.61127747791728</v>
      </c>
      <c r="J72" t="n">
        <v>1.017494003861172</v>
      </c>
      <c r="K72" t="n">
        <v>0.9404779955101509</v>
      </c>
    </row>
    <row r="73">
      <c r="A73" t="inlineStr">
        <is>
          <t>2024-12</t>
        </is>
      </c>
      <c r="B73" t="n">
        <v>15568.468532</v>
      </c>
      <c r="C73" t="n">
        <v>5684.869506</v>
      </c>
      <c r="D73" t="n">
        <v>2294272.467635</v>
      </c>
      <c r="E73" t="n">
        <v>1362798.149534</v>
      </c>
      <c r="F73" t="n">
        <v>0.006785797568345668</v>
      </c>
      <c r="G73" t="n">
        <v>0.004171468465776758</v>
      </c>
      <c r="H73" t="n">
        <v>92.07321769383398</v>
      </c>
      <c r="I73" t="n">
        <v>100.7961313991171</v>
      </c>
      <c r="J73" t="n">
        <v>1.002567416041121</v>
      </c>
      <c r="K73" t="n">
        <v>1.087006718547946</v>
      </c>
    </row>
    <row r="74">
      <c r="A74" t="inlineStr">
        <is>
          <t>2025-01</t>
        </is>
      </c>
      <c r="B74" t="n">
        <v>33208.839206</v>
      </c>
      <c r="C74" t="n">
        <v>10531.488373</v>
      </c>
      <c r="D74" t="n">
        <v>2431002.223899</v>
      </c>
      <c r="E74" t="n">
        <v>1458000.573574</v>
      </c>
      <c r="F74" t="n">
        <v>0.01366055484422285</v>
      </c>
      <c r="G74" t="n">
        <v>0.007223240212576967</v>
      </c>
      <c r="H74" t="n">
        <v>111.1945655985155</v>
      </c>
      <c r="I74" t="n">
        <v>115.0822593270056</v>
      </c>
      <c r="J74" t="n">
        <v>1.135032584901597</v>
      </c>
      <c r="K74" t="n">
        <v>1.149400364807902</v>
      </c>
    </row>
    <row r="75">
      <c r="A75" t="inlineStr">
        <is>
          <t>2025-02</t>
        </is>
      </c>
      <c r="B75" t="n">
        <v>93605.692505</v>
      </c>
      <c r="C75" t="n">
        <v>26634.512461</v>
      </c>
      <c r="D75" t="n">
        <v>2155822.962405</v>
      </c>
      <c r="E75" t="n">
        <v>1324552.417662</v>
      </c>
      <c r="F75" t="n">
        <v>0.04341993481717769</v>
      </c>
      <c r="G75" t="n">
        <v>0.02010831138567791</v>
      </c>
      <c r="H75" t="n">
        <v>105.4131597378828</v>
      </c>
      <c r="I75" t="n">
        <v>106.9231820731682</v>
      </c>
      <c r="J75" t="n">
        <v>0.9341166514187298</v>
      </c>
      <c r="K75" t="n">
        <v>0.9066238427133391</v>
      </c>
    </row>
    <row r="76">
      <c r="A76" t="inlineStr">
        <is>
          <t>2025-03</t>
        </is>
      </c>
      <c r="B76" t="n">
        <v>252559.977828</v>
      </c>
      <c r="C76" t="n">
        <v>62220.747729</v>
      </c>
      <c r="D76" t="n">
        <v>2253602.272764</v>
      </c>
      <c r="E76" t="n">
        <v>1336704.611354</v>
      </c>
      <c r="F76" t="n">
        <v>0.1120694547038418</v>
      </c>
      <c r="G76" t="n">
        <v>0.04654786644745259</v>
      </c>
      <c r="H76" t="n">
        <v>57.84566339627056</v>
      </c>
      <c r="I76" t="n">
        <v>50.01806296126875</v>
      </c>
      <c r="J76" t="n">
        <v>0.6857908168802248</v>
      </c>
      <c r="K76" t="n">
        <v>0.603741164715803</v>
      </c>
    </row>
    <row r="77">
      <c r="A77" t="inlineStr">
        <is>
          <t>2025-04</t>
        </is>
      </c>
      <c r="B77" t="n">
        <v>293601.898332</v>
      </c>
      <c r="C77" t="n">
        <v>82792.81434700001</v>
      </c>
      <c r="D77" t="n">
        <v>1980110.827234</v>
      </c>
      <c r="E77" t="n">
        <v>1154876.052525</v>
      </c>
      <c r="F77" t="n">
        <v>0.1482754875605271</v>
      </c>
      <c r="G77" t="n">
        <v>0.07168978364906199</v>
      </c>
      <c r="H77" t="n">
        <v>45.84439577068735</v>
      </c>
      <c r="I77" t="n">
        <v>41.82584156307518</v>
      </c>
      <c r="J77" t="n">
        <v>0.609953535618325</v>
      </c>
      <c r="K77" t="n">
        <v>0.5517436798810373</v>
      </c>
    </row>
    <row r="78">
      <c r="A78" t="inlineStr">
        <is>
          <t>2025-05</t>
        </is>
      </c>
      <c r="B78" t="n">
        <v>397509.243603</v>
      </c>
      <c r="C78" t="n">
        <v>113057.598037</v>
      </c>
      <c r="D78" t="n">
        <v>2065576.663217</v>
      </c>
      <c r="E78" t="n">
        <v>1193671.961218</v>
      </c>
      <c r="F78" t="n">
        <v>0.1924446817596716</v>
      </c>
      <c r="G78" t="n">
        <v>0.09471412725623395</v>
      </c>
      <c r="H78" t="n">
        <v>40.06566739400938</v>
      </c>
      <c r="I78" t="n">
        <v>34.32066034459122</v>
      </c>
      <c r="J78" t="n">
        <v>0.6237511742318941</v>
      </c>
      <c r="K78" t="n">
        <v>0.544059463307295</v>
      </c>
    </row>
    <row r="79">
      <c r="A79" t="inlineStr">
        <is>
          <t>2025-06</t>
        </is>
      </c>
      <c r="B79" t="n">
        <v>359402.57469</v>
      </c>
      <c r="C79" t="n">
        <v>111060.812454</v>
      </c>
      <c r="D79" t="n">
        <v>1913259.738092</v>
      </c>
      <c r="E79" t="n">
        <v>1112541.164641</v>
      </c>
      <c r="F79" t="n">
        <v>0.1878482923852328</v>
      </c>
      <c r="G79" t="n">
        <v>0.09982625001551076</v>
      </c>
      <c r="H79" t="n">
        <v>33.4933819651966</v>
      </c>
      <c r="I79" t="n">
        <v>24.31568572006325</v>
      </c>
      <c r="J79" t="n">
        <v>0.569764321286333</v>
      </c>
      <c r="K79" t="n">
        <v>0.4307606652121766</v>
      </c>
    </row>
    <row r="80">
      <c r="A80" t="inlineStr">
        <is>
          <t>2025-07</t>
        </is>
      </c>
      <c r="B80" t="n">
        <v>396316.684231</v>
      </c>
      <c r="C80" t="n">
        <v>101510.030788</v>
      </c>
      <c r="D80" t="n">
        <v>1815618.725797</v>
      </c>
      <c r="E80" t="n">
        <v>1079935.080674</v>
      </c>
      <c r="F80" t="n">
        <v>0.2182818884824121</v>
      </c>
      <c r="G80" t="n">
        <v>0.09399641941869914</v>
      </c>
      <c r="H80" t="n">
        <v>61.32224821093979</v>
      </c>
      <c r="I80" t="n">
        <v>59.76694388214769</v>
      </c>
      <c r="J80" t="n">
        <v>0.7405896710838001</v>
      </c>
      <c r="K80" t="n">
        <v>0.7474634186196619</v>
      </c>
    </row>
    <row r="81">
      <c r="A81" t="inlineStr">
        <is>
          <t>2025-08</t>
        </is>
      </c>
      <c r="B81" t="n">
        <v>372338.388648</v>
      </c>
      <c r="C81" t="n">
        <v>120273.215363</v>
      </c>
      <c r="D81" t="n">
        <v>1958471.37159</v>
      </c>
      <c r="E81" t="n">
        <v>1137466.467356</v>
      </c>
      <c r="F81" t="n">
        <v>0.1901168401280812</v>
      </c>
      <c r="G81" t="n">
        <v>0.1057378118957395</v>
      </c>
      <c r="H81" t="n">
        <v>47.75582456745756</v>
      </c>
      <c r="I81" t="n">
        <v>43.06460478354486</v>
      </c>
      <c r="J81" t="n">
        <v>0.6499711234459455</v>
      </c>
      <c r="K81" t="n">
        <v>0.5717894234335987</v>
      </c>
    </row>
    <row r="82">
      <c r="A82" t="inlineStr">
        <is>
          <t>2025-09</t>
        </is>
      </c>
      <c r="B82" t="n">
        <v>276773.477581</v>
      </c>
      <c r="C82" t="n">
        <v>103716.79363</v>
      </c>
      <c r="D82" t="n">
        <v>2003260.119511</v>
      </c>
      <c r="E82" t="n">
        <v>1144412.178422</v>
      </c>
      <c r="F82" t="n">
        <v>0.1381615272451792</v>
      </c>
      <c r="G82" t="n">
        <v>0.09062887968652376</v>
      </c>
      <c r="H82" t="n">
        <v>49.42909499605724</v>
      </c>
      <c r="I82" t="n">
        <v>52.94940515380836</v>
      </c>
      <c r="J82" t="n">
        <v>0.6827347489865859</v>
      </c>
      <c r="K82" t="n">
        <v>0.635731600833678</v>
      </c>
    </row>
    <row r="83">
      <c r="A83" t="inlineStr">
        <is>
          <t>2025-10</t>
        </is>
      </c>
      <c r="B83" t="n">
        <v>154017.702867</v>
      </c>
      <c r="C83" t="n">
        <v>50955.896822</v>
      </c>
      <c r="D83" t="n">
        <v>2217292.116427</v>
      </c>
      <c r="E83" t="n">
        <v>1287638.920307</v>
      </c>
      <c r="F83" t="n">
        <v>0.06946207120205163</v>
      </c>
      <c r="G83" t="n">
        <v>0.03957312567862663</v>
      </c>
      <c r="H83" t="n">
        <v>74.26663453789526</v>
      </c>
      <c r="I83" t="n">
        <v>78.64573032240668</v>
      </c>
      <c r="J83" t="n">
        <v>0.9470151719348058</v>
      </c>
      <c r="K83" t="n">
        <v>0.9548084008156305</v>
      </c>
    </row>
    <row r="84">
      <c r="A84" t="inlineStr">
        <is>
          <t>2025-11</t>
        </is>
      </c>
      <c r="B84" t="n">
        <v>60851.909855</v>
      </c>
      <c r="C84" t="n">
        <v>20061.266566</v>
      </c>
      <c r="D84" t="n">
        <v>2287238.397006</v>
      </c>
      <c r="E84" t="n">
        <v>1379383.827567</v>
      </c>
      <c r="F84" t="n">
        <v>0.02660497040214753</v>
      </c>
      <c r="G84" t="n">
        <v>0.01454364344794783</v>
      </c>
      <c r="H84" t="n">
        <v>95.56453180252134</v>
      </c>
      <c r="I84" t="n">
        <v>92.69045487153267</v>
      </c>
      <c r="J84" t="n">
        <v>1.028976430956097</v>
      </c>
      <c r="K84" t="n">
        <v>0.9892725129496999</v>
      </c>
    </row>
    <row r="85">
      <c r="A85" t="inlineStr">
        <is>
          <t>2025-12</t>
        </is>
      </c>
      <c r="B85" t="n">
        <v>32931.052192</v>
      </c>
      <c r="C85" t="n">
        <v>13184.950536</v>
      </c>
      <c r="D85" t="n">
        <v>2347966.742866</v>
      </c>
      <c r="E85" t="n">
        <v>1453769.599872</v>
      </c>
      <c r="F85" t="n">
        <v>0.0140253486520015</v>
      </c>
      <c r="G85" t="n">
        <v>0.00906949116088333</v>
      </c>
      <c r="H85" t="n">
        <v>80.95803424278026</v>
      </c>
      <c r="I85" t="n">
        <v>79.63122802208366</v>
      </c>
      <c r="J85" t="n">
        <v>0.9820538861792604</v>
      </c>
      <c r="K85" t="n">
        <v>0.9701479625359415</v>
      </c>
    </row>
  </sheetData>
  <pageMargins left="0.7" right="0.7" top="0.75" bottom="0.75" header="0.3" footer="0.3"/>
  <drawing xmlns:r="http://schemas.openxmlformats.org/officeDocument/2006/relationships" r:id="rId1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K42"/>
  <sheetViews>
    <sheetView showGridLines="0" workbookViewId="0">
      <selection activeCell="S12" sqref="S12"/>
    </sheetView>
  </sheetViews>
  <sheetFormatPr baseColWidth="10" defaultRowHeight="16"/>
  <cols>
    <col width="2.83203125" customWidth="1" style="37" min="1" max="1"/>
    <col width="27.83203125" bestFit="1" customWidth="1" style="37" min="2" max="2"/>
    <col width="20.1640625" bestFit="1" customWidth="1" style="37" min="3" max="3"/>
    <col width="22.1640625" bestFit="1" customWidth="1" style="37" min="4" max="4"/>
    <col width="10.83203125" customWidth="1" style="37" min="5" max="5"/>
    <col width="15.5" bestFit="1" customWidth="1" style="37" min="6" max="6"/>
    <col width="2.83203125" customWidth="1" style="37" min="7" max="7"/>
    <col width="10.83203125" customWidth="1" style="37" min="8" max="15"/>
    <col width="10.83203125" customWidth="1" style="37" min="16" max="16384"/>
  </cols>
  <sheetData>
    <row r="1" customFormat="1" s="36">
      <c r="A1" t="inlineStr">
        <is>
          <t>ADF TEST RESULTS — DK1 PRIMARY</t>
        </is>
      </c>
      <c r="G1" t="inlineStr">
        <is>
          <t>Lags</t>
        </is>
      </c>
      <c r="H1" t="inlineStr">
        <is>
          <t>DK1 Full</t>
        </is>
      </c>
      <c r="I1" t="inlineStr">
        <is>
          <t>DK1 ex-2022</t>
        </is>
      </c>
      <c r="J1" t="inlineStr">
        <is>
          <t>DK1 post-crisis</t>
        </is>
      </c>
      <c r="K1" t="inlineStr">
        <is>
          <t>CV 5%</t>
        </is>
      </c>
    </row>
    <row r="2" ht="45" customFormat="1" customHeight="1" s="36">
      <c r="A2" t="inlineStr">
        <is>
          <t>Sample</t>
        </is>
      </c>
      <c r="B2" t="inlineStr">
        <is>
          <t>Lags=0</t>
        </is>
      </c>
      <c r="C2" t="inlineStr">
        <is>
          <t>Lags=1</t>
        </is>
      </c>
      <c r="D2" t="inlineStr">
        <is>
          <t>Lags=2</t>
        </is>
      </c>
      <c r="E2" t="inlineStr">
        <is>
          <t>Conclusion</t>
        </is>
      </c>
      <c r="G2" t="n">
        <v>0</v>
      </c>
      <c r="H2" t="n">
        <v>-2.7049</v>
      </c>
      <c r="I2" t="n">
        <v>-2.7732</v>
      </c>
      <c r="J2" t="n">
        <v>-3.435</v>
      </c>
      <c r="K2" t="n">
        <v>-2.89</v>
      </c>
    </row>
    <row r="3">
      <c r="A3" t="inlineStr">
        <is>
          <t>DK1 Full (2019-2025)</t>
        </is>
      </c>
      <c r="B3" t="n">
        <v>-2.7049</v>
      </c>
      <c r="C3" t="n">
        <v>-2.5651</v>
      </c>
      <c r="D3" t="n">
        <v>-1.782</v>
      </c>
      <c r="E3" t="inlineStr">
        <is>
          <t>Weakly stationary</t>
        </is>
      </c>
      <c r="G3" t="n">
        <v>1</v>
      </c>
      <c r="H3" t="n">
        <v>-2.5651</v>
      </c>
      <c r="I3" t="n">
        <v>-2.3519</v>
      </c>
      <c r="J3" t="n">
        <v>-3.4777</v>
      </c>
      <c r="K3" t="n">
        <v>-2.89</v>
      </c>
    </row>
    <row r="4" ht="16" customHeight="1" s="133">
      <c r="A4" t="inlineStr">
        <is>
          <t>DK1 Full ex-2022 (primary)</t>
        </is>
      </c>
      <c r="B4" t="n">
        <v>-2.7732</v>
      </c>
      <c r="C4" t="n">
        <v>-2.3519</v>
      </c>
      <c r="D4" t="n">
        <v>-1.8495</v>
      </c>
      <c r="E4" t="inlineStr">
        <is>
          <t>Stationary at 5%</t>
        </is>
      </c>
      <c r="G4" t="n">
        <v>2</v>
      </c>
      <c r="H4" t="n">
        <v>-1.782</v>
      </c>
      <c r="I4" t="n">
        <v>-1.8495</v>
      </c>
      <c r="J4" t="n">
        <v>-2.6639</v>
      </c>
      <c r="K4" t="n">
        <v>-2.89</v>
      </c>
    </row>
    <row r="5" ht="16" customFormat="1" customHeight="1" s="38">
      <c r="A5" t="inlineStr">
        <is>
          <t>DK1 Post-crisis 2023-2025</t>
        </is>
      </c>
      <c r="B5" t="n">
        <v>-3.435</v>
      </c>
      <c r="C5" t="n">
        <v>-3.4777</v>
      </c>
      <c r="D5" t="n">
        <v>-2.6639</v>
      </c>
      <c r="E5" t="inlineStr">
        <is>
          <t>Stationary at 1%</t>
        </is>
      </c>
      <c r="G5" t="n">
        <v>3</v>
      </c>
      <c r="H5" t="n">
        <v>-1.6911</v>
      </c>
      <c r="I5" t="n">
        <v>-1.8987</v>
      </c>
      <c r="J5" t="n">
        <v>-3.0968</v>
      </c>
      <c r="K5" t="n">
        <v>-2.89</v>
      </c>
    </row>
    <row r="6" customFormat="1" s="38">
      <c r="A6" t="inlineStr">
        <is>
          <t>DK2 Full ex-2022 (robustness)</t>
        </is>
      </c>
      <c r="B6" t="n">
        <v>-3.1475</v>
      </c>
      <c r="C6" t="n">
        <v>-2.5148</v>
      </c>
      <c r="D6" t="n">
        <v>-1.8943</v>
      </c>
      <c r="E6" t="inlineStr">
        <is>
          <t>Robustness</t>
        </is>
      </c>
      <c r="G6" t="n">
        <v>4</v>
      </c>
      <c r="H6" t="n">
        <v>-1.6501</v>
      </c>
      <c r="I6" t="n">
        <v>-1.8872</v>
      </c>
      <c r="J6" t="n">
        <v>-2.9904</v>
      </c>
      <c r="K6" t="n">
        <v>-2.89</v>
      </c>
    </row>
    <row r="7" customFormat="1" s="38">
      <c r="A7" t="inlineStr">
        <is>
          <t>Critical values: 1% = -3.51</t>
        </is>
      </c>
      <c r="B7" t="inlineStr">
        <is>
          <t>5% = -2.89</t>
        </is>
      </c>
      <c r="C7" t="inlineStr">
        <is>
          <t>10% = -2.58</t>
        </is>
      </c>
    </row>
    <row r="8" customFormat="1" s="38"/>
    <row r="9" customFormat="1" s="38"/>
    <row r="10" customFormat="1" s="38">
      <c r="A10" t="inlineStr">
        <is>
          <t>OU PARAMETER ESTIMATES</t>
        </is>
      </c>
    </row>
    <row r="11" customFormat="1" s="38">
      <c r="A11" t="inlineStr">
        <is>
          <t>Parameter</t>
        </is>
      </c>
      <c r="B11" t="inlineStr">
        <is>
          <t>DK1 ex-2022 (primary)</t>
        </is>
      </c>
      <c r="C11" t="inlineStr">
        <is>
          <t>DK1 post-crisis</t>
        </is>
      </c>
      <c r="D11" t="inlineStr">
        <is>
          <t>DK2 ex-2022</t>
        </is>
      </c>
      <c r="E11" t="inlineStr">
        <is>
          <t>DK2 post-crisis</t>
        </is>
      </c>
    </row>
    <row r="12" ht="16" customFormat="1" customHeight="1" s="38">
      <c r="A12" t="inlineStr">
        <is>
          <t>Long-run mean (mu) EUR/MWh</t>
        </is>
      </c>
      <c r="B12" t="n">
        <v>68.29470000000001</v>
      </c>
      <c r="C12" t="n">
        <v>77.68510000000001</v>
      </c>
      <c r="D12" t="n">
        <v>67.3754</v>
      </c>
      <c r="E12" t="n">
        <v>77.2663</v>
      </c>
    </row>
    <row r="13" ht="16" customFormat="1" customHeight="1" s="38">
      <c r="A13" t="inlineStr">
        <is>
          <t>Mean reversion (kappa) /month</t>
        </is>
      </c>
      <c r="B13" t="n">
        <v>0.1401</v>
      </c>
      <c r="C13" t="n">
        <v>0.5931</v>
      </c>
      <c r="D13" t="n">
        <v>0.1928</v>
      </c>
      <c r="E13" t="n">
        <v>0.7383</v>
      </c>
    </row>
    <row r="14" customFormat="1" s="38">
      <c r="A14" t="inlineStr">
        <is>
          <t>Volatility (sigma) EUR/MWh</t>
        </is>
      </c>
      <c r="B14" t="n">
        <v>17.5069</v>
      </c>
      <c r="C14" t="n">
        <v>16.815</v>
      </c>
      <c r="D14" t="n">
        <v>19.3572</v>
      </c>
      <c r="E14" t="n">
        <v>18.0415</v>
      </c>
    </row>
    <row r="15" customFormat="1" s="38">
      <c r="A15" t="inlineStr">
        <is>
          <t>Half-life (months)</t>
        </is>
      </c>
      <c r="B15" t="n">
        <v>4.95</v>
      </c>
      <c r="C15" t="n">
        <v>1.17</v>
      </c>
      <c r="D15" t="n">
        <v>3.59</v>
      </c>
      <c r="E15" t="n">
        <v>0.9399999999999999</v>
      </c>
    </row>
    <row r="16" customFormat="1" s="38">
      <c r="A16" t="inlineStr">
        <is>
          <t>Observations</t>
        </is>
      </c>
      <c r="B16" t="n">
        <v>72</v>
      </c>
      <c r="C16" t="n">
        <v>36</v>
      </c>
      <c r="D16" t="n">
        <v>72</v>
      </c>
      <c r="E16" t="n">
        <v>36</v>
      </c>
    </row>
    <row r="17" customFormat="1" s="38"/>
    <row r="18" customFormat="1" s="38"/>
    <row r="19" customFormat="1" s="38">
      <c r="A19" t="inlineStr">
        <is>
          <t>SEASONAL COEFFICIENTS (OLS) — DK1 PRIMARY vs DK2 ROBUSTNESS</t>
        </is>
      </c>
    </row>
    <row r="20" customFormat="1" s="38">
      <c r="A20" t="inlineStr">
        <is>
          <t>Month</t>
        </is>
      </c>
      <c r="B20" t="inlineStr">
        <is>
          <t>DK1 Coefficient (EUR/MWh)</t>
        </is>
      </c>
      <c r="C20" t="inlineStr">
        <is>
          <t>DK2 Coefficient (EUR/MWh)</t>
        </is>
      </c>
    </row>
    <row r="21" ht="16" customFormat="1" customHeight="1" s="38">
      <c r="A21" t="inlineStr">
        <is>
          <t>Jan</t>
        </is>
      </c>
      <c r="B21" t="n">
        <v>75.53</v>
      </c>
      <c r="C21" t="n">
        <v>74.23</v>
      </c>
    </row>
    <row r="22" ht="16" customFormat="1" customHeight="1" s="38">
      <c r="A22" t="inlineStr">
        <is>
          <t>Feb</t>
        </is>
      </c>
      <c r="B22" t="n">
        <v>72.91</v>
      </c>
      <c r="C22" t="n">
        <v>70.13</v>
      </c>
    </row>
    <row r="23" ht="16" customFormat="1" customHeight="1" s="38">
      <c r="A23" t="inlineStr">
        <is>
          <t>Mar</t>
        </is>
      </c>
      <c r="B23" t="n">
        <v>82.51000000000001</v>
      </c>
      <c r="C23" t="n">
        <v>80.58</v>
      </c>
    </row>
    <row r="24" ht="16" customFormat="1" customHeight="1" s="38">
      <c r="A24" t="inlineStr">
        <is>
          <t>Apr</t>
        </is>
      </c>
      <c r="B24" t="n">
        <v>70.83</v>
      </c>
      <c r="C24" t="n">
        <v>68.27</v>
      </c>
    </row>
    <row r="25" ht="16" customFormat="1" customHeight="1" s="38">
      <c r="A25" t="inlineStr">
        <is>
          <t>May</t>
        </is>
      </c>
      <c r="B25" t="n">
        <v>68.05</v>
      </c>
      <c r="C25" t="n">
        <v>66.06</v>
      </c>
    </row>
    <row r="26" ht="16" customFormat="1" customHeight="1" s="38">
      <c r="A26" t="inlineStr">
        <is>
          <t>Jun</t>
        </is>
      </c>
      <c r="B26" t="n">
        <v>80.33</v>
      </c>
      <c r="C26" t="n">
        <v>80.7</v>
      </c>
    </row>
    <row r="27" ht="16" customFormat="1" customHeight="1" s="38">
      <c r="A27" t="inlineStr">
        <is>
          <t>Jul</t>
        </is>
      </c>
      <c r="B27" t="n">
        <v>89.73</v>
      </c>
      <c r="C27" t="n">
        <v>83.98</v>
      </c>
    </row>
    <row r="28" ht="16" customFormat="1" customHeight="1" s="38">
      <c r="A28" t="inlineStr">
        <is>
          <t>Aug</t>
        </is>
      </c>
      <c r="B28" t="n">
        <v>120.62</v>
      </c>
      <c r="C28" t="n">
        <v>121.25</v>
      </c>
    </row>
    <row r="29" ht="16" customFormat="1" customHeight="1" s="38">
      <c r="A29" t="inlineStr">
        <is>
          <t>Sep</t>
        </is>
      </c>
      <c r="B29" t="n">
        <v>110.14</v>
      </c>
      <c r="C29" t="n">
        <v>109.82</v>
      </c>
    </row>
    <row r="30" ht="16" customFormat="1" customHeight="1" s="38">
      <c r="A30" t="inlineStr">
        <is>
          <t>Oct</t>
        </is>
      </c>
      <c r="B30" t="n">
        <v>76.23</v>
      </c>
      <c r="C30" t="n">
        <v>75.43000000000001</v>
      </c>
    </row>
    <row r="31" ht="16" customFormat="1" customHeight="1" s="38">
      <c r="A31" t="inlineStr">
        <is>
          <t>Nov</t>
        </is>
      </c>
      <c r="B31" t="n">
        <v>89.13</v>
      </c>
      <c r="C31" t="n">
        <v>90.04000000000001</v>
      </c>
    </row>
    <row r="32" ht="16" customFormat="1" customHeight="1" s="38">
      <c r="A32" t="inlineStr">
        <is>
          <t>Dec</t>
        </is>
      </c>
      <c r="B32" t="n">
        <v>107.33</v>
      </c>
      <c r="C32" t="n">
        <v>108.61</v>
      </c>
    </row>
    <row r="33" ht="16" customFormat="1" customHeight="1" s="38"/>
    <row r="34" ht="16" customFormat="1" customHeight="1" s="38"/>
    <row r="35" ht="16" customFormat="1" customHeight="1" s="38">
      <c r="A35" t="inlineStr">
        <is>
          <t>CANNIBALISATION REGRESSION</t>
        </is>
      </c>
    </row>
    <row r="36" ht="16" customFormat="1" customHeight="1" s="38">
      <c r="A36" t="inlineStr">
        <is>
          <t>Parameter</t>
        </is>
      </c>
      <c r="B36" t="inlineStr">
        <is>
          <t>DK1 (primary)</t>
        </is>
      </c>
      <c r="C36" t="inlineStr">
        <is>
          <t>DK2 (robustness)</t>
        </is>
      </c>
    </row>
    <row r="37" ht="16" customFormat="1" customHeight="1" s="38">
      <c r="A37" t="inlineStr">
        <is>
          <t>Intercept (b0)</t>
        </is>
      </c>
      <c r="B37" t="n">
        <v>1.0513</v>
      </c>
      <c r="C37" t="n">
        <v>1.093</v>
      </c>
    </row>
    <row r="38" ht="16" customFormat="1" customHeight="1" s="38">
      <c r="A38" t="inlineStr">
        <is>
          <t>Slope (b1)</t>
        </is>
      </c>
      <c r="B38" t="n">
        <v>-2.0262</v>
      </c>
      <c r="C38" t="n">
        <v>-4.3648</v>
      </c>
    </row>
    <row r="39" customFormat="1" s="38">
      <c r="A39" t="inlineStr">
        <is>
          <t>R-squared</t>
        </is>
      </c>
      <c r="B39" t="n">
        <v>0.6657999999999999</v>
      </c>
      <c r="C39" t="n">
        <v>0.6409</v>
      </c>
    </row>
    <row r="40" customFormat="1" s="38">
      <c r="A40" t="inlineStr">
        <is>
          <t>p-value (b1)</t>
        </is>
      </c>
      <c r="B40" t="n">
        <v>0</v>
      </c>
      <c r="C40" t="n">
        <v>0</v>
      </c>
    </row>
    <row r="41" customFormat="1" s="38">
      <c r="A41" t="inlineStr">
        <is>
          <t>Sign check</t>
        </is>
      </c>
      <c r="B41" t="inlineStr">
        <is>
          <t>PASS</t>
        </is>
      </c>
      <c r="C41" t="inlineStr">
        <is>
          <t>PASS</t>
        </is>
      </c>
    </row>
    <row r="42" customFormat="1" s="38">
      <c r="A42" t="inlineStr">
        <is>
          <t>Observations</t>
        </is>
      </c>
      <c r="B42" t="n">
        <v>72</v>
      </c>
      <c r="C42" t="n">
        <v>72</v>
      </c>
    </row>
    <row r="43" customFormat="1" s="38"/>
    <row r="44" customFormat="1" s="38"/>
    <row r="45" customFormat="1" s="38"/>
  </sheetData>
  <pageMargins left="0.7" right="0.7" top="0.75" bottom="0.75" header="0.3" footer="0.3"/>
  <drawing xmlns:r="http://schemas.openxmlformats.org/officeDocument/2006/relationships" r:id="rId1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O301"/>
  <sheetViews>
    <sheetView showGridLines="0" workbookViewId="0">
      <selection activeCell="K22" sqref="K22"/>
    </sheetView>
  </sheetViews>
  <sheetFormatPr baseColWidth="10" defaultRowHeight="15"/>
  <cols>
    <col width="6.33203125" bestFit="1" customWidth="1" style="41" min="1" max="1"/>
    <col width="10.83203125" customWidth="1" style="41" min="2" max="3"/>
    <col width="16" bestFit="1" customWidth="1" style="41" min="4" max="4"/>
    <col width="10.83203125" customWidth="1" style="41" min="5" max="10"/>
    <col width="37.33203125" bestFit="1" customWidth="1" style="41" min="11" max="11"/>
    <col width="15.33203125" customWidth="1" style="41" min="12" max="12"/>
    <col width="10.83203125" customWidth="1" style="41" min="13" max="15"/>
    <col width="13.1640625" customWidth="1" style="41" min="16" max="16"/>
    <col width="10.83203125" customWidth="1" style="41" min="17" max="24"/>
    <col width="10.83203125" customWidth="1" style="41" min="25" max="16384"/>
  </cols>
  <sheetData>
    <row r="1" ht="16" customFormat="1" customHeight="1" s="2">
      <c r="A1" t="inlineStr">
        <is>
          <t>Month</t>
        </is>
      </c>
      <c r="B1" t="inlineStr">
        <is>
          <t>Year</t>
        </is>
      </c>
      <c r="C1" t="inlineStr">
        <is>
          <t>mu_capture</t>
        </is>
      </c>
      <c r="D1" t="inlineStr">
        <is>
          <t>P50</t>
        </is>
      </c>
      <c r="E1" t="inlineStr">
        <is>
          <t>P75</t>
        </is>
      </c>
      <c r="F1" t="inlineStr">
        <is>
          <t>P90</t>
        </is>
      </c>
      <c r="G1" t="inlineStr">
        <is>
          <t>P25</t>
        </is>
      </c>
      <c r="H1" t="inlineStr">
        <is>
          <t>P10</t>
        </is>
      </c>
      <c r="I1" t="inlineStr">
        <is>
          <t>P1</t>
        </is>
      </c>
      <c r="K1" t="inlineStr">
        <is>
          <t>MC SIMULATION SUMMARY — DK1 PRIMARY</t>
        </is>
      </c>
    </row>
    <row r="2" ht="45" customFormat="1" customHeight="1" s="2">
      <c r="A2" t="n">
        <v>1</v>
      </c>
      <c r="B2" t="n">
        <v>0</v>
      </c>
      <c r="C2" t="n">
        <v>64.87990000000001</v>
      </c>
      <c r="D2" t="n">
        <v>68.29470000000001</v>
      </c>
      <c r="E2" t="n">
        <v>68.29470000000001</v>
      </c>
      <c r="F2" t="n">
        <v>68.29470000000001</v>
      </c>
      <c r="G2" t="n">
        <v>68.29470000000001</v>
      </c>
      <c r="H2" t="n">
        <v>68.29470000000001</v>
      </c>
      <c r="I2" t="n">
        <v>68.29470000000001</v>
      </c>
      <c r="K2" t="inlineStr">
        <is>
          <t>Horizon</t>
        </is>
      </c>
      <c r="L2" t="inlineStr">
        <is>
          <t>P50</t>
        </is>
      </c>
      <c r="M2" t="inlineStr">
        <is>
          <t>P90</t>
        </is>
      </c>
      <c r="N2" t="inlineStr">
        <is>
          <t>P99</t>
        </is>
      </c>
      <c r="O2" t="inlineStr">
        <is>
          <t>mu_capture</t>
        </is>
      </c>
    </row>
    <row r="3" ht="16" customHeight="1" s="133">
      <c r="A3" t="n">
        <v>2</v>
      </c>
      <c r="B3" t="n">
        <v>0.0833</v>
      </c>
      <c r="C3" t="n">
        <v>64.84569999999999</v>
      </c>
      <c r="D3" t="n">
        <v>67.8014</v>
      </c>
      <c r="E3" t="n">
        <v>78.8156</v>
      </c>
      <c r="F3" t="n">
        <v>88.792</v>
      </c>
      <c r="G3" t="n">
        <v>56.8474</v>
      </c>
      <c r="H3" t="n">
        <v>46.7156</v>
      </c>
      <c r="I3" t="n">
        <v>29.9044</v>
      </c>
      <c r="K3" t="inlineStr">
        <is>
          <t>Year 5</t>
        </is>
      </c>
      <c r="L3" t="n">
        <v>62.42</v>
      </c>
      <c r="M3" t="n">
        <v>19.97</v>
      </c>
      <c r="N3" t="n">
        <v>-14.85</v>
      </c>
      <c r="O3" t="n">
        <v>62.86</v>
      </c>
    </row>
    <row r="4" ht="16" customHeight="1" s="133">
      <c r="A4" t="n">
        <v>3</v>
      </c>
      <c r="B4" t="n">
        <v>0.1667</v>
      </c>
      <c r="C4" t="n">
        <v>64.81140000000001</v>
      </c>
      <c r="D4" t="n">
        <v>67.71599999999999</v>
      </c>
      <c r="E4" t="n">
        <v>82.2192</v>
      </c>
      <c r="F4" t="n">
        <v>95.42189999999999</v>
      </c>
      <c r="G4" t="n">
        <v>53.0994</v>
      </c>
      <c r="H4" t="n">
        <v>40.3735</v>
      </c>
      <c r="I4" t="n">
        <v>16.7822</v>
      </c>
      <c r="K4" t="inlineStr">
        <is>
          <t>Year 10</t>
        </is>
      </c>
      <c r="L4" t="n">
        <v>60.67</v>
      </c>
      <c r="M4" t="n">
        <v>18.27</v>
      </c>
      <c r="N4" t="n">
        <v>-17.66</v>
      </c>
      <c r="O4" t="n">
        <v>60.8</v>
      </c>
    </row>
    <row r="5" ht="16" customHeight="1" s="133">
      <c r="A5" t="n">
        <v>4</v>
      </c>
      <c r="B5" t="n">
        <v>0.25</v>
      </c>
      <c r="C5" t="n">
        <v>64.7771</v>
      </c>
      <c r="D5" t="n">
        <v>67.0428</v>
      </c>
      <c r="E5" t="n">
        <v>84.29389999999999</v>
      </c>
      <c r="F5" t="n">
        <v>99.4051</v>
      </c>
      <c r="G5" t="n">
        <v>49.9277</v>
      </c>
      <c r="H5" t="n">
        <v>34.7439</v>
      </c>
      <c r="I5" t="n">
        <v>8.3993</v>
      </c>
      <c r="K5" t="inlineStr">
        <is>
          <t>Year 15</t>
        </is>
      </c>
      <c r="L5" t="n">
        <v>58.52</v>
      </c>
      <c r="M5" t="n">
        <v>16.52</v>
      </c>
      <c r="N5" t="n">
        <v>-15.45</v>
      </c>
      <c r="O5" t="n">
        <v>58.75</v>
      </c>
    </row>
    <row r="6" ht="16" customHeight="1" s="133">
      <c r="A6" t="n">
        <v>5</v>
      </c>
      <c r="B6" t="n">
        <v>0.3333</v>
      </c>
      <c r="C6" t="n">
        <v>64.74290000000001</v>
      </c>
      <c r="D6" t="n">
        <v>66.6091</v>
      </c>
      <c r="E6" t="n">
        <v>85.56480000000001</v>
      </c>
      <c r="F6" t="n">
        <v>101.8293</v>
      </c>
      <c r="G6" t="n">
        <v>48.1797</v>
      </c>
      <c r="H6" t="n">
        <v>31.6711</v>
      </c>
      <c r="I6" t="n">
        <v>1.8518</v>
      </c>
      <c r="K6" t="inlineStr">
        <is>
          <t>Year 20</t>
        </is>
      </c>
      <c r="L6" t="n">
        <v>57.43</v>
      </c>
      <c r="M6" t="n">
        <v>14.71</v>
      </c>
      <c r="N6" t="n">
        <v>-19.55</v>
      </c>
      <c r="O6" t="n">
        <v>56.69</v>
      </c>
    </row>
    <row r="7" ht="16" customHeight="1" s="133">
      <c r="A7" t="n">
        <v>6</v>
      </c>
      <c r="B7" t="n">
        <v>0.4167</v>
      </c>
      <c r="C7" t="n">
        <v>64.7086</v>
      </c>
      <c r="D7" t="n">
        <v>66.60039999999999</v>
      </c>
      <c r="E7" t="n">
        <v>86.4228</v>
      </c>
      <c r="F7" t="n">
        <v>103.2061</v>
      </c>
      <c r="G7" t="n">
        <v>47.2189</v>
      </c>
      <c r="H7" t="n">
        <v>28.6783</v>
      </c>
      <c r="I7" t="n">
        <v>-0.5872000000000001</v>
      </c>
      <c r="K7" t="inlineStr">
        <is>
          <t>Year 25</t>
        </is>
      </c>
      <c r="L7" t="n">
        <v>54.79</v>
      </c>
      <c r="M7" t="n">
        <v>12.55</v>
      </c>
      <c r="N7" t="n">
        <v>-22.5</v>
      </c>
      <c r="O7" t="n">
        <v>54.64</v>
      </c>
    </row>
    <row r="8" ht="16" customHeight="1" s="133">
      <c r="A8" t="n">
        <v>7</v>
      </c>
      <c r="B8" t="n">
        <v>0.5</v>
      </c>
      <c r="C8" t="n">
        <v>64.67440000000001</v>
      </c>
      <c r="D8" t="n">
        <v>66.3599</v>
      </c>
      <c r="E8" t="n">
        <v>86.4675</v>
      </c>
      <c r="F8" t="n">
        <v>104.5352</v>
      </c>
      <c r="G8" t="n">
        <v>46.2468</v>
      </c>
      <c r="H8" t="n">
        <v>27.915</v>
      </c>
      <c r="I8" t="n">
        <v>-3.1092</v>
      </c>
    </row>
    <row r="9" ht="16" customHeight="1" s="133">
      <c r="A9" t="n">
        <v>8</v>
      </c>
      <c r="B9" t="n">
        <v>0.5833</v>
      </c>
      <c r="C9" t="n">
        <v>64.6401</v>
      </c>
      <c r="D9" t="n">
        <v>66.1206</v>
      </c>
      <c r="E9" t="n">
        <v>86.9863</v>
      </c>
      <c r="F9" t="n">
        <v>105.3618</v>
      </c>
      <c r="G9" t="n">
        <v>45.8921</v>
      </c>
      <c r="H9" t="n">
        <v>26.7437</v>
      </c>
      <c r="I9" t="n">
        <v>-3.7243</v>
      </c>
      <c r="K9" t="inlineStr">
        <is>
          <t>PARAMETERS USED (DK1 Primary)</t>
        </is>
      </c>
    </row>
    <row r="10" ht="16" customHeight="1" s="133">
      <c r="A10" t="n">
        <v>9</v>
      </c>
      <c r="B10" t="n">
        <v>0.6667</v>
      </c>
      <c r="C10" t="n">
        <v>64.6058</v>
      </c>
      <c r="D10" t="n">
        <v>65.93049999999999</v>
      </c>
      <c r="E10" t="n">
        <v>86.6401</v>
      </c>
      <c r="F10" t="n">
        <v>106.6822</v>
      </c>
      <c r="G10" t="n">
        <v>45.0162</v>
      </c>
      <c r="H10" t="n">
        <v>25.3956</v>
      </c>
      <c r="I10" t="n">
        <v>-6.282</v>
      </c>
      <c r="K10" t="inlineStr">
        <is>
          <t>mu (EUR/MWh)</t>
        </is>
      </c>
      <c r="L10" t="n">
        <v>68.29470000000001</v>
      </c>
    </row>
    <row r="11" ht="16" customHeight="1" s="133">
      <c r="A11" t="n">
        <v>10</v>
      </c>
      <c r="B11" t="n">
        <v>0.75</v>
      </c>
      <c r="C11" t="n">
        <v>64.5716</v>
      </c>
      <c r="D11" t="n">
        <v>65.7839</v>
      </c>
      <c r="E11" t="n">
        <v>87.53440000000001</v>
      </c>
      <c r="F11" t="n">
        <v>106.2259</v>
      </c>
      <c r="G11" t="n">
        <v>44.5769</v>
      </c>
      <c r="H11" t="n">
        <v>24.3668</v>
      </c>
      <c r="I11" t="n">
        <v>-7.1671</v>
      </c>
      <c r="K11" t="inlineStr">
        <is>
          <t>kappa (/month)</t>
        </is>
      </c>
      <c r="L11" t="n">
        <v>0.1401</v>
      </c>
    </row>
    <row r="12" ht="16" customHeight="1" s="133">
      <c r="A12" t="n">
        <v>11</v>
      </c>
      <c r="B12" t="n">
        <v>0.8333</v>
      </c>
      <c r="C12" t="n">
        <v>64.5373</v>
      </c>
      <c r="D12" t="n">
        <v>65.3835</v>
      </c>
      <c r="E12" t="n">
        <v>87.267</v>
      </c>
      <c r="F12" t="n">
        <v>106.8023</v>
      </c>
      <c r="G12" t="n">
        <v>43.8629</v>
      </c>
      <c r="H12" t="n">
        <v>25.1914</v>
      </c>
      <c r="I12" t="n">
        <v>-9.9291</v>
      </c>
      <c r="K12" t="inlineStr">
        <is>
          <t>sigma (EUR/MWh)</t>
        </is>
      </c>
      <c r="L12" t="n">
        <v>17.5069</v>
      </c>
    </row>
    <row r="13" ht="16" customHeight="1" s="133">
      <c r="A13" t="n">
        <v>12</v>
      </c>
      <c r="B13" t="n">
        <v>0.9167</v>
      </c>
      <c r="C13" t="n">
        <v>64.503</v>
      </c>
      <c r="D13" t="n">
        <v>65.49639999999999</v>
      </c>
      <c r="E13" t="n">
        <v>87.28530000000001</v>
      </c>
      <c r="F13" t="n">
        <v>107.4839</v>
      </c>
      <c r="G13" t="n">
        <v>44.1724</v>
      </c>
      <c r="H13" t="n">
        <v>25.084</v>
      </c>
      <c r="I13" t="n">
        <v>-10.277</v>
      </c>
      <c r="K13" t="inlineStr">
        <is>
          <t>N paths</t>
        </is>
      </c>
      <c r="L13" t="n">
        <v>10000</v>
      </c>
    </row>
    <row r="14" ht="16" customHeight="1" s="133">
      <c r="A14" t="n">
        <v>13</v>
      </c>
      <c r="B14" t="n">
        <v>1</v>
      </c>
      <c r="C14" t="n">
        <v>64.4688</v>
      </c>
      <c r="D14" t="n">
        <v>65.4259</v>
      </c>
      <c r="E14" t="n">
        <v>87.6909</v>
      </c>
      <c r="F14" t="n">
        <v>107.7007</v>
      </c>
      <c r="G14" t="n">
        <v>44.0839</v>
      </c>
      <c r="H14" t="n">
        <v>23.6892</v>
      </c>
      <c r="I14" t="n">
        <v>-10.3538</v>
      </c>
      <c r="K14" t="inlineStr">
        <is>
          <t>Alpha(t=0)</t>
        </is>
      </c>
      <c r="L14" t="inlineStr">
        <is>
          <t>5%</t>
        </is>
      </c>
    </row>
    <row r="15" ht="16" customHeight="1" s="133">
      <c r="A15" t="n">
        <v>14</v>
      </c>
      <c r="B15" t="n">
        <v>1.0833</v>
      </c>
      <c r="C15" t="n">
        <v>64.4345</v>
      </c>
      <c r="D15" t="n">
        <v>65.3168</v>
      </c>
      <c r="E15" t="n">
        <v>87.2552</v>
      </c>
      <c r="F15" t="n">
        <v>107.1667</v>
      </c>
      <c r="G15" t="n">
        <v>43.4157</v>
      </c>
      <c r="H15" t="n">
        <v>23.858</v>
      </c>
      <c r="I15" t="n">
        <v>-10.6224</v>
      </c>
      <c r="K15" t="inlineStr">
        <is>
          <t>Alpha(t=25)</t>
        </is>
      </c>
      <c r="L15" t="inlineStr">
        <is>
          <t>20%</t>
        </is>
      </c>
    </row>
    <row r="16" ht="16" customHeight="1" s="133">
      <c r="A16" t="n">
        <v>15</v>
      </c>
      <c r="B16" t="n">
        <v>1.1667</v>
      </c>
      <c r="C16" t="n">
        <v>64.4003</v>
      </c>
      <c r="D16" t="n">
        <v>65.3124</v>
      </c>
      <c r="E16" t="n">
        <v>87.58320000000001</v>
      </c>
      <c r="F16" t="n">
        <v>106.9542</v>
      </c>
      <c r="G16" t="n">
        <v>43.4516</v>
      </c>
      <c r="H16" t="n">
        <v>23.8034</v>
      </c>
      <c r="I16" t="n">
        <v>-11.7282</v>
      </c>
    </row>
    <row r="17" ht="16" customHeight="1" s="133">
      <c r="A17" t="n">
        <v>16</v>
      </c>
      <c r="B17" t="n">
        <v>1.25</v>
      </c>
      <c r="C17" t="n">
        <v>64.366</v>
      </c>
      <c r="D17" t="n">
        <v>65.4709</v>
      </c>
      <c r="E17" t="n">
        <v>86.9666</v>
      </c>
      <c r="F17" t="n">
        <v>107.1016</v>
      </c>
      <c r="G17" t="n">
        <v>43.0965</v>
      </c>
      <c r="H17" t="n">
        <v>23.6992</v>
      </c>
      <c r="I17" t="n">
        <v>-10.7847</v>
      </c>
    </row>
    <row r="18" ht="16" customHeight="1" s="133">
      <c r="A18" t="n">
        <v>17</v>
      </c>
      <c r="B18" t="n">
        <v>1.3333</v>
      </c>
      <c r="C18" t="n">
        <v>64.3317</v>
      </c>
      <c r="D18" t="n">
        <v>65.0741</v>
      </c>
      <c r="E18" t="n">
        <v>87.4701</v>
      </c>
      <c r="F18" t="n">
        <v>106.7117</v>
      </c>
      <c r="G18" t="n">
        <v>43.264</v>
      </c>
      <c r="H18" t="n">
        <v>23.9804</v>
      </c>
      <c r="I18" t="n">
        <v>-10.3581</v>
      </c>
    </row>
    <row r="19" ht="16" customHeight="1" s="133">
      <c r="A19" t="n">
        <v>18</v>
      </c>
      <c r="B19" t="n">
        <v>1.4167</v>
      </c>
      <c r="C19" t="n">
        <v>64.2975</v>
      </c>
      <c r="D19" t="n">
        <v>65.3845</v>
      </c>
      <c r="E19" t="n">
        <v>87.04949999999999</v>
      </c>
      <c r="F19" t="n">
        <v>106.6975</v>
      </c>
      <c r="G19" t="n">
        <v>42.6962</v>
      </c>
      <c r="H19" t="n">
        <v>22.4691</v>
      </c>
      <c r="I19" t="n">
        <v>-10.7838</v>
      </c>
    </row>
    <row r="20" ht="16" customHeight="1" s="133">
      <c r="A20" t="n">
        <v>19</v>
      </c>
      <c r="B20" t="n">
        <v>1.5</v>
      </c>
      <c r="C20" t="n">
        <v>64.2632</v>
      </c>
      <c r="D20" t="n">
        <v>65.3837</v>
      </c>
      <c r="E20" t="n">
        <v>87.492</v>
      </c>
      <c r="F20" t="n">
        <v>107.0715</v>
      </c>
      <c r="G20" t="n">
        <v>42.517</v>
      </c>
      <c r="H20" t="n">
        <v>22.1187</v>
      </c>
      <c r="I20" t="n">
        <v>-10.436</v>
      </c>
    </row>
    <row r="21" ht="16" customHeight="1" s="133">
      <c r="A21" t="n">
        <v>20</v>
      </c>
      <c r="B21" t="n">
        <v>1.5833</v>
      </c>
      <c r="C21" t="n">
        <v>64.229</v>
      </c>
      <c r="D21" t="n">
        <v>64.92100000000001</v>
      </c>
      <c r="E21" t="n">
        <v>86.8609</v>
      </c>
      <c r="F21" t="n">
        <v>106.3661</v>
      </c>
      <c r="G21" t="n">
        <v>42.8854</v>
      </c>
      <c r="H21" t="n">
        <v>22.2167</v>
      </c>
      <c r="I21" t="n">
        <v>-12.1113</v>
      </c>
    </row>
    <row r="22" ht="16" customHeight="1" s="133">
      <c r="A22" t="n">
        <v>21</v>
      </c>
      <c r="B22" t="n">
        <v>1.6667</v>
      </c>
      <c r="C22" t="n">
        <v>64.1947</v>
      </c>
      <c r="D22" t="n">
        <v>64.67189999999999</v>
      </c>
      <c r="E22" t="n">
        <v>86.9376</v>
      </c>
      <c r="F22" t="n">
        <v>106.0552</v>
      </c>
      <c r="G22" t="n">
        <v>42.9933</v>
      </c>
      <c r="H22" t="n">
        <v>22.0319</v>
      </c>
      <c r="I22" t="n">
        <v>-13.504</v>
      </c>
    </row>
    <row r="23" ht="16" customHeight="1" s="133">
      <c r="A23" t="n">
        <v>22</v>
      </c>
      <c r="B23" t="n">
        <v>1.75</v>
      </c>
      <c r="C23" t="n">
        <v>64.1604</v>
      </c>
      <c r="D23" t="n">
        <v>64.66589999999999</v>
      </c>
      <c r="E23" t="n">
        <v>86.666</v>
      </c>
      <c r="F23" t="n">
        <v>106.5405</v>
      </c>
      <c r="G23" t="n">
        <v>42.2253</v>
      </c>
      <c r="H23" t="n">
        <v>22.427</v>
      </c>
      <c r="I23" t="n">
        <v>-13.9411</v>
      </c>
    </row>
    <row r="24" ht="16" customHeight="1" s="133">
      <c r="A24" t="n">
        <v>23</v>
      </c>
      <c r="B24" t="n">
        <v>1.8333</v>
      </c>
      <c r="C24" t="n">
        <v>64.1262</v>
      </c>
      <c r="D24" t="n">
        <v>64.5806</v>
      </c>
      <c r="E24" t="n">
        <v>86.78830000000001</v>
      </c>
      <c r="F24" t="n">
        <v>106.2385</v>
      </c>
      <c r="G24" t="n">
        <v>42.09</v>
      </c>
      <c r="H24" t="n">
        <v>21.8143</v>
      </c>
      <c r="I24" t="n">
        <v>-13.6475</v>
      </c>
    </row>
    <row r="25" ht="16" customHeight="1" s="133">
      <c r="A25" t="n">
        <v>24</v>
      </c>
      <c r="B25" t="n">
        <v>1.9167</v>
      </c>
      <c r="C25" t="n">
        <v>64.0919</v>
      </c>
      <c r="D25" t="n">
        <v>64.753</v>
      </c>
      <c r="E25" t="n">
        <v>86.4153</v>
      </c>
      <c r="F25" t="n">
        <v>107.0212</v>
      </c>
      <c r="G25" t="n">
        <v>42.1765</v>
      </c>
      <c r="H25" t="n">
        <v>22.4859</v>
      </c>
      <c r="I25" t="n">
        <v>-12.8962</v>
      </c>
    </row>
    <row r="26" ht="16" customHeight="1" s="133">
      <c r="A26" t="n">
        <v>25</v>
      </c>
      <c r="B26" t="n">
        <v>2</v>
      </c>
      <c r="C26" t="n">
        <v>64.05759999999999</v>
      </c>
      <c r="D26" t="n">
        <v>64.5184</v>
      </c>
      <c r="E26" t="n">
        <v>86.7178</v>
      </c>
      <c r="F26" t="n">
        <v>106.5809</v>
      </c>
      <c r="G26" t="n">
        <v>42.3217</v>
      </c>
      <c r="H26" t="n">
        <v>21.6924</v>
      </c>
      <c r="I26" t="n">
        <v>-12.7455</v>
      </c>
    </row>
    <row r="27" ht="16" customHeight="1" s="133">
      <c r="A27" t="n">
        <v>26</v>
      </c>
      <c r="B27" t="n">
        <v>2.0833</v>
      </c>
      <c r="C27" t="n">
        <v>64.0234</v>
      </c>
      <c r="D27" t="n">
        <v>63.9402</v>
      </c>
      <c r="E27" t="n">
        <v>86.4723</v>
      </c>
      <c r="F27" t="n">
        <v>106.9217</v>
      </c>
      <c r="G27" t="n">
        <v>41.9212</v>
      </c>
      <c r="H27" t="n">
        <v>21.8213</v>
      </c>
      <c r="I27" t="n">
        <v>-14.4254</v>
      </c>
    </row>
    <row r="28" ht="16" customHeight="1" s="133">
      <c r="A28" t="n">
        <v>27</v>
      </c>
      <c r="B28" t="n">
        <v>2.1667</v>
      </c>
      <c r="C28" t="n">
        <v>63.9891</v>
      </c>
      <c r="D28" t="n">
        <v>64.05119999999999</v>
      </c>
      <c r="E28" t="n">
        <v>86.16540000000001</v>
      </c>
      <c r="F28" t="n">
        <v>106.3179</v>
      </c>
      <c r="G28" t="n">
        <v>41.9555</v>
      </c>
      <c r="H28" t="n">
        <v>21.9401</v>
      </c>
      <c r="I28" t="n">
        <v>-13.4981</v>
      </c>
    </row>
    <row r="29" ht="16" customHeight="1" s="133">
      <c r="A29" t="n">
        <v>28</v>
      </c>
      <c r="B29" t="n">
        <v>2.25</v>
      </c>
      <c r="C29" t="n">
        <v>63.9549</v>
      </c>
      <c r="D29" t="n">
        <v>63.356</v>
      </c>
      <c r="E29" t="n">
        <v>86.2403</v>
      </c>
      <c r="F29" t="n">
        <v>106.5489</v>
      </c>
      <c r="G29" t="n">
        <v>41.9405</v>
      </c>
      <c r="H29" t="n">
        <v>22.5562</v>
      </c>
      <c r="I29" t="n">
        <v>-13.906</v>
      </c>
    </row>
    <row r="30" ht="16" customHeight="1" s="133">
      <c r="A30" t="n">
        <v>29</v>
      </c>
      <c r="B30" t="n">
        <v>2.3333</v>
      </c>
      <c r="C30" t="n">
        <v>63.9206</v>
      </c>
      <c r="D30" t="n">
        <v>63.4926</v>
      </c>
      <c r="E30" t="n">
        <v>86.1934</v>
      </c>
      <c r="F30" t="n">
        <v>107.0071</v>
      </c>
      <c r="G30" t="n">
        <v>41.436</v>
      </c>
      <c r="H30" t="n">
        <v>22.1867</v>
      </c>
      <c r="I30" t="n">
        <v>-13.0881</v>
      </c>
    </row>
    <row r="31" ht="16" customHeight="1" s="133">
      <c r="A31" t="n">
        <v>30</v>
      </c>
      <c r="B31" t="n">
        <v>2.4167</v>
      </c>
      <c r="C31" t="n">
        <v>63.8863</v>
      </c>
      <c r="D31" t="n">
        <v>63.8812</v>
      </c>
      <c r="E31" t="n">
        <v>86.1909</v>
      </c>
      <c r="F31" t="n">
        <v>106.4804</v>
      </c>
      <c r="G31" t="n">
        <v>41.579</v>
      </c>
      <c r="H31" t="n">
        <v>21.7851</v>
      </c>
      <c r="I31" t="n">
        <v>-13.6127</v>
      </c>
    </row>
    <row r="32" ht="16" customHeight="1" s="133">
      <c r="A32" t="n">
        <v>31</v>
      </c>
      <c r="B32" t="n">
        <v>2.5</v>
      </c>
      <c r="C32" t="n">
        <v>63.8521</v>
      </c>
      <c r="D32" t="n">
        <v>63.8228</v>
      </c>
      <c r="E32" t="n">
        <v>86.28440000000001</v>
      </c>
      <c r="F32" t="n">
        <v>106.7461</v>
      </c>
      <c r="G32" t="n">
        <v>41.5796</v>
      </c>
      <c r="H32" t="n">
        <v>21.4113</v>
      </c>
      <c r="I32" t="n">
        <v>-14.2719</v>
      </c>
    </row>
    <row r="33" ht="16" customHeight="1" s="133">
      <c r="A33" t="n">
        <v>32</v>
      </c>
      <c r="B33" t="n">
        <v>2.5833</v>
      </c>
      <c r="C33" t="n">
        <v>63.8178</v>
      </c>
      <c r="D33" t="n">
        <v>63.6116</v>
      </c>
      <c r="E33" t="n">
        <v>86.5389</v>
      </c>
      <c r="F33" t="n">
        <v>106.2849</v>
      </c>
      <c r="G33" t="n">
        <v>41.532</v>
      </c>
      <c r="H33" t="n">
        <v>21.0796</v>
      </c>
      <c r="I33" t="n">
        <v>-14.7985</v>
      </c>
    </row>
    <row r="34" ht="16" customHeight="1" s="133">
      <c r="A34" t="n">
        <v>33</v>
      </c>
      <c r="B34" t="n">
        <v>2.6667</v>
      </c>
      <c r="C34" t="n">
        <v>63.7836</v>
      </c>
      <c r="D34" t="n">
        <v>63.6882</v>
      </c>
      <c r="E34" t="n">
        <v>86.1818</v>
      </c>
      <c r="F34" t="n">
        <v>105.9304</v>
      </c>
      <c r="G34" t="n">
        <v>41.1033</v>
      </c>
      <c r="H34" t="n">
        <v>20.4281</v>
      </c>
      <c r="I34" t="n">
        <v>-13.5385</v>
      </c>
    </row>
    <row r="35" ht="16" customHeight="1" s="133">
      <c r="A35" t="n">
        <v>34</v>
      </c>
      <c r="B35" t="n">
        <v>2.75</v>
      </c>
      <c r="C35" t="n">
        <v>63.7493</v>
      </c>
      <c r="D35" t="n">
        <v>63.7051</v>
      </c>
      <c r="E35" t="n">
        <v>86.3126</v>
      </c>
      <c r="F35" t="n">
        <v>106.3858</v>
      </c>
      <c r="G35" t="n">
        <v>41.1516</v>
      </c>
      <c r="H35" t="n">
        <v>20.6588</v>
      </c>
      <c r="I35" t="n">
        <v>-11.8899</v>
      </c>
    </row>
    <row r="36" ht="16" customHeight="1" s="133">
      <c r="A36" t="n">
        <v>35</v>
      </c>
      <c r="B36" t="n">
        <v>2.8333</v>
      </c>
      <c r="C36" t="n">
        <v>63.715</v>
      </c>
      <c r="D36" t="n">
        <v>63.2599</v>
      </c>
      <c r="E36" t="n">
        <v>86.3959</v>
      </c>
      <c r="F36" t="n">
        <v>106.3125</v>
      </c>
      <c r="G36" t="n">
        <v>40.8732</v>
      </c>
      <c r="H36" t="n">
        <v>21.6973</v>
      </c>
      <c r="I36" t="n">
        <v>-12.8583</v>
      </c>
    </row>
    <row r="37" ht="16" customHeight="1" s="133">
      <c r="A37" t="n">
        <v>36</v>
      </c>
      <c r="B37" t="n">
        <v>2.9167</v>
      </c>
      <c r="C37" t="n">
        <v>63.6808</v>
      </c>
      <c r="D37" t="n">
        <v>63.4638</v>
      </c>
      <c r="E37" t="n">
        <v>86.45480000000001</v>
      </c>
      <c r="F37" t="n">
        <v>106.0824</v>
      </c>
      <c r="G37" t="n">
        <v>40.8353</v>
      </c>
      <c r="H37" t="n">
        <v>20.7316</v>
      </c>
      <c r="I37" t="n">
        <v>-13.4563</v>
      </c>
    </row>
    <row r="38" ht="16" customHeight="1" s="133">
      <c r="A38" t="n">
        <v>37</v>
      </c>
      <c r="B38" t="n">
        <v>3</v>
      </c>
      <c r="C38" t="n">
        <v>63.6465</v>
      </c>
      <c r="D38" t="n">
        <v>63.5791</v>
      </c>
      <c r="E38" t="n">
        <v>85.776</v>
      </c>
      <c r="F38" t="n">
        <v>106.5273</v>
      </c>
      <c r="G38" t="n">
        <v>40.9688</v>
      </c>
      <c r="H38" t="n">
        <v>21.4059</v>
      </c>
      <c r="I38" t="n">
        <v>-12.6991</v>
      </c>
    </row>
    <row r="39" ht="16" customHeight="1" s="133">
      <c r="A39" t="n">
        <v>38</v>
      </c>
      <c r="B39" t="n">
        <v>3.0833</v>
      </c>
      <c r="C39" t="n">
        <v>63.6122</v>
      </c>
      <c r="D39" t="n">
        <v>63.822</v>
      </c>
      <c r="E39" t="n">
        <v>86.2192</v>
      </c>
      <c r="F39" t="n">
        <v>106.0641</v>
      </c>
      <c r="G39" t="n">
        <v>41.7478</v>
      </c>
      <c r="H39" t="n">
        <v>21.7738</v>
      </c>
      <c r="I39" t="n">
        <v>-13.133</v>
      </c>
    </row>
    <row r="40" ht="16" customHeight="1" s="133">
      <c r="A40" t="n">
        <v>39</v>
      </c>
      <c r="B40" t="n">
        <v>3.1667</v>
      </c>
      <c r="C40" t="n">
        <v>63.578</v>
      </c>
      <c r="D40" t="n">
        <v>63.89</v>
      </c>
      <c r="E40" t="n">
        <v>86.5311</v>
      </c>
      <c r="F40" t="n">
        <v>106.3878</v>
      </c>
      <c r="G40" t="n">
        <v>41.5854</v>
      </c>
      <c r="H40" t="n">
        <v>22.6316</v>
      </c>
      <c r="I40" t="n">
        <v>-13.7487</v>
      </c>
    </row>
    <row r="41" ht="16" customHeight="1" s="133">
      <c r="A41" t="n">
        <v>40</v>
      </c>
      <c r="B41" t="n">
        <v>3.25</v>
      </c>
      <c r="C41" t="n">
        <v>63.5437</v>
      </c>
      <c r="D41" t="n">
        <v>64.0026</v>
      </c>
      <c r="E41" t="n">
        <v>86.765</v>
      </c>
      <c r="F41" t="n">
        <v>107.0149</v>
      </c>
      <c r="G41" t="n">
        <v>41.2563</v>
      </c>
      <c r="H41" t="n">
        <v>22.3245</v>
      </c>
      <c r="I41" t="n">
        <v>-10.9233</v>
      </c>
    </row>
    <row r="42" ht="16" customHeight="1" s="133">
      <c r="A42" t="n">
        <v>41</v>
      </c>
      <c r="B42" t="n">
        <v>3.3333</v>
      </c>
      <c r="C42" t="n">
        <v>63.5095</v>
      </c>
      <c r="D42" t="n">
        <v>63.5872</v>
      </c>
      <c r="E42" t="n">
        <v>85.935</v>
      </c>
      <c r="F42" t="n">
        <v>106.5256</v>
      </c>
      <c r="G42" t="n">
        <v>41.5273</v>
      </c>
      <c r="H42" t="n">
        <v>21.8594</v>
      </c>
      <c r="I42" t="n">
        <v>-11.7922</v>
      </c>
    </row>
    <row r="43" ht="16" customHeight="1" s="133">
      <c r="A43" t="n">
        <v>42</v>
      </c>
      <c r="B43" t="n">
        <v>3.4167</v>
      </c>
      <c r="C43" t="n">
        <v>63.4752</v>
      </c>
      <c r="D43" t="n">
        <v>63.6273</v>
      </c>
      <c r="E43" t="n">
        <v>85.8668</v>
      </c>
      <c r="F43" t="n">
        <v>105.9055</v>
      </c>
      <c r="G43" t="n">
        <v>41.3545</v>
      </c>
      <c r="H43" t="n">
        <v>21.2016</v>
      </c>
      <c r="I43" t="n">
        <v>-12.7939</v>
      </c>
    </row>
    <row r="44" ht="16" customHeight="1" s="133">
      <c r="A44" t="n">
        <v>43</v>
      </c>
      <c r="B44" t="n">
        <v>3.5</v>
      </c>
      <c r="C44" t="n">
        <v>63.4409</v>
      </c>
      <c r="D44" t="n">
        <v>63.3573</v>
      </c>
      <c r="E44" t="n">
        <v>86.1687</v>
      </c>
      <c r="F44" t="n">
        <v>105.6174</v>
      </c>
      <c r="G44" t="n">
        <v>40.9293</v>
      </c>
      <c r="H44" t="n">
        <v>21.0104</v>
      </c>
      <c r="I44" t="n">
        <v>-12.7378</v>
      </c>
    </row>
    <row r="45" ht="16" customHeight="1" s="133">
      <c r="A45" t="n">
        <v>44</v>
      </c>
      <c r="B45" t="n">
        <v>3.5833</v>
      </c>
      <c r="C45" t="n">
        <v>63.4067</v>
      </c>
      <c r="D45" t="n">
        <v>62.892</v>
      </c>
      <c r="E45" t="n">
        <v>86.36499999999999</v>
      </c>
      <c r="F45" t="n">
        <v>106.7486</v>
      </c>
      <c r="G45" t="n">
        <v>40.9186</v>
      </c>
      <c r="H45" t="n">
        <v>21.4382</v>
      </c>
      <c r="I45" t="n">
        <v>-13.1998</v>
      </c>
    </row>
    <row r="46" ht="16" customHeight="1" s="133">
      <c r="A46" t="n">
        <v>45</v>
      </c>
      <c r="B46" t="n">
        <v>3.6667</v>
      </c>
      <c r="C46" t="n">
        <v>63.3724</v>
      </c>
      <c r="D46" t="n">
        <v>63.6131</v>
      </c>
      <c r="E46" t="n">
        <v>86.1981</v>
      </c>
      <c r="F46" t="n">
        <v>106.6917</v>
      </c>
      <c r="G46" t="n">
        <v>40.9459</v>
      </c>
      <c r="H46" t="n">
        <v>19.9339</v>
      </c>
      <c r="I46" t="n">
        <v>-13.6732</v>
      </c>
    </row>
    <row r="47" ht="16" customHeight="1" s="133">
      <c r="A47" t="n">
        <v>46</v>
      </c>
      <c r="B47" t="n">
        <v>3.75</v>
      </c>
      <c r="C47" t="n">
        <v>63.3382</v>
      </c>
      <c r="D47" t="n">
        <v>63.198</v>
      </c>
      <c r="E47" t="n">
        <v>85.70229999999999</v>
      </c>
      <c r="F47" t="n">
        <v>105.9963</v>
      </c>
      <c r="G47" t="n">
        <v>40.1885</v>
      </c>
      <c r="H47" t="n">
        <v>20.2363</v>
      </c>
      <c r="I47" t="n">
        <v>-11.3457</v>
      </c>
    </row>
    <row r="48" ht="16" customHeight="1" s="133">
      <c r="A48" t="n">
        <v>47</v>
      </c>
      <c r="B48" t="n">
        <v>3.8333</v>
      </c>
      <c r="C48" t="n">
        <v>63.3039</v>
      </c>
      <c r="D48" t="n">
        <v>63.0624</v>
      </c>
      <c r="E48" t="n">
        <v>85.53360000000001</v>
      </c>
      <c r="F48" t="n">
        <v>106.3837</v>
      </c>
      <c r="G48" t="n">
        <v>40.3617</v>
      </c>
      <c r="H48" t="n">
        <v>20.3283</v>
      </c>
      <c r="I48" t="n">
        <v>-13.978</v>
      </c>
    </row>
    <row r="49" ht="16" customHeight="1" s="133">
      <c r="A49" t="n">
        <v>48</v>
      </c>
      <c r="B49" t="n">
        <v>3.9167</v>
      </c>
      <c r="C49" t="n">
        <v>63.2696</v>
      </c>
      <c r="D49" t="n">
        <v>62.845</v>
      </c>
      <c r="E49" t="n">
        <v>85.7216</v>
      </c>
      <c r="F49" t="n">
        <v>105.5379</v>
      </c>
      <c r="G49" t="n">
        <v>40.7113</v>
      </c>
      <c r="H49" t="n">
        <v>20.486</v>
      </c>
      <c r="I49" t="n">
        <v>-11.7179</v>
      </c>
    </row>
    <row r="50" ht="16" customHeight="1" s="133">
      <c r="A50" t="n">
        <v>49</v>
      </c>
      <c r="B50" t="n">
        <v>4</v>
      </c>
      <c r="C50" t="n">
        <v>63.2354</v>
      </c>
      <c r="D50" t="n">
        <v>62.6145</v>
      </c>
      <c r="E50" t="n">
        <v>84.9834</v>
      </c>
      <c r="F50" t="n">
        <v>105.8738</v>
      </c>
      <c r="G50" t="n">
        <v>40.3728</v>
      </c>
      <c r="H50" t="n">
        <v>20.2386</v>
      </c>
      <c r="I50" t="n">
        <v>-15.3363</v>
      </c>
    </row>
    <row r="51" ht="16" customHeight="1" s="133">
      <c r="A51" t="n">
        <v>50</v>
      </c>
      <c r="B51" t="n">
        <v>4.0833</v>
      </c>
      <c r="C51" t="n">
        <v>63.2011</v>
      </c>
      <c r="D51" t="n">
        <v>63.1053</v>
      </c>
      <c r="E51" t="n">
        <v>85.1546</v>
      </c>
      <c r="F51" t="n">
        <v>105.4202</v>
      </c>
      <c r="G51" t="n">
        <v>40.329</v>
      </c>
      <c r="H51" t="n">
        <v>20.5666</v>
      </c>
      <c r="I51" t="n">
        <v>-13.8474</v>
      </c>
    </row>
    <row r="52" ht="16" customHeight="1" s="133">
      <c r="A52" t="n">
        <v>51</v>
      </c>
      <c r="B52" t="n">
        <v>4.1667</v>
      </c>
      <c r="C52" t="n">
        <v>63.1669</v>
      </c>
      <c r="D52" t="n">
        <v>62.8602</v>
      </c>
      <c r="E52" t="n">
        <v>85.107</v>
      </c>
      <c r="F52" t="n">
        <v>105.9263</v>
      </c>
      <c r="G52" t="n">
        <v>40.3379</v>
      </c>
      <c r="H52" t="n">
        <v>19.3775</v>
      </c>
      <c r="I52" t="n">
        <v>-14.5546</v>
      </c>
    </row>
    <row r="53" ht="16" customHeight="1" s="133">
      <c r="A53" t="n">
        <v>52</v>
      </c>
      <c r="B53" t="n">
        <v>4.25</v>
      </c>
      <c r="C53" t="n">
        <v>63.1326</v>
      </c>
      <c r="D53" t="n">
        <v>62.9103</v>
      </c>
      <c r="E53" t="n">
        <v>84.8934</v>
      </c>
      <c r="F53" t="n">
        <v>105.9239</v>
      </c>
      <c r="G53" t="n">
        <v>39.7463</v>
      </c>
      <c r="H53" t="n">
        <v>19.649</v>
      </c>
      <c r="I53" t="n">
        <v>-13.6883</v>
      </c>
    </row>
    <row r="54" ht="16" customHeight="1" s="133">
      <c r="A54" t="n">
        <v>53</v>
      </c>
      <c r="B54" t="n">
        <v>4.3333</v>
      </c>
      <c r="C54" t="n">
        <v>63.0983</v>
      </c>
      <c r="D54" t="n">
        <v>62.3016</v>
      </c>
      <c r="E54" t="n">
        <v>86.2833</v>
      </c>
      <c r="F54" t="n">
        <v>107.0939</v>
      </c>
      <c r="G54" t="n">
        <v>39.6866</v>
      </c>
      <c r="H54" t="n">
        <v>19.4588</v>
      </c>
      <c r="I54" t="n">
        <v>-14.7421</v>
      </c>
    </row>
    <row r="55" ht="16" customHeight="1" s="133">
      <c r="A55" t="n">
        <v>54</v>
      </c>
      <c r="B55" t="n">
        <v>4.4167</v>
      </c>
      <c r="C55" t="n">
        <v>63.0641</v>
      </c>
      <c r="D55" t="n">
        <v>62.4812</v>
      </c>
      <c r="E55" t="n">
        <v>85.7248</v>
      </c>
      <c r="F55" t="n">
        <v>106.594</v>
      </c>
      <c r="G55" t="n">
        <v>40.1864</v>
      </c>
      <c r="H55" t="n">
        <v>19.497</v>
      </c>
      <c r="I55" t="n">
        <v>-15.0685</v>
      </c>
    </row>
    <row r="56" ht="16" customHeight="1" s="133">
      <c r="A56" t="n">
        <v>55</v>
      </c>
      <c r="B56" t="n">
        <v>4.5</v>
      </c>
      <c r="C56" t="n">
        <v>63.0298</v>
      </c>
      <c r="D56" t="n">
        <v>62.362</v>
      </c>
      <c r="E56" t="n">
        <v>85.56529999999999</v>
      </c>
      <c r="F56" t="n">
        <v>106.0158</v>
      </c>
      <c r="G56" t="n">
        <v>40.0043</v>
      </c>
      <c r="H56" t="n">
        <v>19.7821</v>
      </c>
      <c r="I56" t="n">
        <v>-15.131</v>
      </c>
    </row>
    <row r="57" ht="16" customHeight="1" s="133">
      <c r="A57" t="n">
        <v>56</v>
      </c>
      <c r="B57" t="n">
        <v>4.5833</v>
      </c>
      <c r="C57" t="n">
        <v>62.9955</v>
      </c>
      <c r="D57" t="n">
        <v>62.5664</v>
      </c>
      <c r="E57" t="n">
        <v>85.8683</v>
      </c>
      <c r="F57" t="n">
        <v>105.8965</v>
      </c>
      <c r="G57" t="n">
        <v>40.248</v>
      </c>
      <c r="H57" t="n">
        <v>19.821</v>
      </c>
      <c r="I57" t="n">
        <v>-15.0729</v>
      </c>
    </row>
    <row r="58" ht="16" customHeight="1" s="133">
      <c r="A58" t="n">
        <v>57</v>
      </c>
      <c r="B58" t="n">
        <v>4.6667</v>
      </c>
      <c r="C58" t="n">
        <v>62.9613</v>
      </c>
      <c r="D58" t="n">
        <v>62.7613</v>
      </c>
      <c r="E58" t="n">
        <v>85.4175</v>
      </c>
      <c r="F58" t="n">
        <v>105.8864</v>
      </c>
      <c r="G58" t="n">
        <v>40.1751</v>
      </c>
      <c r="H58" t="n">
        <v>19.7974</v>
      </c>
      <c r="I58" t="n">
        <v>-15.9044</v>
      </c>
    </row>
    <row r="59" ht="16" customHeight="1" s="133">
      <c r="A59" t="n">
        <v>58</v>
      </c>
      <c r="B59" t="n">
        <v>4.75</v>
      </c>
      <c r="C59" t="n">
        <v>62.927</v>
      </c>
      <c r="D59" t="n">
        <v>63.3374</v>
      </c>
      <c r="E59" t="n">
        <v>85.7276</v>
      </c>
      <c r="F59" t="n">
        <v>105.3491</v>
      </c>
      <c r="G59" t="n">
        <v>40.3593</v>
      </c>
      <c r="H59" t="n">
        <v>20.7966</v>
      </c>
      <c r="I59" t="n">
        <v>-12.8935</v>
      </c>
    </row>
    <row r="60" ht="16" customHeight="1" s="133">
      <c r="A60" t="n">
        <v>59</v>
      </c>
      <c r="B60" t="n">
        <v>4.8333</v>
      </c>
      <c r="C60" t="n">
        <v>62.8928</v>
      </c>
      <c r="D60" t="n">
        <v>62.7833</v>
      </c>
      <c r="E60" t="n">
        <v>85.51949999999999</v>
      </c>
      <c r="F60" t="n">
        <v>105.0819</v>
      </c>
      <c r="G60" t="n">
        <v>40.1298</v>
      </c>
      <c r="H60" t="n">
        <v>20.0408</v>
      </c>
      <c r="I60" t="n">
        <v>-13.5031</v>
      </c>
    </row>
    <row r="61" ht="16" customHeight="1" s="133">
      <c r="A61" t="n">
        <v>60</v>
      </c>
      <c r="B61" t="n">
        <v>4.9167</v>
      </c>
      <c r="C61" t="n">
        <v>62.8585</v>
      </c>
      <c r="D61" t="n">
        <v>62.4226</v>
      </c>
      <c r="E61" t="n">
        <v>85.0217</v>
      </c>
      <c r="F61" t="n">
        <v>104.7962</v>
      </c>
      <c r="G61" t="n">
        <v>40.6287</v>
      </c>
      <c r="H61" t="n">
        <v>19.9731</v>
      </c>
      <c r="I61" t="n">
        <v>-14.852</v>
      </c>
    </row>
    <row r="62" ht="16" customHeight="1" s="133">
      <c r="A62" t="n">
        <v>61</v>
      </c>
      <c r="B62" t="n">
        <v>5</v>
      </c>
      <c r="C62" t="n">
        <v>62.8242</v>
      </c>
      <c r="D62" t="n">
        <v>62.5881</v>
      </c>
      <c r="E62" t="n">
        <v>85.1328</v>
      </c>
      <c r="F62" t="n">
        <v>104.6194</v>
      </c>
      <c r="G62" t="n">
        <v>40.518</v>
      </c>
      <c r="H62" t="n">
        <v>20.8438</v>
      </c>
      <c r="I62" t="n">
        <v>-14.4422</v>
      </c>
    </row>
    <row r="63" ht="16" customHeight="1" s="133">
      <c r="A63" t="n">
        <v>62</v>
      </c>
      <c r="B63" t="n">
        <v>5.0833</v>
      </c>
      <c r="C63" t="n">
        <v>62.79</v>
      </c>
      <c r="D63" t="n">
        <v>62.3565</v>
      </c>
      <c r="E63" t="n">
        <v>84.9588</v>
      </c>
      <c r="F63" t="n">
        <v>104.5851</v>
      </c>
      <c r="G63" t="n">
        <v>39.7827</v>
      </c>
      <c r="H63" t="n">
        <v>20.0924</v>
      </c>
      <c r="I63" t="n">
        <v>-14.3113</v>
      </c>
    </row>
    <row r="64" ht="16" customHeight="1" s="133">
      <c r="A64" t="n">
        <v>63</v>
      </c>
      <c r="B64" t="n">
        <v>5.1667</v>
      </c>
      <c r="C64" t="n">
        <v>62.7557</v>
      </c>
      <c r="D64" t="n">
        <v>62.6133</v>
      </c>
      <c r="E64" t="n">
        <v>84.84990000000001</v>
      </c>
      <c r="F64" t="n">
        <v>104.4287</v>
      </c>
      <c r="G64" t="n">
        <v>41.007</v>
      </c>
      <c r="H64" t="n">
        <v>20.8573</v>
      </c>
      <c r="I64" t="n">
        <v>-14.1129</v>
      </c>
    </row>
    <row r="65" ht="16" customHeight="1" s="133">
      <c r="A65" t="n">
        <v>64</v>
      </c>
      <c r="B65" t="n">
        <v>5.25</v>
      </c>
      <c r="C65" t="n">
        <v>62.7215</v>
      </c>
      <c r="D65" t="n">
        <v>62.5835</v>
      </c>
      <c r="E65" t="n">
        <v>85.0942</v>
      </c>
      <c r="F65" t="n">
        <v>105.0498</v>
      </c>
      <c r="G65" t="n">
        <v>40.7917</v>
      </c>
      <c r="H65" t="n">
        <v>21.0581</v>
      </c>
      <c r="I65" t="n">
        <v>-15.6002</v>
      </c>
    </row>
    <row r="66" ht="16" customHeight="1" s="133">
      <c r="A66" t="n">
        <v>65</v>
      </c>
      <c r="B66" t="n">
        <v>5.3333</v>
      </c>
      <c r="C66" t="n">
        <v>62.6872</v>
      </c>
      <c r="D66" t="n">
        <v>63.0146</v>
      </c>
      <c r="E66" t="n">
        <v>84.9689</v>
      </c>
      <c r="F66" t="n">
        <v>105.0173</v>
      </c>
      <c r="G66" t="n">
        <v>41.1066</v>
      </c>
      <c r="H66" t="n">
        <v>20.5832</v>
      </c>
      <c r="I66" t="n">
        <v>-14.6386</v>
      </c>
    </row>
    <row r="67" ht="16" customHeight="1" s="133">
      <c r="A67" t="n">
        <v>66</v>
      </c>
      <c r="B67" t="n">
        <v>5.4167</v>
      </c>
      <c r="C67" t="n">
        <v>62.6529</v>
      </c>
      <c r="D67" t="n">
        <v>62.8042</v>
      </c>
      <c r="E67" t="n">
        <v>85.0372</v>
      </c>
      <c r="F67" t="n">
        <v>104.7948</v>
      </c>
      <c r="G67" t="n">
        <v>40.7818</v>
      </c>
      <c r="H67" t="n">
        <v>20.3656</v>
      </c>
      <c r="I67" t="n">
        <v>-14.2339</v>
      </c>
    </row>
    <row r="68" ht="16" customHeight="1" s="133">
      <c r="A68" t="n">
        <v>67</v>
      </c>
      <c r="B68" t="n">
        <v>5.5</v>
      </c>
      <c r="C68" t="n">
        <v>62.6187</v>
      </c>
      <c r="D68" t="n">
        <v>62.8996</v>
      </c>
      <c r="E68" t="n">
        <v>85.43980000000001</v>
      </c>
      <c r="F68" t="n">
        <v>105.1039</v>
      </c>
      <c r="G68" t="n">
        <v>40.5556</v>
      </c>
      <c r="H68" t="n">
        <v>20.9322</v>
      </c>
      <c r="I68" t="n">
        <v>-13.939</v>
      </c>
    </row>
    <row r="69" ht="16" customHeight="1" s="133">
      <c r="A69" t="n">
        <v>68</v>
      </c>
      <c r="B69" t="n">
        <v>5.5833</v>
      </c>
      <c r="C69" t="n">
        <v>62.5844</v>
      </c>
      <c r="D69" t="n">
        <v>62.9281</v>
      </c>
      <c r="E69" t="n">
        <v>84.85639999999999</v>
      </c>
      <c r="F69" t="n">
        <v>104.6435</v>
      </c>
      <c r="G69" t="n">
        <v>40.7724</v>
      </c>
      <c r="H69" t="n">
        <v>20.7095</v>
      </c>
      <c r="I69" t="n">
        <v>-13.5924</v>
      </c>
    </row>
    <row r="70" ht="16" customHeight="1" s="133">
      <c r="A70" t="n">
        <v>69</v>
      </c>
      <c r="B70" t="n">
        <v>5.6667</v>
      </c>
      <c r="C70" t="n">
        <v>62.5501</v>
      </c>
      <c r="D70" t="n">
        <v>62.6208</v>
      </c>
      <c r="E70" t="n">
        <v>85.4152</v>
      </c>
      <c r="F70" t="n">
        <v>105.5846</v>
      </c>
      <c r="G70" t="n">
        <v>40.7646</v>
      </c>
      <c r="H70" t="n">
        <v>21.174</v>
      </c>
      <c r="I70" t="n">
        <v>-14.4164</v>
      </c>
    </row>
    <row r="71" ht="16" customHeight="1" s="133">
      <c r="A71" t="n">
        <v>70</v>
      </c>
      <c r="B71" t="n">
        <v>5.75</v>
      </c>
      <c r="C71" t="n">
        <v>62.5159</v>
      </c>
      <c r="D71" t="n">
        <v>62.8201</v>
      </c>
      <c r="E71" t="n">
        <v>85.8901</v>
      </c>
      <c r="F71" t="n">
        <v>105.0303</v>
      </c>
      <c r="G71" t="n">
        <v>40.7583</v>
      </c>
      <c r="H71" t="n">
        <v>20.366</v>
      </c>
      <c r="I71" t="n">
        <v>-12.8097</v>
      </c>
    </row>
    <row r="72" ht="16" customHeight="1" s="133">
      <c r="A72" t="n">
        <v>71</v>
      </c>
      <c r="B72" t="n">
        <v>5.8333</v>
      </c>
      <c r="C72" t="n">
        <v>62.4816</v>
      </c>
      <c r="D72" t="n">
        <v>63.2874</v>
      </c>
      <c r="E72" t="n">
        <v>85.45659999999999</v>
      </c>
      <c r="F72" t="n">
        <v>104.8195</v>
      </c>
      <c r="G72" t="n">
        <v>41.0521</v>
      </c>
      <c r="H72" t="n">
        <v>20.2527</v>
      </c>
      <c r="I72" t="n">
        <v>-12.5524</v>
      </c>
    </row>
    <row r="73" ht="16" customHeight="1" s="133">
      <c r="A73" t="n">
        <v>72</v>
      </c>
      <c r="B73" t="n">
        <v>5.9167</v>
      </c>
      <c r="C73" t="n">
        <v>62.4474</v>
      </c>
      <c r="D73" t="n">
        <v>63.1687</v>
      </c>
      <c r="E73" t="n">
        <v>85.95780000000001</v>
      </c>
      <c r="F73" t="n">
        <v>104.794</v>
      </c>
      <c r="G73" t="n">
        <v>41.0435</v>
      </c>
      <c r="H73" t="n">
        <v>20.1584</v>
      </c>
      <c r="I73" t="n">
        <v>-14.5814</v>
      </c>
    </row>
    <row r="74" ht="16" customHeight="1" s="133">
      <c r="A74" t="n">
        <v>73</v>
      </c>
      <c r="B74" t="n">
        <v>6</v>
      </c>
      <c r="C74" t="n">
        <v>62.4131</v>
      </c>
      <c r="D74" t="n">
        <v>62.8916</v>
      </c>
      <c r="E74" t="n">
        <v>85.1266</v>
      </c>
      <c r="F74" t="n">
        <v>104.2356</v>
      </c>
      <c r="G74" t="n">
        <v>41.5516</v>
      </c>
      <c r="H74" t="n">
        <v>21.0348</v>
      </c>
      <c r="I74" t="n">
        <v>-14.4591</v>
      </c>
    </row>
    <row r="75" ht="16" customHeight="1" s="133">
      <c r="A75" t="n">
        <v>74</v>
      </c>
      <c r="B75" t="n">
        <v>6.0833</v>
      </c>
      <c r="C75" t="n">
        <v>62.3788</v>
      </c>
      <c r="D75" t="n">
        <v>62.7213</v>
      </c>
      <c r="E75" t="n">
        <v>84.88500000000001</v>
      </c>
      <c r="F75" t="n">
        <v>105.1266</v>
      </c>
      <c r="G75" t="n">
        <v>40.7126</v>
      </c>
      <c r="H75" t="n">
        <v>20.8298</v>
      </c>
      <c r="I75" t="n">
        <v>-14.2467</v>
      </c>
    </row>
    <row r="76" ht="16" customHeight="1" s="133">
      <c r="A76" t="n">
        <v>75</v>
      </c>
      <c r="B76" t="n">
        <v>6.1667</v>
      </c>
      <c r="C76" t="n">
        <v>62.3446</v>
      </c>
      <c r="D76" t="n">
        <v>62.9305</v>
      </c>
      <c r="E76" t="n">
        <v>84.9404</v>
      </c>
      <c r="F76" t="n">
        <v>104.3575</v>
      </c>
      <c r="G76" t="n">
        <v>40.784</v>
      </c>
      <c r="H76" t="n">
        <v>20.4122</v>
      </c>
      <c r="I76" t="n">
        <v>-13.1987</v>
      </c>
    </row>
    <row r="77" ht="16" customHeight="1" s="133">
      <c r="A77" t="n">
        <v>76</v>
      </c>
      <c r="B77" t="n">
        <v>6.25</v>
      </c>
      <c r="C77" t="n">
        <v>62.3103</v>
      </c>
      <c r="D77" t="n">
        <v>62.6355</v>
      </c>
      <c r="E77" t="n">
        <v>85.1896</v>
      </c>
      <c r="F77" t="n">
        <v>104.0579</v>
      </c>
      <c r="G77" t="n">
        <v>39.939</v>
      </c>
      <c r="H77" t="n">
        <v>20.4987</v>
      </c>
      <c r="I77" t="n">
        <v>-13.7272</v>
      </c>
    </row>
    <row r="78" ht="16" customHeight="1" s="133">
      <c r="A78" t="n">
        <v>77</v>
      </c>
      <c r="B78" t="n">
        <v>6.3333</v>
      </c>
      <c r="C78" t="n">
        <v>62.2761</v>
      </c>
      <c r="D78" t="n">
        <v>62.6489</v>
      </c>
      <c r="E78" t="n">
        <v>84.9689</v>
      </c>
      <c r="F78" t="n">
        <v>104.7451</v>
      </c>
      <c r="G78" t="n">
        <v>40.318</v>
      </c>
      <c r="H78" t="n">
        <v>19.7179</v>
      </c>
      <c r="I78" t="n">
        <v>-14.8943</v>
      </c>
    </row>
    <row r="79" ht="16" customHeight="1" s="133">
      <c r="A79" t="n">
        <v>78</v>
      </c>
      <c r="B79" t="n">
        <v>6.4167</v>
      </c>
      <c r="C79" t="n">
        <v>62.2418</v>
      </c>
      <c r="D79" t="n">
        <v>62.8141</v>
      </c>
      <c r="E79" t="n">
        <v>85.35939999999999</v>
      </c>
      <c r="F79" t="n">
        <v>105.3045</v>
      </c>
      <c r="G79" t="n">
        <v>40.2666</v>
      </c>
      <c r="H79" t="n">
        <v>20.2511</v>
      </c>
      <c r="I79" t="n">
        <v>-14.1244</v>
      </c>
    </row>
    <row r="80" ht="16" customHeight="1" s="133">
      <c r="A80" t="n">
        <v>79</v>
      </c>
      <c r="B80" t="n">
        <v>6.5</v>
      </c>
      <c r="C80" t="n">
        <v>62.2075</v>
      </c>
      <c r="D80" t="n">
        <v>63.0745</v>
      </c>
      <c r="E80" t="n">
        <v>84.9906</v>
      </c>
      <c r="F80" t="n">
        <v>104.739</v>
      </c>
      <c r="G80" t="n">
        <v>40.231</v>
      </c>
      <c r="H80" t="n">
        <v>20.211</v>
      </c>
      <c r="I80" t="n">
        <v>-14.9331</v>
      </c>
    </row>
    <row r="81" ht="16" customHeight="1" s="133">
      <c r="A81" t="n">
        <v>80</v>
      </c>
      <c r="B81" t="n">
        <v>6.5833</v>
      </c>
      <c r="C81" t="n">
        <v>62.1733</v>
      </c>
      <c r="D81" t="n">
        <v>62.9874</v>
      </c>
      <c r="E81" t="n">
        <v>85.2854</v>
      </c>
      <c r="F81" t="n">
        <v>104.8005</v>
      </c>
      <c r="G81" t="n">
        <v>40.4057</v>
      </c>
      <c r="H81" t="n">
        <v>20.2555</v>
      </c>
      <c r="I81" t="n">
        <v>-14.4843</v>
      </c>
    </row>
    <row r="82" ht="16" customHeight="1" s="133">
      <c r="A82" t="n">
        <v>81</v>
      </c>
      <c r="B82" t="n">
        <v>6.6667</v>
      </c>
      <c r="C82" t="n">
        <v>62.139</v>
      </c>
      <c r="D82" t="n">
        <v>62.4777</v>
      </c>
      <c r="E82" t="n">
        <v>84.9066</v>
      </c>
      <c r="F82" t="n">
        <v>105.56</v>
      </c>
      <c r="G82" t="n">
        <v>40.5633</v>
      </c>
      <c r="H82" t="n">
        <v>20.2677</v>
      </c>
      <c r="I82" t="n">
        <v>-13.9704</v>
      </c>
    </row>
    <row r="83" ht="16" customHeight="1" s="133">
      <c r="A83" t="n">
        <v>82</v>
      </c>
      <c r="B83" t="n">
        <v>6.75</v>
      </c>
      <c r="C83" t="n">
        <v>62.1047</v>
      </c>
      <c r="D83" t="n">
        <v>62.5201</v>
      </c>
      <c r="E83" t="n">
        <v>84.9569</v>
      </c>
      <c r="F83" t="n">
        <v>105.2755</v>
      </c>
      <c r="G83" t="n">
        <v>39.9095</v>
      </c>
      <c r="H83" t="n">
        <v>20.3082</v>
      </c>
      <c r="I83" t="n">
        <v>-13.4672</v>
      </c>
    </row>
    <row r="84" ht="16" customHeight="1" s="133">
      <c r="A84" t="n">
        <v>83</v>
      </c>
      <c r="B84" t="n">
        <v>6.8333</v>
      </c>
      <c r="C84" t="n">
        <v>62.0705</v>
      </c>
      <c r="D84" t="n">
        <v>62.2743</v>
      </c>
      <c r="E84" t="n">
        <v>85.2765</v>
      </c>
      <c r="F84" t="n">
        <v>105.3585</v>
      </c>
      <c r="G84" t="n">
        <v>40.1083</v>
      </c>
      <c r="H84" t="n">
        <v>19.7926</v>
      </c>
      <c r="I84" t="n">
        <v>-11.973</v>
      </c>
    </row>
    <row r="85" ht="16" customHeight="1" s="133">
      <c r="A85" t="n">
        <v>84</v>
      </c>
      <c r="B85" t="n">
        <v>6.9167</v>
      </c>
      <c r="C85" t="n">
        <v>62.0362</v>
      </c>
      <c r="D85" t="n">
        <v>62.398</v>
      </c>
      <c r="E85" t="n">
        <v>84.96259999999999</v>
      </c>
      <c r="F85" t="n">
        <v>104.9301</v>
      </c>
      <c r="G85" t="n">
        <v>39.8551</v>
      </c>
      <c r="H85" t="n">
        <v>20.0255</v>
      </c>
      <c r="I85" t="n">
        <v>-14.0446</v>
      </c>
    </row>
    <row r="86" ht="16" customHeight="1" s="133">
      <c r="A86" t="n">
        <v>85</v>
      </c>
      <c r="B86" t="n">
        <v>7</v>
      </c>
      <c r="C86" t="n">
        <v>62.002</v>
      </c>
      <c r="D86" t="n">
        <v>62.1767</v>
      </c>
      <c r="E86" t="n">
        <v>84.6045</v>
      </c>
      <c r="F86" t="n">
        <v>104.1937</v>
      </c>
      <c r="G86" t="n">
        <v>39.7186</v>
      </c>
      <c r="H86" t="n">
        <v>19.8169</v>
      </c>
      <c r="I86" t="n">
        <v>-14.8587</v>
      </c>
    </row>
    <row r="87" ht="16" customHeight="1" s="133">
      <c r="A87" t="n">
        <v>86</v>
      </c>
      <c r="B87" t="n">
        <v>7.0833</v>
      </c>
      <c r="C87" t="n">
        <v>61.9677</v>
      </c>
      <c r="D87" t="n">
        <v>62.0783</v>
      </c>
      <c r="E87" t="n">
        <v>84.62560000000001</v>
      </c>
      <c r="F87" t="n">
        <v>104.4503</v>
      </c>
      <c r="G87" t="n">
        <v>39.7242</v>
      </c>
      <c r="H87" t="n">
        <v>19.1494</v>
      </c>
      <c r="I87" t="n">
        <v>-17.5259</v>
      </c>
    </row>
    <row r="88" ht="16" customHeight="1" s="133">
      <c r="A88" t="n">
        <v>87</v>
      </c>
      <c r="B88" t="n">
        <v>7.1667</v>
      </c>
      <c r="C88" t="n">
        <v>61.9334</v>
      </c>
      <c r="D88" t="n">
        <v>61.8828</v>
      </c>
      <c r="E88" t="n">
        <v>84.9268</v>
      </c>
      <c r="F88" t="n">
        <v>104.4059</v>
      </c>
      <c r="G88" t="n">
        <v>39.5169</v>
      </c>
      <c r="H88" t="n">
        <v>19.3464</v>
      </c>
      <c r="I88" t="n">
        <v>-16.6045</v>
      </c>
    </row>
    <row r="89" ht="16" customHeight="1" s="133">
      <c r="A89" t="n">
        <v>88</v>
      </c>
      <c r="B89" t="n">
        <v>7.25</v>
      </c>
      <c r="C89" t="n">
        <v>61.8992</v>
      </c>
      <c r="D89" t="n">
        <v>61.7588</v>
      </c>
      <c r="E89" t="n">
        <v>84.1862</v>
      </c>
      <c r="F89" t="n">
        <v>104.6636</v>
      </c>
      <c r="G89" t="n">
        <v>39.3511</v>
      </c>
      <c r="H89" t="n">
        <v>19.3905</v>
      </c>
      <c r="I89" t="n">
        <v>-15.8719</v>
      </c>
    </row>
    <row r="90" ht="16" customHeight="1" s="133">
      <c r="A90" t="n">
        <v>89</v>
      </c>
      <c r="B90" t="n">
        <v>7.3333</v>
      </c>
      <c r="C90" t="n">
        <v>61.8649</v>
      </c>
      <c r="D90" t="n">
        <v>62.4898</v>
      </c>
      <c r="E90" t="n">
        <v>84.14239999999999</v>
      </c>
      <c r="F90" t="n">
        <v>103.9323</v>
      </c>
      <c r="G90" t="n">
        <v>39.6381</v>
      </c>
      <c r="H90" t="n">
        <v>19.4429</v>
      </c>
      <c r="I90" t="n">
        <v>-14.683</v>
      </c>
    </row>
    <row r="91" ht="16" customHeight="1" s="133">
      <c r="A91" t="n">
        <v>90</v>
      </c>
      <c r="B91" t="n">
        <v>7.4167</v>
      </c>
      <c r="C91" t="n">
        <v>61.8307</v>
      </c>
      <c r="D91" t="n">
        <v>62.0116</v>
      </c>
      <c r="E91" t="n">
        <v>84.04940000000001</v>
      </c>
      <c r="F91" t="n">
        <v>104.3646</v>
      </c>
      <c r="G91" t="n">
        <v>39.6633</v>
      </c>
      <c r="H91" t="n">
        <v>19.7408</v>
      </c>
      <c r="I91" t="n">
        <v>-15.2051</v>
      </c>
    </row>
    <row r="92" ht="16" customHeight="1" s="133">
      <c r="A92" t="n">
        <v>91</v>
      </c>
      <c r="B92" t="n">
        <v>7.5</v>
      </c>
      <c r="C92" t="n">
        <v>61.7964</v>
      </c>
      <c r="D92" t="n">
        <v>61.8201</v>
      </c>
      <c r="E92" t="n">
        <v>84.11060000000001</v>
      </c>
      <c r="F92" t="n">
        <v>104.1167</v>
      </c>
      <c r="G92" t="n">
        <v>39.2425</v>
      </c>
      <c r="H92" t="n">
        <v>19.3102</v>
      </c>
      <c r="I92" t="n">
        <v>-14.3461</v>
      </c>
    </row>
    <row r="93" ht="16" customHeight="1" s="133">
      <c r="A93" t="n">
        <v>92</v>
      </c>
      <c r="B93" t="n">
        <v>7.5833</v>
      </c>
      <c r="C93" t="n">
        <v>61.7621</v>
      </c>
      <c r="D93" t="n">
        <v>61.529</v>
      </c>
      <c r="E93" t="n">
        <v>84.0883</v>
      </c>
      <c r="F93" t="n">
        <v>103.1152</v>
      </c>
      <c r="G93" t="n">
        <v>39.9096</v>
      </c>
      <c r="H93" t="n">
        <v>19.6546</v>
      </c>
      <c r="I93" t="n">
        <v>-13.7967</v>
      </c>
    </row>
    <row r="94" ht="16" customHeight="1" s="133">
      <c r="A94" t="n">
        <v>93</v>
      </c>
      <c r="B94" t="n">
        <v>7.6667</v>
      </c>
      <c r="C94" t="n">
        <v>61.7279</v>
      </c>
      <c r="D94" t="n">
        <v>61.6442</v>
      </c>
      <c r="E94" t="n">
        <v>83.3001</v>
      </c>
      <c r="F94" t="n">
        <v>103.5711</v>
      </c>
      <c r="G94" t="n">
        <v>39.6856</v>
      </c>
      <c r="H94" t="n">
        <v>19.0036</v>
      </c>
      <c r="I94" t="n">
        <v>-14.793</v>
      </c>
    </row>
    <row r="95" ht="16" customHeight="1" s="133">
      <c r="A95" t="n">
        <v>94</v>
      </c>
      <c r="B95" t="n">
        <v>7.75</v>
      </c>
      <c r="C95" t="n">
        <v>61.6936</v>
      </c>
      <c r="D95" t="n">
        <v>61.4838</v>
      </c>
      <c r="E95" t="n">
        <v>83.5998</v>
      </c>
      <c r="F95" t="n">
        <v>103.7415</v>
      </c>
      <c r="G95" t="n">
        <v>39.3025</v>
      </c>
      <c r="H95" t="n">
        <v>19.1409</v>
      </c>
      <c r="I95" t="n">
        <v>-12.9876</v>
      </c>
    </row>
    <row r="96" ht="16" customHeight="1" s="133">
      <c r="A96" t="n">
        <v>95</v>
      </c>
      <c r="B96" t="n">
        <v>7.8333</v>
      </c>
      <c r="C96" t="n">
        <v>61.6593</v>
      </c>
      <c r="D96" t="n">
        <v>61.343</v>
      </c>
      <c r="E96" t="n">
        <v>83.5442</v>
      </c>
      <c r="F96" t="n">
        <v>103.0638</v>
      </c>
      <c r="G96" t="n">
        <v>39.2756</v>
      </c>
      <c r="H96" t="n">
        <v>18.5768</v>
      </c>
      <c r="I96" t="n">
        <v>-16.6783</v>
      </c>
    </row>
    <row r="97" ht="16" customHeight="1" s="133">
      <c r="A97" t="n">
        <v>96</v>
      </c>
      <c r="B97" t="n">
        <v>7.9167</v>
      </c>
      <c r="C97" t="n">
        <v>61.6251</v>
      </c>
      <c r="D97" t="n">
        <v>60.9542</v>
      </c>
      <c r="E97" t="n">
        <v>83.27370000000001</v>
      </c>
      <c r="F97" t="n">
        <v>103.2438</v>
      </c>
      <c r="G97" t="n">
        <v>39.3431</v>
      </c>
      <c r="H97" t="n">
        <v>19.252</v>
      </c>
      <c r="I97" t="n">
        <v>-17.8401</v>
      </c>
    </row>
    <row r="98" ht="16" customHeight="1" s="133">
      <c r="A98" t="n">
        <v>97</v>
      </c>
      <c r="B98" t="n">
        <v>8</v>
      </c>
      <c r="C98" t="n">
        <v>61.5908</v>
      </c>
      <c r="D98" t="n">
        <v>60.434</v>
      </c>
      <c r="E98" t="n">
        <v>83.1362</v>
      </c>
      <c r="F98" t="n">
        <v>103.4725</v>
      </c>
      <c r="G98" t="n">
        <v>38.6877</v>
      </c>
      <c r="H98" t="n">
        <v>18.1474</v>
      </c>
      <c r="I98" t="n">
        <v>-16.38</v>
      </c>
    </row>
    <row r="99" ht="16" customHeight="1" s="133">
      <c r="A99" t="n">
        <v>98</v>
      </c>
      <c r="B99" t="n">
        <v>8.083299999999999</v>
      </c>
      <c r="C99" t="n">
        <v>61.5566</v>
      </c>
      <c r="D99" t="n">
        <v>60.3001</v>
      </c>
      <c r="E99" t="n">
        <v>83.61660000000001</v>
      </c>
      <c r="F99" t="n">
        <v>104.0874</v>
      </c>
      <c r="G99" t="n">
        <v>38.5256</v>
      </c>
      <c r="H99" t="n">
        <v>18.4889</v>
      </c>
      <c r="I99" t="n">
        <v>-14.0697</v>
      </c>
    </row>
    <row r="100" ht="16" customHeight="1" s="133">
      <c r="A100" t="n">
        <v>99</v>
      </c>
      <c r="B100" t="n">
        <v>8.166700000000001</v>
      </c>
      <c r="C100" t="n">
        <v>61.5223</v>
      </c>
      <c r="D100" t="n">
        <v>60.473</v>
      </c>
      <c r="E100" t="n">
        <v>83.1063</v>
      </c>
      <c r="F100" t="n">
        <v>103.7557</v>
      </c>
      <c r="G100" t="n">
        <v>38.5454</v>
      </c>
      <c r="H100" t="n">
        <v>18.901</v>
      </c>
      <c r="I100" t="n">
        <v>-14.2184</v>
      </c>
    </row>
    <row r="101" ht="16" customHeight="1" s="133">
      <c r="A101" t="n">
        <v>100</v>
      </c>
      <c r="B101" t="n">
        <v>8.25</v>
      </c>
      <c r="C101" t="n">
        <v>61.488</v>
      </c>
      <c r="D101" t="n">
        <v>60.8696</v>
      </c>
      <c r="E101" t="n">
        <v>82.943</v>
      </c>
      <c r="F101" t="n">
        <v>103.3719</v>
      </c>
      <c r="G101" t="n">
        <v>38.4497</v>
      </c>
      <c r="H101" t="n">
        <v>18.348</v>
      </c>
      <c r="I101" t="n">
        <v>-14.9019</v>
      </c>
    </row>
    <row r="102" ht="16" customHeight="1" s="133">
      <c r="A102" t="n">
        <v>101</v>
      </c>
      <c r="B102" t="n">
        <v>8.333299999999999</v>
      </c>
      <c r="C102" t="n">
        <v>61.4538</v>
      </c>
      <c r="D102" t="n">
        <v>60.9672</v>
      </c>
      <c r="E102" t="n">
        <v>82.74160000000001</v>
      </c>
      <c r="F102" t="n">
        <v>102.8931</v>
      </c>
      <c r="G102" t="n">
        <v>38.5117</v>
      </c>
      <c r="H102" t="n">
        <v>18.7948</v>
      </c>
      <c r="I102" t="n">
        <v>-16.2079</v>
      </c>
    </row>
    <row r="103" ht="16" customHeight="1" s="133">
      <c r="A103" t="n">
        <v>102</v>
      </c>
      <c r="B103" t="n">
        <v>8.416700000000001</v>
      </c>
      <c r="C103" t="n">
        <v>61.4195</v>
      </c>
      <c r="D103" t="n">
        <v>60.7791</v>
      </c>
      <c r="E103" t="n">
        <v>83.0527</v>
      </c>
      <c r="F103" t="n">
        <v>103.48</v>
      </c>
      <c r="G103" t="n">
        <v>39.3669</v>
      </c>
      <c r="H103" t="n">
        <v>19.574</v>
      </c>
      <c r="I103" t="n">
        <v>-15.7586</v>
      </c>
    </row>
    <row r="104" ht="16" customHeight="1" s="133">
      <c r="A104" t="n">
        <v>103</v>
      </c>
      <c r="B104" t="n">
        <v>8.5</v>
      </c>
      <c r="C104" t="n">
        <v>61.3853</v>
      </c>
      <c r="D104" t="n">
        <v>61.3644</v>
      </c>
      <c r="E104" t="n">
        <v>83.36750000000001</v>
      </c>
      <c r="F104" t="n">
        <v>103.4362</v>
      </c>
      <c r="G104" t="n">
        <v>39.2526</v>
      </c>
      <c r="H104" t="n">
        <v>19.0856</v>
      </c>
      <c r="I104" t="n">
        <v>-15.1148</v>
      </c>
    </row>
    <row r="105" ht="16" customHeight="1" s="133">
      <c r="A105" t="n">
        <v>104</v>
      </c>
      <c r="B105" t="n">
        <v>8.583299999999999</v>
      </c>
      <c r="C105" t="n">
        <v>61.351</v>
      </c>
      <c r="D105" t="n">
        <v>61.2554</v>
      </c>
      <c r="E105" t="n">
        <v>83.1692</v>
      </c>
      <c r="F105" t="n">
        <v>103.6602</v>
      </c>
      <c r="G105" t="n">
        <v>39.0273</v>
      </c>
      <c r="H105" t="n">
        <v>18.6663</v>
      </c>
      <c r="I105" t="n">
        <v>-16.1115</v>
      </c>
    </row>
    <row r="106" ht="16" customHeight="1" s="133">
      <c r="A106" t="n">
        <v>105</v>
      </c>
      <c r="B106" t="n">
        <v>8.666700000000001</v>
      </c>
      <c r="C106" t="n">
        <v>61.3167</v>
      </c>
      <c r="D106" t="n">
        <v>61.0374</v>
      </c>
      <c r="E106" t="n">
        <v>82.9263</v>
      </c>
      <c r="F106" t="n">
        <v>103.876</v>
      </c>
      <c r="G106" t="n">
        <v>38.5674</v>
      </c>
      <c r="H106" t="n">
        <v>18.7993</v>
      </c>
      <c r="I106" t="n">
        <v>-17.3927</v>
      </c>
    </row>
    <row r="107" ht="16" customHeight="1" s="133">
      <c r="A107" t="n">
        <v>106</v>
      </c>
      <c r="B107" t="n">
        <v>8.75</v>
      </c>
      <c r="C107" t="n">
        <v>61.2825</v>
      </c>
      <c r="D107" t="n">
        <v>61.084</v>
      </c>
      <c r="E107" t="n">
        <v>83.41549999999999</v>
      </c>
      <c r="F107" t="n">
        <v>103.3539</v>
      </c>
      <c r="G107" t="n">
        <v>38.7971</v>
      </c>
      <c r="H107" t="n">
        <v>18.6839</v>
      </c>
      <c r="I107" t="n">
        <v>-14.813</v>
      </c>
    </row>
    <row r="108" ht="16" customHeight="1" s="133">
      <c r="A108" t="n">
        <v>107</v>
      </c>
      <c r="B108" t="n">
        <v>8.833299999999999</v>
      </c>
      <c r="C108" t="n">
        <v>61.2482</v>
      </c>
      <c r="D108" t="n">
        <v>61.1586</v>
      </c>
      <c r="E108" t="n">
        <v>83.9637</v>
      </c>
      <c r="F108" t="n">
        <v>104.0643</v>
      </c>
      <c r="G108" t="n">
        <v>38.7776</v>
      </c>
      <c r="H108" t="n">
        <v>18.8104</v>
      </c>
      <c r="I108" t="n">
        <v>-16.4959</v>
      </c>
    </row>
    <row r="109" ht="16" customHeight="1" s="133">
      <c r="A109" t="n">
        <v>108</v>
      </c>
      <c r="B109" t="n">
        <v>8.916700000000001</v>
      </c>
      <c r="C109" t="n">
        <v>61.2139</v>
      </c>
      <c r="D109" t="n">
        <v>61.5774</v>
      </c>
      <c r="E109" t="n">
        <v>83.449</v>
      </c>
      <c r="F109" t="n">
        <v>103.729</v>
      </c>
      <c r="G109" t="n">
        <v>38.9007</v>
      </c>
      <c r="H109" t="n">
        <v>18.7946</v>
      </c>
      <c r="I109" t="n">
        <v>-15.9916</v>
      </c>
    </row>
    <row r="110" ht="16" customHeight="1" s="133">
      <c r="A110" t="n">
        <v>109</v>
      </c>
      <c r="B110" t="n">
        <v>9</v>
      </c>
      <c r="C110" t="n">
        <v>61.1797</v>
      </c>
      <c r="D110" t="n">
        <v>61.2402</v>
      </c>
      <c r="E110" t="n">
        <v>83.4802</v>
      </c>
      <c r="F110" t="n">
        <v>103.124</v>
      </c>
      <c r="G110" t="n">
        <v>38.8046</v>
      </c>
      <c r="H110" t="n">
        <v>18.8402</v>
      </c>
      <c r="I110" t="n">
        <v>-15.6677</v>
      </c>
    </row>
    <row r="111" ht="16" customHeight="1" s="133">
      <c r="A111" t="n">
        <v>110</v>
      </c>
      <c r="B111" t="n">
        <v>9.083299999999999</v>
      </c>
      <c r="C111" t="n">
        <v>61.1454</v>
      </c>
      <c r="D111" t="n">
        <v>61.5023</v>
      </c>
      <c r="E111" t="n">
        <v>83.6023</v>
      </c>
      <c r="F111" t="n">
        <v>104.1474</v>
      </c>
      <c r="G111" t="n">
        <v>38.3746</v>
      </c>
      <c r="H111" t="n">
        <v>19.0796</v>
      </c>
      <c r="I111" t="n">
        <v>-15.3741</v>
      </c>
    </row>
    <row r="112" ht="16" customHeight="1" s="133">
      <c r="A112" t="n">
        <v>111</v>
      </c>
      <c r="B112" t="n">
        <v>9.166700000000001</v>
      </c>
      <c r="C112" t="n">
        <v>61.1112</v>
      </c>
      <c r="D112" t="n">
        <v>60.8356</v>
      </c>
      <c r="E112" t="n">
        <v>83.54770000000001</v>
      </c>
      <c r="F112" t="n">
        <v>103.8365</v>
      </c>
      <c r="G112" t="n">
        <v>38.4342</v>
      </c>
      <c r="H112" t="n">
        <v>18.1237</v>
      </c>
      <c r="I112" t="n">
        <v>-16.5537</v>
      </c>
    </row>
    <row r="113" ht="16" customHeight="1" s="133">
      <c r="A113" t="n">
        <v>112</v>
      </c>
      <c r="B113" t="n">
        <v>9.25</v>
      </c>
      <c r="C113" t="n">
        <v>61.0769</v>
      </c>
      <c r="D113" t="n">
        <v>61.0535</v>
      </c>
      <c r="E113" t="n">
        <v>83.7323</v>
      </c>
      <c r="F113" t="n">
        <v>103.6278</v>
      </c>
      <c r="G113" t="n">
        <v>38.3208</v>
      </c>
      <c r="H113" t="n">
        <v>18.4078</v>
      </c>
      <c r="I113" t="n">
        <v>-16.2142</v>
      </c>
    </row>
    <row r="114" ht="16" customHeight="1" s="133">
      <c r="A114" t="n">
        <v>113</v>
      </c>
      <c r="B114" t="n">
        <v>9.333299999999999</v>
      </c>
      <c r="C114" t="n">
        <v>61.0426</v>
      </c>
      <c r="D114" t="n">
        <v>60.5295</v>
      </c>
      <c r="E114" t="n">
        <v>83.10599999999999</v>
      </c>
      <c r="F114" t="n">
        <v>103.6986</v>
      </c>
      <c r="G114" t="n">
        <v>38.4157</v>
      </c>
      <c r="H114" t="n">
        <v>18.6193</v>
      </c>
      <c r="I114" t="n">
        <v>-15.9712</v>
      </c>
    </row>
    <row r="115" ht="16" customHeight="1" s="133">
      <c r="A115" t="n">
        <v>114</v>
      </c>
      <c r="B115" t="n">
        <v>9.416700000000001</v>
      </c>
      <c r="C115" t="n">
        <v>61.0084</v>
      </c>
      <c r="D115" t="n">
        <v>60.994</v>
      </c>
      <c r="E115" t="n">
        <v>83.1848</v>
      </c>
      <c r="F115" t="n">
        <v>104.1523</v>
      </c>
      <c r="G115" t="n">
        <v>38.6326</v>
      </c>
      <c r="H115" t="n">
        <v>18.9409</v>
      </c>
      <c r="I115" t="n">
        <v>-16.4103</v>
      </c>
    </row>
    <row r="116" ht="16" customHeight="1" s="133">
      <c r="A116" t="n">
        <v>115</v>
      </c>
      <c r="B116" t="n">
        <v>9.5</v>
      </c>
      <c r="C116" t="n">
        <v>60.9741</v>
      </c>
      <c r="D116" t="n">
        <v>60.7776</v>
      </c>
      <c r="E116" t="n">
        <v>83.0202</v>
      </c>
      <c r="F116" t="n">
        <v>103.7169</v>
      </c>
      <c r="G116" t="n">
        <v>38.3426</v>
      </c>
      <c r="H116" t="n">
        <v>18.8533</v>
      </c>
      <c r="I116" t="n">
        <v>-15.8991</v>
      </c>
    </row>
    <row r="117" ht="16" customHeight="1" s="133">
      <c r="A117" t="n">
        <v>116</v>
      </c>
      <c r="B117" t="n">
        <v>9.583299999999999</v>
      </c>
      <c r="C117" t="n">
        <v>60.9399</v>
      </c>
      <c r="D117" t="n">
        <v>60.9892</v>
      </c>
      <c r="E117" t="n">
        <v>83.08839999999999</v>
      </c>
      <c r="F117" t="n">
        <v>102.9686</v>
      </c>
      <c r="G117" t="n">
        <v>37.9367</v>
      </c>
      <c r="H117" t="n">
        <v>18.28</v>
      </c>
      <c r="I117" t="n">
        <v>-19.1212</v>
      </c>
    </row>
    <row r="118" ht="16" customHeight="1" s="133">
      <c r="A118" t="n">
        <v>117</v>
      </c>
      <c r="B118" t="n">
        <v>9.666700000000001</v>
      </c>
      <c r="C118" t="n">
        <v>60.9056</v>
      </c>
      <c r="D118" t="n">
        <v>60.859</v>
      </c>
      <c r="E118" t="n">
        <v>83.75490000000001</v>
      </c>
      <c r="F118" t="n">
        <v>104.0425</v>
      </c>
      <c r="G118" t="n">
        <v>38.7079</v>
      </c>
      <c r="H118" t="n">
        <v>18.4205</v>
      </c>
      <c r="I118" t="n">
        <v>-16.9329</v>
      </c>
    </row>
    <row r="119" ht="16" customHeight="1" s="133">
      <c r="A119" t="n">
        <v>118</v>
      </c>
      <c r="B119" t="n">
        <v>9.75</v>
      </c>
      <c r="C119" t="n">
        <v>60.8713</v>
      </c>
      <c r="D119" t="n">
        <v>60.9684</v>
      </c>
      <c r="E119" t="n">
        <v>83.7801</v>
      </c>
      <c r="F119" t="n">
        <v>103.405</v>
      </c>
      <c r="G119" t="n">
        <v>38.4081</v>
      </c>
      <c r="H119" t="n">
        <v>18.2642</v>
      </c>
      <c r="I119" t="n">
        <v>-16.0822</v>
      </c>
    </row>
    <row r="120" ht="16" customHeight="1" s="133">
      <c r="A120" t="n">
        <v>119</v>
      </c>
      <c r="B120" t="n">
        <v>9.833299999999999</v>
      </c>
      <c r="C120" t="n">
        <v>60.8371</v>
      </c>
      <c r="D120" t="n">
        <v>60.7264</v>
      </c>
      <c r="E120" t="n">
        <v>83.2119</v>
      </c>
      <c r="F120" t="n">
        <v>104.0852</v>
      </c>
      <c r="G120" t="n">
        <v>38.6999</v>
      </c>
      <c r="H120" t="n">
        <v>18.7848</v>
      </c>
      <c r="I120" t="n">
        <v>-16.3594</v>
      </c>
    </row>
    <row r="121" ht="16" customHeight="1" s="133">
      <c r="A121" t="n">
        <v>120</v>
      </c>
      <c r="B121" t="n">
        <v>9.916700000000001</v>
      </c>
      <c r="C121" t="n">
        <v>60.8028</v>
      </c>
      <c r="D121" t="n">
        <v>60.6705</v>
      </c>
      <c r="E121" t="n">
        <v>82.97539999999999</v>
      </c>
      <c r="F121" t="n">
        <v>102.6712</v>
      </c>
      <c r="G121" t="n">
        <v>38.9327</v>
      </c>
      <c r="H121" t="n">
        <v>18.2749</v>
      </c>
      <c r="I121" t="n">
        <v>-17.662</v>
      </c>
    </row>
    <row r="122" ht="16" customHeight="1" s="133">
      <c r="A122" t="n">
        <v>121</v>
      </c>
      <c r="B122" t="n">
        <v>10</v>
      </c>
      <c r="C122" t="n">
        <v>60.7685</v>
      </c>
      <c r="D122" t="n">
        <v>61.1463</v>
      </c>
      <c r="E122" t="n">
        <v>83.2029</v>
      </c>
      <c r="F122" t="n">
        <v>102.8569</v>
      </c>
      <c r="G122" t="n">
        <v>39.2177</v>
      </c>
      <c r="H122" t="n">
        <v>18.4975</v>
      </c>
      <c r="I122" t="n">
        <v>-14.7202</v>
      </c>
    </row>
    <row r="123" ht="16" customHeight="1" s="133">
      <c r="A123" t="n">
        <v>122</v>
      </c>
      <c r="B123" t="n">
        <v>10.0833</v>
      </c>
      <c r="C123" t="n">
        <v>60.7343</v>
      </c>
      <c r="D123" t="n">
        <v>61.2064</v>
      </c>
      <c r="E123" t="n">
        <v>83.7328</v>
      </c>
      <c r="F123" t="n">
        <v>103.6764</v>
      </c>
      <c r="G123" t="n">
        <v>38.9395</v>
      </c>
      <c r="H123" t="n">
        <v>18.4911</v>
      </c>
      <c r="I123" t="n">
        <v>-14.6885</v>
      </c>
    </row>
    <row r="124" ht="16" customHeight="1" s="133">
      <c r="A124" t="n">
        <v>123</v>
      </c>
      <c r="B124" t="n">
        <v>10.1667</v>
      </c>
      <c r="C124" t="n">
        <v>60.7</v>
      </c>
      <c r="D124" t="n">
        <v>61.7537</v>
      </c>
      <c r="E124" t="n">
        <v>83.2325</v>
      </c>
      <c r="F124" t="n">
        <v>102.9127</v>
      </c>
      <c r="G124" t="n">
        <v>39.164</v>
      </c>
      <c r="H124" t="n">
        <v>19.0291</v>
      </c>
      <c r="I124" t="n">
        <v>-17.2074</v>
      </c>
    </row>
    <row r="125" ht="16" customHeight="1" s="133">
      <c r="A125" t="n">
        <v>124</v>
      </c>
      <c r="B125" t="n">
        <v>10.25</v>
      </c>
      <c r="C125" t="n">
        <v>60.6658</v>
      </c>
      <c r="D125" t="n">
        <v>61.6866</v>
      </c>
      <c r="E125" t="n">
        <v>83.3612</v>
      </c>
      <c r="F125" t="n">
        <v>103.0419</v>
      </c>
      <c r="G125" t="n">
        <v>39.2124</v>
      </c>
      <c r="H125" t="n">
        <v>18.3738</v>
      </c>
      <c r="I125" t="n">
        <v>-16.3548</v>
      </c>
    </row>
    <row r="126" ht="16" customHeight="1" s="133">
      <c r="A126" t="n">
        <v>125</v>
      </c>
      <c r="B126" t="n">
        <v>10.3333</v>
      </c>
      <c r="C126" t="n">
        <v>60.6315</v>
      </c>
      <c r="D126" t="n">
        <v>60.9476</v>
      </c>
      <c r="E126" t="n">
        <v>82.7247</v>
      </c>
      <c r="F126" t="n">
        <v>102.3314</v>
      </c>
      <c r="G126" t="n">
        <v>38.3474</v>
      </c>
      <c r="H126" t="n">
        <v>17.6499</v>
      </c>
      <c r="I126" t="n">
        <v>-15.9164</v>
      </c>
    </row>
    <row r="127" ht="16" customHeight="1" s="133">
      <c r="A127" t="n">
        <v>126</v>
      </c>
      <c r="B127" t="n">
        <v>10.4167</v>
      </c>
      <c r="C127" t="n">
        <v>60.5972</v>
      </c>
      <c r="D127" t="n">
        <v>60.8869</v>
      </c>
      <c r="E127" t="n">
        <v>82.1223</v>
      </c>
      <c r="F127" t="n">
        <v>102.2066</v>
      </c>
      <c r="G127" t="n">
        <v>38.2755</v>
      </c>
      <c r="H127" t="n">
        <v>18.0595</v>
      </c>
      <c r="I127" t="n">
        <v>-17.0907</v>
      </c>
    </row>
    <row r="128" ht="16" customHeight="1" s="133">
      <c r="A128" t="n">
        <v>127</v>
      </c>
      <c r="B128" t="n">
        <v>10.5</v>
      </c>
      <c r="C128" t="n">
        <v>60.563</v>
      </c>
      <c r="D128" t="n">
        <v>60.4458</v>
      </c>
      <c r="E128" t="n">
        <v>82.74509999999999</v>
      </c>
      <c r="F128" t="n">
        <v>102.4005</v>
      </c>
      <c r="G128" t="n">
        <v>37.8143</v>
      </c>
      <c r="H128" t="n">
        <v>17.9162</v>
      </c>
      <c r="I128" t="n">
        <v>-17.6193</v>
      </c>
    </row>
    <row r="129" ht="16" customHeight="1" s="133">
      <c r="A129" t="n">
        <v>128</v>
      </c>
      <c r="B129" t="n">
        <v>10.5833</v>
      </c>
      <c r="C129" t="n">
        <v>60.5287</v>
      </c>
      <c r="D129" t="n">
        <v>60.1503</v>
      </c>
      <c r="E129" t="n">
        <v>82.75190000000001</v>
      </c>
      <c r="F129" t="n">
        <v>103.4308</v>
      </c>
      <c r="G129" t="n">
        <v>37.8405</v>
      </c>
      <c r="H129" t="n">
        <v>17.8065</v>
      </c>
      <c r="I129" t="n">
        <v>-17.3853</v>
      </c>
    </row>
    <row r="130" ht="16" customHeight="1" s="133">
      <c r="A130" t="n">
        <v>129</v>
      </c>
      <c r="B130" t="n">
        <v>10.6667</v>
      </c>
      <c r="C130" t="n">
        <v>60.4945</v>
      </c>
      <c r="D130" t="n">
        <v>60.157</v>
      </c>
      <c r="E130" t="n">
        <v>82.25700000000001</v>
      </c>
      <c r="F130" t="n">
        <v>102.1999</v>
      </c>
      <c r="G130" t="n">
        <v>37.3509</v>
      </c>
      <c r="H130" t="n">
        <v>17.3403</v>
      </c>
      <c r="I130" t="n">
        <v>-16.5895</v>
      </c>
    </row>
    <row r="131" ht="16" customHeight="1" s="133">
      <c r="A131" t="n">
        <v>130</v>
      </c>
      <c r="B131" t="n">
        <v>10.75</v>
      </c>
      <c r="C131" t="n">
        <v>60.4602</v>
      </c>
      <c r="D131" t="n">
        <v>60.2788</v>
      </c>
      <c r="E131" t="n">
        <v>82.60380000000001</v>
      </c>
      <c r="F131" t="n">
        <v>102.2739</v>
      </c>
      <c r="G131" t="n">
        <v>37.6081</v>
      </c>
      <c r="H131" t="n">
        <v>17.4853</v>
      </c>
      <c r="I131" t="n">
        <v>-17.1345</v>
      </c>
    </row>
    <row r="132" ht="16" customHeight="1" s="133">
      <c r="A132" t="n">
        <v>131</v>
      </c>
      <c r="B132" t="n">
        <v>10.8333</v>
      </c>
      <c r="C132" t="n">
        <v>60.4259</v>
      </c>
      <c r="D132" t="n">
        <v>59.5874</v>
      </c>
      <c r="E132" t="n">
        <v>82.89409999999999</v>
      </c>
      <c r="F132" t="n">
        <v>102.513</v>
      </c>
      <c r="G132" t="n">
        <v>37.1373</v>
      </c>
      <c r="H132" t="n">
        <v>17.2216</v>
      </c>
      <c r="I132" t="n">
        <v>-16.1617</v>
      </c>
    </row>
    <row r="133" ht="16" customHeight="1" s="133">
      <c r="A133" t="n">
        <v>132</v>
      </c>
      <c r="B133" t="n">
        <v>10.9167</v>
      </c>
      <c r="C133" t="n">
        <v>60.3917</v>
      </c>
      <c r="D133" t="n">
        <v>59.3136</v>
      </c>
      <c r="E133" t="n">
        <v>82.7184</v>
      </c>
      <c r="F133" t="n">
        <v>102.4083</v>
      </c>
      <c r="G133" t="n">
        <v>37.2847</v>
      </c>
      <c r="H133" t="n">
        <v>17.0854</v>
      </c>
      <c r="I133" t="n">
        <v>-18.3685</v>
      </c>
    </row>
    <row r="134" ht="16" customHeight="1" s="133">
      <c r="A134" t="n">
        <v>133</v>
      </c>
      <c r="B134" t="n">
        <v>11</v>
      </c>
      <c r="C134" t="n">
        <v>60.3574</v>
      </c>
      <c r="D134" t="n">
        <v>59.3775</v>
      </c>
      <c r="E134" t="n">
        <v>82.4328</v>
      </c>
      <c r="F134" t="n">
        <v>103.0194</v>
      </c>
      <c r="G134" t="n">
        <v>36.5896</v>
      </c>
      <c r="H134" t="n">
        <v>16.4536</v>
      </c>
      <c r="I134" t="n">
        <v>-16.1442</v>
      </c>
    </row>
    <row r="135" ht="16" customHeight="1" s="133">
      <c r="A135" t="n">
        <v>134</v>
      </c>
      <c r="B135" t="n">
        <v>11.0833</v>
      </c>
      <c r="C135" t="n">
        <v>60.3231</v>
      </c>
      <c r="D135" t="n">
        <v>59.4079</v>
      </c>
      <c r="E135" t="n">
        <v>82.68859999999999</v>
      </c>
      <c r="F135" t="n">
        <v>102.6127</v>
      </c>
      <c r="G135" t="n">
        <v>37.0398</v>
      </c>
      <c r="H135" t="n">
        <v>16.5287</v>
      </c>
      <c r="I135" t="n">
        <v>-16.664</v>
      </c>
    </row>
    <row r="136" ht="16" customHeight="1" s="133">
      <c r="A136" t="n">
        <v>135</v>
      </c>
      <c r="B136" t="n">
        <v>11.1667</v>
      </c>
      <c r="C136" t="n">
        <v>60.2889</v>
      </c>
      <c r="D136" t="n">
        <v>59.7418</v>
      </c>
      <c r="E136" t="n">
        <v>82.3623</v>
      </c>
      <c r="F136" t="n">
        <v>103.1204</v>
      </c>
      <c r="G136" t="n">
        <v>37.3945</v>
      </c>
      <c r="H136" t="n">
        <v>16.9095</v>
      </c>
      <c r="I136" t="n">
        <v>-17.2591</v>
      </c>
    </row>
    <row r="137" ht="16" customHeight="1" s="133">
      <c r="A137" t="n">
        <v>136</v>
      </c>
      <c r="B137" t="n">
        <v>11.25</v>
      </c>
      <c r="C137" t="n">
        <v>60.2546</v>
      </c>
      <c r="D137" t="n">
        <v>59.4624</v>
      </c>
      <c r="E137" t="n">
        <v>82.82769999999999</v>
      </c>
      <c r="F137" t="n">
        <v>102.2724</v>
      </c>
      <c r="G137" t="n">
        <v>37.1347</v>
      </c>
      <c r="H137" t="n">
        <v>17.6751</v>
      </c>
      <c r="I137" t="n">
        <v>-17.1537</v>
      </c>
    </row>
    <row r="138" ht="16" customHeight="1" s="133">
      <c r="A138" t="n">
        <v>137</v>
      </c>
      <c r="B138" t="n">
        <v>11.3333</v>
      </c>
      <c r="C138" t="n">
        <v>60.2204</v>
      </c>
      <c r="D138" t="n">
        <v>59.7893</v>
      </c>
      <c r="E138" t="n">
        <v>81.81270000000001</v>
      </c>
      <c r="F138" t="n">
        <v>102.1324</v>
      </c>
      <c r="G138" t="n">
        <v>37.3687</v>
      </c>
      <c r="H138" t="n">
        <v>17.5982</v>
      </c>
      <c r="I138" t="n">
        <v>-17.5057</v>
      </c>
    </row>
    <row r="139" ht="16" customHeight="1" s="133">
      <c r="A139" t="n">
        <v>138</v>
      </c>
      <c r="B139" t="n">
        <v>11.4167</v>
      </c>
      <c r="C139" t="n">
        <v>60.1861</v>
      </c>
      <c r="D139" t="n">
        <v>59.8724</v>
      </c>
      <c r="E139" t="n">
        <v>82.2212</v>
      </c>
      <c r="F139" t="n">
        <v>102.3941</v>
      </c>
      <c r="G139" t="n">
        <v>37.7457</v>
      </c>
      <c r="H139" t="n">
        <v>17.3712</v>
      </c>
      <c r="I139" t="n">
        <v>-17.066</v>
      </c>
    </row>
    <row r="140" ht="16" customHeight="1" s="133">
      <c r="A140" t="n">
        <v>139</v>
      </c>
      <c r="B140" t="n">
        <v>11.5</v>
      </c>
      <c r="C140" t="n">
        <v>60.1518</v>
      </c>
      <c r="D140" t="n">
        <v>59.9164</v>
      </c>
      <c r="E140" t="n">
        <v>81.77889999999999</v>
      </c>
      <c r="F140" t="n">
        <v>101.6505</v>
      </c>
      <c r="G140" t="n">
        <v>37.7118</v>
      </c>
      <c r="H140" t="n">
        <v>18.2809</v>
      </c>
      <c r="I140" t="n">
        <v>-17.1635</v>
      </c>
    </row>
    <row r="141" ht="16" customHeight="1" s="133">
      <c r="A141" t="n">
        <v>140</v>
      </c>
      <c r="B141" t="n">
        <v>11.5833</v>
      </c>
      <c r="C141" t="n">
        <v>60.1176</v>
      </c>
      <c r="D141" t="n">
        <v>60.4144</v>
      </c>
      <c r="E141" t="n">
        <v>81.7453</v>
      </c>
      <c r="F141" t="n">
        <v>101.8997</v>
      </c>
      <c r="G141" t="n">
        <v>38.4304</v>
      </c>
      <c r="H141" t="n">
        <v>18.3373</v>
      </c>
      <c r="I141" t="n">
        <v>-18.0043</v>
      </c>
    </row>
    <row r="142" ht="16" customHeight="1" s="133">
      <c r="A142" t="n">
        <v>141</v>
      </c>
      <c r="B142" t="n">
        <v>11.6667</v>
      </c>
      <c r="C142" t="n">
        <v>60.0833</v>
      </c>
      <c r="D142" t="n">
        <v>60.186</v>
      </c>
      <c r="E142" t="n">
        <v>82.1836</v>
      </c>
      <c r="F142" t="n">
        <v>102.251</v>
      </c>
      <c r="G142" t="n">
        <v>38.1455</v>
      </c>
      <c r="H142" t="n">
        <v>18.0478</v>
      </c>
      <c r="I142" t="n">
        <v>-16.9774</v>
      </c>
    </row>
    <row r="143" ht="16" customHeight="1" s="133">
      <c r="A143" t="n">
        <v>142</v>
      </c>
      <c r="B143" t="n">
        <v>11.75</v>
      </c>
      <c r="C143" t="n">
        <v>60.0491</v>
      </c>
      <c r="D143" t="n">
        <v>60.0311</v>
      </c>
      <c r="E143" t="n">
        <v>81.9569</v>
      </c>
      <c r="F143" t="n">
        <v>102.3168</v>
      </c>
      <c r="G143" t="n">
        <v>38.3194</v>
      </c>
      <c r="H143" t="n">
        <v>18.2901</v>
      </c>
      <c r="I143" t="n">
        <v>-17.2578</v>
      </c>
    </row>
    <row r="144" ht="16" customHeight="1" s="133">
      <c r="A144" t="n">
        <v>143</v>
      </c>
      <c r="B144" t="n">
        <v>11.8333</v>
      </c>
      <c r="C144" t="n">
        <v>60.0148</v>
      </c>
      <c r="D144" t="n">
        <v>60.1254</v>
      </c>
      <c r="E144" t="n">
        <v>82.4665</v>
      </c>
      <c r="F144" t="n">
        <v>103.2574</v>
      </c>
      <c r="G144" t="n">
        <v>37.9735</v>
      </c>
      <c r="H144" t="n">
        <v>17.2679</v>
      </c>
      <c r="I144" t="n">
        <v>-14.4405</v>
      </c>
    </row>
    <row r="145" ht="16" customHeight="1" s="133">
      <c r="A145" t="n">
        <v>144</v>
      </c>
      <c r="B145" t="n">
        <v>11.9167</v>
      </c>
      <c r="C145" t="n">
        <v>59.9805</v>
      </c>
      <c r="D145" t="n">
        <v>59.9196</v>
      </c>
      <c r="E145" t="n">
        <v>81.9464</v>
      </c>
      <c r="F145" t="n">
        <v>102.6332</v>
      </c>
      <c r="G145" t="n">
        <v>38.1871</v>
      </c>
      <c r="H145" t="n">
        <v>18.0763</v>
      </c>
      <c r="I145" t="n">
        <v>-16.2683</v>
      </c>
    </row>
    <row r="146" ht="16" customHeight="1" s="133">
      <c r="A146" t="n">
        <v>145</v>
      </c>
      <c r="B146" t="n">
        <v>12</v>
      </c>
      <c r="C146" t="n">
        <v>59.9463</v>
      </c>
      <c r="D146" t="n">
        <v>59.5949</v>
      </c>
      <c r="E146" t="n">
        <v>82.6388</v>
      </c>
      <c r="F146" t="n">
        <v>102.9134</v>
      </c>
      <c r="G146" t="n">
        <v>37.5933</v>
      </c>
      <c r="H146" t="n">
        <v>18.0341</v>
      </c>
      <c r="I146" t="n">
        <v>-15.5797</v>
      </c>
    </row>
    <row r="147" ht="16" customHeight="1" s="133">
      <c r="A147" t="n">
        <v>146</v>
      </c>
      <c r="B147" t="n">
        <v>12.0833</v>
      </c>
      <c r="C147" t="n">
        <v>59.912</v>
      </c>
      <c r="D147" t="n">
        <v>59.6674</v>
      </c>
      <c r="E147" t="n">
        <v>82.4962</v>
      </c>
      <c r="F147" t="n">
        <v>102.5651</v>
      </c>
      <c r="G147" t="n">
        <v>37.524</v>
      </c>
      <c r="H147" t="n">
        <v>18.5087</v>
      </c>
      <c r="I147" t="n">
        <v>-18.0498</v>
      </c>
    </row>
    <row r="148" ht="16" customHeight="1" s="133">
      <c r="A148" t="n">
        <v>147</v>
      </c>
      <c r="B148" t="n">
        <v>12.1667</v>
      </c>
      <c r="C148" t="n">
        <v>59.8777</v>
      </c>
      <c r="D148" t="n">
        <v>59.4913</v>
      </c>
      <c r="E148" t="n">
        <v>81.49679999999999</v>
      </c>
      <c r="F148" t="n">
        <v>102.9928</v>
      </c>
      <c r="G148" t="n">
        <v>37.5034</v>
      </c>
      <c r="H148" t="n">
        <v>17.4867</v>
      </c>
      <c r="I148" t="n">
        <v>-16.0271</v>
      </c>
    </row>
    <row r="149" ht="16" customHeight="1" s="133">
      <c r="A149" t="n">
        <v>148</v>
      </c>
      <c r="B149" t="n">
        <v>12.25</v>
      </c>
      <c r="C149" t="n">
        <v>59.8435</v>
      </c>
      <c r="D149" t="n">
        <v>59.7985</v>
      </c>
      <c r="E149" t="n">
        <v>82.2158</v>
      </c>
      <c r="F149" t="n">
        <v>102.6515</v>
      </c>
      <c r="G149" t="n">
        <v>37.0901</v>
      </c>
      <c r="H149" t="n">
        <v>17.3191</v>
      </c>
      <c r="I149" t="n">
        <v>-16.7868</v>
      </c>
    </row>
    <row r="150" ht="16" customHeight="1" s="133">
      <c r="A150" t="n">
        <v>149</v>
      </c>
      <c r="B150" t="n">
        <v>12.3333</v>
      </c>
      <c r="C150" t="n">
        <v>59.8092</v>
      </c>
      <c r="D150" t="n">
        <v>60.2316</v>
      </c>
      <c r="E150" t="n">
        <v>82.23399999999999</v>
      </c>
      <c r="F150" t="n">
        <v>101.6013</v>
      </c>
      <c r="G150" t="n">
        <v>37.9042</v>
      </c>
      <c r="H150" t="n">
        <v>17.4525</v>
      </c>
      <c r="I150" t="n">
        <v>-16.5193</v>
      </c>
    </row>
    <row r="151" ht="16" customHeight="1" s="133">
      <c r="A151" t="n">
        <v>150</v>
      </c>
      <c r="B151" t="n">
        <v>12.4167</v>
      </c>
      <c r="C151" t="n">
        <v>59.775</v>
      </c>
      <c r="D151" t="n">
        <v>60.2002</v>
      </c>
      <c r="E151" t="n">
        <v>82.25530000000001</v>
      </c>
      <c r="F151" t="n">
        <v>102.0462</v>
      </c>
      <c r="G151" t="n">
        <v>37.4027</v>
      </c>
      <c r="H151" t="n">
        <v>16.8483</v>
      </c>
      <c r="I151" t="n">
        <v>-16.2659</v>
      </c>
    </row>
    <row r="152" ht="16" customHeight="1" s="133">
      <c r="A152" t="n">
        <v>151</v>
      </c>
      <c r="B152" t="n">
        <v>12.5</v>
      </c>
      <c r="C152" t="n">
        <v>59.7407</v>
      </c>
      <c r="D152" t="n">
        <v>59.999</v>
      </c>
      <c r="E152" t="n">
        <v>83.13200000000001</v>
      </c>
      <c r="F152" t="n">
        <v>102.433</v>
      </c>
      <c r="G152" t="n">
        <v>37.1435</v>
      </c>
      <c r="H152" t="n">
        <v>17.833</v>
      </c>
      <c r="I152" t="n">
        <v>-17.4027</v>
      </c>
    </row>
    <row r="153" ht="16" customHeight="1" s="133">
      <c r="A153" t="n">
        <v>152</v>
      </c>
      <c r="B153" t="n">
        <v>12.5833</v>
      </c>
      <c r="C153" t="n">
        <v>59.7064</v>
      </c>
      <c r="D153" t="n">
        <v>59.9414</v>
      </c>
      <c r="E153" t="n">
        <v>82.6673</v>
      </c>
      <c r="F153" t="n">
        <v>101.9917</v>
      </c>
      <c r="G153" t="n">
        <v>38.046</v>
      </c>
      <c r="H153" t="n">
        <v>17.8935</v>
      </c>
      <c r="I153" t="n">
        <v>-19.3555</v>
      </c>
    </row>
    <row r="154" ht="16" customHeight="1" s="133">
      <c r="A154" t="n">
        <v>153</v>
      </c>
      <c r="B154" t="n">
        <v>12.6667</v>
      </c>
      <c r="C154" t="n">
        <v>59.6722</v>
      </c>
      <c r="D154" t="n">
        <v>60.1516</v>
      </c>
      <c r="E154" t="n">
        <v>82.20910000000001</v>
      </c>
      <c r="F154" t="n">
        <v>101.5997</v>
      </c>
      <c r="G154" t="n">
        <v>38.3116</v>
      </c>
      <c r="H154" t="n">
        <v>18.1801</v>
      </c>
      <c r="I154" t="n">
        <v>-16.6891</v>
      </c>
    </row>
    <row r="155" ht="16" customHeight="1" s="133">
      <c r="A155" t="n">
        <v>154</v>
      </c>
      <c r="B155" t="n">
        <v>12.75</v>
      </c>
      <c r="C155" t="n">
        <v>59.6379</v>
      </c>
      <c r="D155" t="n">
        <v>60.0906</v>
      </c>
      <c r="E155" t="n">
        <v>82.22199999999999</v>
      </c>
      <c r="F155" t="n">
        <v>101.5175</v>
      </c>
      <c r="G155" t="n">
        <v>37.3691</v>
      </c>
      <c r="H155" t="n">
        <v>17.6597</v>
      </c>
      <c r="I155" t="n">
        <v>-16.0145</v>
      </c>
    </row>
    <row r="156" ht="16" customHeight="1" s="133">
      <c r="A156" t="n">
        <v>155</v>
      </c>
      <c r="B156" t="n">
        <v>12.8333</v>
      </c>
      <c r="C156" t="n">
        <v>59.6037</v>
      </c>
      <c r="D156" t="n">
        <v>59.853</v>
      </c>
      <c r="E156" t="n">
        <v>82.2137</v>
      </c>
      <c r="F156" t="n">
        <v>101.8118</v>
      </c>
      <c r="G156" t="n">
        <v>37.6851</v>
      </c>
      <c r="H156" t="n">
        <v>17.7957</v>
      </c>
      <c r="I156" t="n">
        <v>-16.7814</v>
      </c>
    </row>
    <row r="157" ht="16" customHeight="1" s="133">
      <c r="A157" t="n">
        <v>156</v>
      </c>
      <c r="B157" t="n">
        <v>12.9167</v>
      </c>
      <c r="C157" t="n">
        <v>59.5694</v>
      </c>
      <c r="D157" t="n">
        <v>59.8376</v>
      </c>
      <c r="E157" t="n">
        <v>81.9286</v>
      </c>
      <c r="F157" t="n">
        <v>101.7285</v>
      </c>
      <c r="G157" t="n">
        <v>37.4151</v>
      </c>
      <c r="H157" t="n">
        <v>17.9676</v>
      </c>
      <c r="I157" t="n">
        <v>-14.248</v>
      </c>
    </row>
    <row r="158" ht="16" customHeight="1" s="133">
      <c r="A158" t="n">
        <v>157</v>
      </c>
      <c r="B158" t="n">
        <v>13</v>
      </c>
      <c r="C158" t="n">
        <v>59.5351</v>
      </c>
      <c r="D158" t="n">
        <v>59.904</v>
      </c>
      <c r="E158" t="n">
        <v>82.4106</v>
      </c>
      <c r="F158" t="n">
        <v>101.8431</v>
      </c>
      <c r="G158" t="n">
        <v>37.6935</v>
      </c>
      <c r="H158" t="n">
        <v>17.4761</v>
      </c>
      <c r="I158" t="n">
        <v>-16.882</v>
      </c>
    </row>
    <row r="159" ht="16" customHeight="1" s="133">
      <c r="A159" t="n">
        <v>158</v>
      </c>
      <c r="B159" t="n">
        <v>13.0833</v>
      </c>
      <c r="C159" t="n">
        <v>59.5009</v>
      </c>
      <c r="D159" t="n">
        <v>60.0644</v>
      </c>
      <c r="E159" t="n">
        <v>82.3466</v>
      </c>
      <c r="F159" t="n">
        <v>102.3386</v>
      </c>
      <c r="G159" t="n">
        <v>37.5445</v>
      </c>
      <c r="H159" t="n">
        <v>18.0632</v>
      </c>
      <c r="I159" t="n">
        <v>-16.5929</v>
      </c>
    </row>
    <row r="160" ht="16" customHeight="1" s="133">
      <c r="A160" t="n">
        <v>159</v>
      </c>
      <c r="B160" t="n">
        <v>13.1667</v>
      </c>
      <c r="C160" t="n">
        <v>59.4666</v>
      </c>
      <c r="D160" t="n">
        <v>60.2468</v>
      </c>
      <c r="E160" t="n">
        <v>82.35980000000001</v>
      </c>
      <c r="F160" t="n">
        <v>102.0985</v>
      </c>
      <c r="G160" t="n">
        <v>37.3562</v>
      </c>
      <c r="H160" t="n">
        <v>17.8086</v>
      </c>
      <c r="I160" t="n">
        <v>-18.0845</v>
      </c>
    </row>
    <row r="161" ht="16" customHeight="1" s="133">
      <c r="A161" t="n">
        <v>160</v>
      </c>
      <c r="B161" t="n">
        <v>13.25</v>
      </c>
      <c r="C161" t="n">
        <v>59.4323</v>
      </c>
      <c r="D161" t="n">
        <v>59.7396</v>
      </c>
      <c r="E161" t="n">
        <v>82.29900000000001</v>
      </c>
      <c r="F161" t="n">
        <v>102.7665</v>
      </c>
      <c r="G161" t="n">
        <v>37.2591</v>
      </c>
      <c r="H161" t="n">
        <v>17.7158</v>
      </c>
      <c r="I161" t="n">
        <v>-17.1391</v>
      </c>
    </row>
    <row r="162" ht="16" customHeight="1" s="133">
      <c r="A162" t="n">
        <v>161</v>
      </c>
      <c r="B162" t="n">
        <v>13.3333</v>
      </c>
      <c r="C162" t="n">
        <v>59.3981</v>
      </c>
      <c r="D162" t="n">
        <v>59.5252</v>
      </c>
      <c r="E162" t="n">
        <v>82.4235</v>
      </c>
      <c r="F162" t="n">
        <v>102.9953</v>
      </c>
      <c r="G162" t="n">
        <v>37.3268</v>
      </c>
      <c r="H162" t="n">
        <v>16.9605</v>
      </c>
      <c r="I162" t="n">
        <v>-17.9604</v>
      </c>
    </row>
    <row r="163" ht="16" customHeight="1" s="133">
      <c r="A163" t="n">
        <v>162</v>
      </c>
      <c r="B163" t="n">
        <v>13.4167</v>
      </c>
      <c r="C163" t="n">
        <v>59.3638</v>
      </c>
      <c r="D163" t="n">
        <v>59.8279</v>
      </c>
      <c r="E163" t="n">
        <v>82.46939999999999</v>
      </c>
      <c r="F163" t="n">
        <v>102.5698</v>
      </c>
      <c r="G163" t="n">
        <v>36.954</v>
      </c>
      <c r="H163" t="n">
        <v>17.1519</v>
      </c>
      <c r="I163" t="n">
        <v>-14.892</v>
      </c>
    </row>
    <row r="164" ht="16" customHeight="1" s="133">
      <c r="A164" t="n">
        <v>163</v>
      </c>
      <c r="B164" t="n">
        <v>13.5</v>
      </c>
      <c r="C164" t="n">
        <v>59.3296</v>
      </c>
      <c r="D164" t="n">
        <v>59.8146</v>
      </c>
      <c r="E164" t="n">
        <v>82.0185</v>
      </c>
      <c r="F164" t="n">
        <v>101.4092</v>
      </c>
      <c r="G164" t="n">
        <v>37.5213</v>
      </c>
      <c r="H164" t="n">
        <v>17.4555</v>
      </c>
      <c r="I164" t="n">
        <v>-16.716</v>
      </c>
    </row>
    <row r="165" ht="16" customHeight="1" s="133">
      <c r="A165" t="n">
        <v>164</v>
      </c>
      <c r="B165" t="n">
        <v>13.5833</v>
      </c>
      <c r="C165" t="n">
        <v>59.2953</v>
      </c>
      <c r="D165" t="n">
        <v>59.2046</v>
      </c>
      <c r="E165" t="n">
        <v>81.5574</v>
      </c>
      <c r="F165" t="n">
        <v>102.2935</v>
      </c>
      <c r="G165" t="n">
        <v>36.8692</v>
      </c>
      <c r="H165" t="n">
        <v>17.695</v>
      </c>
      <c r="I165" t="n">
        <v>-16.3256</v>
      </c>
    </row>
    <row r="166" ht="16" customHeight="1" s="133">
      <c r="A166" t="n">
        <v>165</v>
      </c>
      <c r="B166" t="n">
        <v>13.6667</v>
      </c>
      <c r="C166" t="n">
        <v>59.261</v>
      </c>
      <c r="D166" t="n">
        <v>59.7766</v>
      </c>
      <c r="E166" t="n">
        <v>81.7688</v>
      </c>
      <c r="F166" t="n">
        <v>102.4416</v>
      </c>
      <c r="G166" t="n">
        <v>37.3054</v>
      </c>
      <c r="H166" t="n">
        <v>17.0455</v>
      </c>
      <c r="I166" t="n">
        <v>-16.2846</v>
      </c>
    </row>
    <row r="167" ht="16" customHeight="1" s="133">
      <c r="A167" t="n">
        <v>166</v>
      </c>
      <c r="B167" t="n">
        <v>13.75</v>
      </c>
      <c r="C167" t="n">
        <v>59.2268</v>
      </c>
      <c r="D167" t="n">
        <v>59.2354</v>
      </c>
      <c r="E167" t="n">
        <v>82.2949</v>
      </c>
      <c r="F167" t="n">
        <v>102.2416</v>
      </c>
      <c r="G167" t="n">
        <v>36.8996</v>
      </c>
      <c r="H167" t="n">
        <v>16.7211</v>
      </c>
      <c r="I167" t="n">
        <v>-18.9238</v>
      </c>
    </row>
    <row r="168" ht="16" customHeight="1" s="133">
      <c r="A168" t="n">
        <v>167</v>
      </c>
      <c r="B168" t="n">
        <v>13.8333</v>
      </c>
      <c r="C168" t="n">
        <v>59.1925</v>
      </c>
      <c r="D168" t="n">
        <v>59.4606</v>
      </c>
      <c r="E168" t="n">
        <v>82.22150000000001</v>
      </c>
      <c r="F168" t="n">
        <v>102.7966</v>
      </c>
      <c r="G168" t="n">
        <v>37.57</v>
      </c>
      <c r="H168" t="n">
        <v>16.7553</v>
      </c>
      <c r="I168" t="n">
        <v>-18.526</v>
      </c>
    </row>
    <row r="169" ht="16" customHeight="1" s="133">
      <c r="A169" t="n">
        <v>168</v>
      </c>
      <c r="B169" t="n">
        <v>13.9167</v>
      </c>
      <c r="C169" t="n">
        <v>59.1583</v>
      </c>
      <c r="D169" t="n">
        <v>59.3208</v>
      </c>
      <c r="E169" t="n">
        <v>82.0714</v>
      </c>
      <c r="F169" t="n">
        <v>102.2007</v>
      </c>
      <c r="G169" t="n">
        <v>37.6174</v>
      </c>
      <c r="H169" t="n">
        <v>16.6086</v>
      </c>
      <c r="I169" t="n">
        <v>-17.8521</v>
      </c>
    </row>
    <row r="170" ht="16" customHeight="1" s="133">
      <c r="A170" t="n">
        <v>169</v>
      </c>
      <c r="B170" t="n">
        <v>14</v>
      </c>
      <c r="C170" t="n">
        <v>59.124</v>
      </c>
      <c r="D170" t="n">
        <v>59.4766</v>
      </c>
      <c r="E170" t="n">
        <v>81.8968</v>
      </c>
      <c r="F170" t="n">
        <v>101.8429</v>
      </c>
      <c r="G170" t="n">
        <v>37.369</v>
      </c>
      <c r="H170" t="n">
        <v>16.7861</v>
      </c>
      <c r="I170" t="n">
        <v>-17.1747</v>
      </c>
    </row>
    <row r="171" ht="16" customHeight="1" s="133">
      <c r="A171" t="n">
        <v>170</v>
      </c>
      <c r="B171" t="n">
        <v>14.0833</v>
      </c>
      <c r="C171" t="n">
        <v>59.0897</v>
      </c>
      <c r="D171" t="n">
        <v>59.3121</v>
      </c>
      <c r="E171" t="n">
        <v>81.73990000000001</v>
      </c>
      <c r="F171" t="n">
        <v>101.6437</v>
      </c>
      <c r="G171" t="n">
        <v>37.1482</v>
      </c>
      <c r="H171" t="n">
        <v>16.8462</v>
      </c>
      <c r="I171" t="n">
        <v>-16.7564</v>
      </c>
    </row>
    <row r="172" ht="16" customHeight="1" s="133">
      <c r="A172" t="n">
        <v>171</v>
      </c>
      <c r="B172" t="n">
        <v>14.1667</v>
      </c>
      <c r="C172" t="n">
        <v>59.0555</v>
      </c>
      <c r="D172" t="n">
        <v>59.9682</v>
      </c>
      <c r="E172" t="n">
        <v>81.491</v>
      </c>
      <c r="F172" t="n">
        <v>101.0901</v>
      </c>
      <c r="G172" t="n">
        <v>36.9986</v>
      </c>
      <c r="H172" t="n">
        <v>16.2017</v>
      </c>
      <c r="I172" t="n">
        <v>-18.9239</v>
      </c>
    </row>
    <row r="173" ht="16" customHeight="1" s="133">
      <c r="A173" t="n">
        <v>172</v>
      </c>
      <c r="B173" t="n">
        <v>14.25</v>
      </c>
      <c r="C173" t="n">
        <v>59.0212</v>
      </c>
      <c r="D173" t="n">
        <v>59.1549</v>
      </c>
      <c r="E173" t="n">
        <v>81.56619999999999</v>
      </c>
      <c r="F173" t="n">
        <v>101.4506</v>
      </c>
      <c r="G173" t="n">
        <v>37.37</v>
      </c>
      <c r="H173" t="n">
        <v>16.8067</v>
      </c>
      <c r="I173" t="n">
        <v>-18.3084</v>
      </c>
    </row>
    <row r="174" ht="16" customHeight="1" s="133">
      <c r="A174" t="n">
        <v>173</v>
      </c>
      <c r="B174" t="n">
        <v>14.3333</v>
      </c>
      <c r="C174" t="n">
        <v>58.9869</v>
      </c>
      <c r="D174" t="n">
        <v>59.2273</v>
      </c>
      <c r="E174" t="n">
        <v>81.4753</v>
      </c>
      <c r="F174" t="n">
        <v>101.3641</v>
      </c>
      <c r="G174" t="n">
        <v>36.7254</v>
      </c>
      <c r="H174" t="n">
        <v>16.8111</v>
      </c>
      <c r="I174" t="n">
        <v>-17.3916</v>
      </c>
    </row>
    <row r="175" ht="16" customHeight="1" s="133">
      <c r="A175" t="n">
        <v>174</v>
      </c>
      <c r="B175" t="n">
        <v>14.4167</v>
      </c>
      <c r="C175" t="n">
        <v>58.9527</v>
      </c>
      <c r="D175" t="n">
        <v>58.9161</v>
      </c>
      <c r="E175" t="n">
        <v>81.6063</v>
      </c>
      <c r="F175" t="n">
        <v>101.1601</v>
      </c>
      <c r="G175" t="n">
        <v>36.2585</v>
      </c>
      <c r="H175" t="n">
        <v>16.8327</v>
      </c>
      <c r="I175" t="n">
        <v>-16.804</v>
      </c>
    </row>
    <row r="176" ht="16" customHeight="1" s="133">
      <c r="A176" t="n">
        <v>175</v>
      </c>
      <c r="B176" t="n">
        <v>14.5</v>
      </c>
      <c r="C176" t="n">
        <v>58.9184</v>
      </c>
      <c r="D176" t="n">
        <v>58.9017</v>
      </c>
      <c r="E176" t="n">
        <v>80.9135</v>
      </c>
      <c r="F176" t="n">
        <v>101.6997</v>
      </c>
      <c r="G176" t="n">
        <v>36.2538</v>
      </c>
      <c r="H176" t="n">
        <v>16.1631</v>
      </c>
      <c r="I176" t="n">
        <v>-16.9763</v>
      </c>
    </row>
    <row r="177" ht="16" customHeight="1" s="133">
      <c r="A177" t="n">
        <v>176</v>
      </c>
      <c r="B177" t="n">
        <v>14.5833</v>
      </c>
      <c r="C177" t="n">
        <v>58.8842</v>
      </c>
      <c r="D177" t="n">
        <v>58.7956</v>
      </c>
      <c r="E177" t="n">
        <v>81.5129</v>
      </c>
      <c r="F177" t="n">
        <v>101.7558</v>
      </c>
      <c r="G177" t="n">
        <v>36.4003</v>
      </c>
      <c r="H177" t="n">
        <v>16.48</v>
      </c>
      <c r="I177" t="n">
        <v>-18.0645</v>
      </c>
    </row>
    <row r="178" ht="16" customHeight="1" s="133">
      <c r="A178" t="n">
        <v>177</v>
      </c>
      <c r="B178" t="n">
        <v>14.6667</v>
      </c>
      <c r="C178" t="n">
        <v>58.8499</v>
      </c>
      <c r="D178" t="n">
        <v>58.6365</v>
      </c>
      <c r="E178" t="n">
        <v>81.16589999999999</v>
      </c>
      <c r="F178" t="n">
        <v>101.642</v>
      </c>
      <c r="G178" t="n">
        <v>36.5744</v>
      </c>
      <c r="H178" t="n">
        <v>16.5253</v>
      </c>
      <c r="I178" t="n">
        <v>-18.1587</v>
      </c>
    </row>
    <row r="179" ht="16" customHeight="1" s="133">
      <c r="A179" t="n">
        <v>178</v>
      </c>
      <c r="B179" t="n">
        <v>14.75</v>
      </c>
      <c r="C179" t="n">
        <v>58.8156</v>
      </c>
      <c r="D179" t="n">
        <v>58.4118</v>
      </c>
      <c r="E179" t="n">
        <v>81.2379</v>
      </c>
      <c r="F179" t="n">
        <v>101.2408</v>
      </c>
      <c r="G179" t="n">
        <v>36.2437</v>
      </c>
      <c r="H179" t="n">
        <v>16.7869</v>
      </c>
      <c r="I179" t="n">
        <v>-17.8265</v>
      </c>
    </row>
    <row r="180" ht="16" customHeight="1" s="133">
      <c r="A180" t="n">
        <v>179</v>
      </c>
      <c r="B180" t="n">
        <v>14.8333</v>
      </c>
      <c r="C180" t="n">
        <v>58.7814</v>
      </c>
      <c r="D180" t="n">
        <v>59.1246</v>
      </c>
      <c r="E180" t="n">
        <v>81.24290000000001</v>
      </c>
      <c r="F180" t="n">
        <v>101.8401</v>
      </c>
      <c r="G180" t="n">
        <v>36.5174</v>
      </c>
      <c r="H180" t="n">
        <v>16.6717</v>
      </c>
      <c r="I180" t="n">
        <v>-18.7103</v>
      </c>
    </row>
    <row r="181" ht="16" customHeight="1" s="133">
      <c r="A181" t="n">
        <v>180</v>
      </c>
      <c r="B181" t="n">
        <v>14.9167</v>
      </c>
      <c r="C181" t="n">
        <v>58.7471</v>
      </c>
      <c r="D181" t="n">
        <v>58.5243</v>
      </c>
      <c r="E181" t="n">
        <v>81.5801</v>
      </c>
      <c r="F181" t="n">
        <v>102.1248</v>
      </c>
      <c r="G181" t="n">
        <v>36.1035</v>
      </c>
      <c r="H181" t="n">
        <v>16.5198</v>
      </c>
      <c r="I181" t="n">
        <v>-15.4486</v>
      </c>
    </row>
    <row r="182" ht="16" customHeight="1" s="133">
      <c r="A182" t="n">
        <v>181</v>
      </c>
      <c r="B182" t="n">
        <v>15</v>
      </c>
      <c r="C182" t="n">
        <v>58.7129</v>
      </c>
      <c r="D182" t="n">
        <v>58.8064</v>
      </c>
      <c r="E182" t="n">
        <v>81.577</v>
      </c>
      <c r="F182" t="n">
        <v>102.1787</v>
      </c>
      <c r="G182" t="n">
        <v>35.9747</v>
      </c>
      <c r="H182" t="n">
        <v>15.863</v>
      </c>
      <c r="I182" t="n">
        <v>-18.7454</v>
      </c>
    </row>
    <row r="183" ht="16" customHeight="1" s="133">
      <c r="A183" t="n">
        <v>182</v>
      </c>
      <c r="B183" t="n">
        <v>15.0833</v>
      </c>
      <c r="C183" t="n">
        <v>58.6786</v>
      </c>
      <c r="D183" t="n">
        <v>58.637</v>
      </c>
      <c r="E183" t="n">
        <v>80.9061</v>
      </c>
      <c r="F183" t="n">
        <v>101.4373</v>
      </c>
      <c r="G183" t="n">
        <v>36.8162</v>
      </c>
      <c r="H183" t="n">
        <v>16.5227</v>
      </c>
      <c r="I183" t="n">
        <v>-20.3365</v>
      </c>
    </row>
    <row r="184" ht="16" customHeight="1" s="133">
      <c r="A184" t="n">
        <v>183</v>
      </c>
      <c r="B184" t="n">
        <v>15.1667</v>
      </c>
      <c r="C184" t="n">
        <v>58.6443</v>
      </c>
      <c r="D184" t="n">
        <v>58.4211</v>
      </c>
      <c r="E184" t="n">
        <v>81.3912</v>
      </c>
      <c r="F184" t="n">
        <v>101.8087</v>
      </c>
      <c r="G184" t="n">
        <v>36.4985</v>
      </c>
      <c r="H184" t="n">
        <v>16.5205</v>
      </c>
      <c r="I184" t="n">
        <v>-18.9252</v>
      </c>
    </row>
    <row r="185" ht="16" customHeight="1" s="133">
      <c r="A185" t="n">
        <v>184</v>
      </c>
      <c r="B185" t="n">
        <v>15.25</v>
      </c>
      <c r="C185" t="n">
        <v>58.6101</v>
      </c>
      <c r="D185" t="n">
        <v>58.7488</v>
      </c>
      <c r="E185" t="n">
        <v>81.0142</v>
      </c>
      <c r="F185" t="n">
        <v>101.7594</v>
      </c>
      <c r="G185" t="n">
        <v>35.9756</v>
      </c>
      <c r="H185" t="n">
        <v>16.5776</v>
      </c>
      <c r="I185" t="n">
        <v>-19.5754</v>
      </c>
    </row>
    <row r="186" ht="16" customHeight="1" s="133">
      <c r="A186" t="n">
        <v>185</v>
      </c>
      <c r="B186" t="n">
        <v>15.3333</v>
      </c>
      <c r="C186" t="n">
        <v>58.5758</v>
      </c>
      <c r="D186" t="n">
        <v>58.4166</v>
      </c>
      <c r="E186" t="n">
        <v>80.5676</v>
      </c>
      <c r="F186" t="n">
        <v>100.8886</v>
      </c>
      <c r="G186" t="n">
        <v>36.8284</v>
      </c>
      <c r="H186" t="n">
        <v>16.1526</v>
      </c>
      <c r="I186" t="n">
        <v>-19.1358</v>
      </c>
    </row>
    <row r="187" ht="16" customHeight="1" s="133">
      <c r="A187" t="n">
        <v>186</v>
      </c>
      <c r="B187" t="n">
        <v>15.4167</v>
      </c>
      <c r="C187" t="n">
        <v>58.5415</v>
      </c>
      <c r="D187" t="n">
        <v>58.8138</v>
      </c>
      <c r="E187" t="n">
        <v>81.0487</v>
      </c>
      <c r="F187" t="n">
        <v>101.7694</v>
      </c>
      <c r="G187" t="n">
        <v>36.6155</v>
      </c>
      <c r="H187" t="n">
        <v>16.7606</v>
      </c>
      <c r="I187" t="n">
        <v>-18.3896</v>
      </c>
    </row>
    <row r="188" ht="16" customHeight="1" s="133">
      <c r="A188" t="n">
        <v>187</v>
      </c>
      <c r="B188" t="n">
        <v>15.5</v>
      </c>
      <c r="C188" t="n">
        <v>58.5073</v>
      </c>
      <c r="D188" t="n">
        <v>59.0899</v>
      </c>
      <c r="E188" t="n">
        <v>80.8751</v>
      </c>
      <c r="F188" t="n">
        <v>101.6969</v>
      </c>
      <c r="G188" t="n">
        <v>36.7679</v>
      </c>
      <c r="H188" t="n">
        <v>17.0852</v>
      </c>
      <c r="I188" t="n">
        <v>-16.8718</v>
      </c>
    </row>
    <row r="189" ht="16" customHeight="1" s="133">
      <c r="A189" t="n">
        <v>188</v>
      </c>
      <c r="B189" t="n">
        <v>15.5833</v>
      </c>
      <c r="C189" t="n">
        <v>58.473</v>
      </c>
      <c r="D189" t="n">
        <v>59.006</v>
      </c>
      <c r="E189" t="n">
        <v>80.8771</v>
      </c>
      <c r="F189" t="n">
        <v>100.7578</v>
      </c>
      <c r="G189" t="n">
        <v>36.7496</v>
      </c>
      <c r="H189" t="n">
        <v>16.7751</v>
      </c>
      <c r="I189" t="n">
        <v>-15.5593</v>
      </c>
    </row>
    <row r="190" ht="16" customHeight="1" s="133">
      <c r="A190" t="n">
        <v>189</v>
      </c>
      <c r="B190" t="n">
        <v>15.6667</v>
      </c>
      <c r="C190" t="n">
        <v>58.4388</v>
      </c>
      <c r="D190" t="n">
        <v>59.0999</v>
      </c>
      <c r="E190" t="n">
        <v>80.6494</v>
      </c>
      <c r="F190" t="n">
        <v>100.8995</v>
      </c>
      <c r="G190" t="n">
        <v>36.7005</v>
      </c>
      <c r="H190" t="n">
        <v>16.925</v>
      </c>
      <c r="I190" t="n">
        <v>-15.9483</v>
      </c>
    </row>
    <row r="191" ht="16" customHeight="1" s="133">
      <c r="A191" t="n">
        <v>190</v>
      </c>
      <c r="B191" t="n">
        <v>15.75</v>
      </c>
      <c r="C191" t="n">
        <v>58.4045</v>
      </c>
      <c r="D191" t="n">
        <v>58.6771</v>
      </c>
      <c r="E191" t="n">
        <v>80.4014</v>
      </c>
      <c r="F191" t="n">
        <v>101.2963</v>
      </c>
      <c r="G191" t="n">
        <v>36.6146</v>
      </c>
      <c r="H191" t="n">
        <v>16.7397</v>
      </c>
      <c r="I191" t="n">
        <v>-16.0996</v>
      </c>
    </row>
    <row r="192" ht="16" customHeight="1" s="133">
      <c r="A192" t="n">
        <v>191</v>
      </c>
      <c r="B192" t="n">
        <v>15.8333</v>
      </c>
      <c r="C192" t="n">
        <v>58.3702</v>
      </c>
      <c r="D192" t="n">
        <v>58.0019</v>
      </c>
      <c r="E192" t="n">
        <v>80.87609999999999</v>
      </c>
      <c r="F192" t="n">
        <v>101.434</v>
      </c>
      <c r="G192" t="n">
        <v>36.5446</v>
      </c>
      <c r="H192" t="n">
        <v>17.3003</v>
      </c>
      <c r="I192" t="n">
        <v>-16.3486</v>
      </c>
    </row>
    <row r="193" ht="16" customHeight="1" s="133">
      <c r="A193" t="n">
        <v>192</v>
      </c>
      <c r="B193" t="n">
        <v>15.9167</v>
      </c>
      <c r="C193" t="n">
        <v>58.336</v>
      </c>
      <c r="D193" t="n">
        <v>58.121</v>
      </c>
      <c r="E193" t="n">
        <v>80.2637</v>
      </c>
      <c r="F193" t="n">
        <v>101.2519</v>
      </c>
      <c r="G193" t="n">
        <v>36.2801</v>
      </c>
      <c r="H193" t="n">
        <v>16.9284</v>
      </c>
      <c r="I193" t="n">
        <v>-17.3846</v>
      </c>
    </row>
    <row r="194" ht="16" customHeight="1" s="133">
      <c r="A194" t="n">
        <v>193</v>
      </c>
      <c r="B194" t="n">
        <v>16</v>
      </c>
      <c r="C194" t="n">
        <v>58.3017</v>
      </c>
      <c r="D194" t="n">
        <v>58.1759</v>
      </c>
      <c r="E194" t="n">
        <v>80.8173</v>
      </c>
      <c r="F194" t="n">
        <v>101.3538</v>
      </c>
      <c r="G194" t="n">
        <v>35.8673</v>
      </c>
      <c r="H194" t="n">
        <v>16.199</v>
      </c>
      <c r="I194" t="n">
        <v>-16.6051</v>
      </c>
    </row>
    <row r="195" ht="16" customHeight="1" s="133">
      <c r="A195" t="n">
        <v>194</v>
      </c>
      <c r="B195" t="n">
        <v>16.0833</v>
      </c>
      <c r="C195" t="n">
        <v>58.2675</v>
      </c>
      <c r="D195" t="n">
        <v>58.3137</v>
      </c>
      <c r="E195" t="n">
        <v>80.8586</v>
      </c>
      <c r="F195" t="n">
        <v>101.0924</v>
      </c>
      <c r="G195" t="n">
        <v>36.3616</v>
      </c>
      <c r="H195" t="n">
        <v>15.9701</v>
      </c>
      <c r="I195" t="n">
        <v>-17.8991</v>
      </c>
    </row>
    <row r="196" ht="16" customHeight="1" s="133">
      <c r="A196" t="n">
        <v>195</v>
      </c>
      <c r="B196" t="n">
        <v>16.1667</v>
      </c>
      <c r="C196" t="n">
        <v>58.2332</v>
      </c>
      <c r="D196" t="n">
        <v>58.3165</v>
      </c>
      <c r="E196" t="n">
        <v>80.5253</v>
      </c>
      <c r="F196" t="n">
        <v>100.7328</v>
      </c>
      <c r="G196" t="n">
        <v>36.7116</v>
      </c>
      <c r="H196" t="n">
        <v>16.5613</v>
      </c>
      <c r="I196" t="n">
        <v>-16.9257</v>
      </c>
    </row>
    <row r="197" ht="16" customHeight="1" s="133">
      <c r="A197" t="n">
        <v>196</v>
      </c>
      <c r="B197" t="n">
        <v>16.25</v>
      </c>
      <c r="C197" t="n">
        <v>58.1989</v>
      </c>
      <c r="D197" t="n">
        <v>59.062</v>
      </c>
      <c r="E197" t="n">
        <v>81.6433</v>
      </c>
      <c r="F197" t="n">
        <v>101.4028</v>
      </c>
      <c r="G197" t="n">
        <v>36.4926</v>
      </c>
      <c r="H197" t="n">
        <v>16.8383</v>
      </c>
      <c r="I197" t="n">
        <v>-18.0711</v>
      </c>
    </row>
    <row r="198" ht="16" customHeight="1" s="133">
      <c r="A198" t="n">
        <v>197</v>
      </c>
      <c r="B198" t="n">
        <v>16.3333</v>
      </c>
      <c r="C198" t="n">
        <v>58.1647</v>
      </c>
      <c r="D198" t="n">
        <v>58.6237</v>
      </c>
      <c r="E198" t="n">
        <v>81.18000000000001</v>
      </c>
      <c r="F198" t="n">
        <v>100.315</v>
      </c>
      <c r="G198" t="n">
        <v>36.381</v>
      </c>
      <c r="H198" t="n">
        <v>16.8794</v>
      </c>
      <c r="I198" t="n">
        <v>-17.4038</v>
      </c>
    </row>
    <row r="199" ht="16" customHeight="1" s="133">
      <c r="A199" t="n">
        <v>198</v>
      </c>
      <c r="B199" t="n">
        <v>16.4167</v>
      </c>
      <c r="C199" t="n">
        <v>58.1304</v>
      </c>
      <c r="D199" t="n">
        <v>58.7284</v>
      </c>
      <c r="E199" t="n">
        <v>81.0599</v>
      </c>
      <c r="F199" t="n">
        <v>100.7097</v>
      </c>
      <c r="G199" t="n">
        <v>36.5989</v>
      </c>
      <c r="H199" t="n">
        <v>16.3089</v>
      </c>
      <c r="I199" t="n">
        <v>-18.0416</v>
      </c>
    </row>
    <row r="200" ht="16" customHeight="1" s="133">
      <c r="A200" t="n">
        <v>199</v>
      </c>
      <c r="B200" t="n">
        <v>16.5</v>
      </c>
      <c r="C200" t="n">
        <v>58.0961</v>
      </c>
      <c r="D200" t="n">
        <v>58.8114</v>
      </c>
      <c r="E200" t="n">
        <v>80.6994</v>
      </c>
      <c r="F200" t="n">
        <v>99.9366</v>
      </c>
      <c r="G200" t="n">
        <v>36.1564</v>
      </c>
      <c r="H200" t="n">
        <v>16.7524</v>
      </c>
      <c r="I200" t="n">
        <v>-17.6334</v>
      </c>
    </row>
    <row r="201" ht="16" customHeight="1" s="133">
      <c r="A201" t="n">
        <v>200</v>
      </c>
      <c r="B201" t="n">
        <v>16.5833</v>
      </c>
      <c r="C201" t="n">
        <v>58.0619</v>
      </c>
      <c r="D201" t="n">
        <v>58.8203</v>
      </c>
      <c r="E201" t="n">
        <v>80.9657</v>
      </c>
      <c r="F201" t="n">
        <v>100.5244</v>
      </c>
      <c r="G201" t="n">
        <v>36.8124</v>
      </c>
      <c r="H201" t="n">
        <v>16.5813</v>
      </c>
      <c r="I201" t="n">
        <v>-17.7789</v>
      </c>
    </row>
    <row r="202" ht="16" customHeight="1" s="133">
      <c r="A202" t="n">
        <v>201</v>
      </c>
      <c r="B202" t="n">
        <v>16.6667</v>
      </c>
      <c r="C202" t="n">
        <v>58.0276</v>
      </c>
      <c r="D202" t="n">
        <v>59.1943</v>
      </c>
      <c r="E202" t="n">
        <v>80.9918</v>
      </c>
      <c r="F202" t="n">
        <v>100.5298</v>
      </c>
      <c r="G202" t="n">
        <v>36.2314</v>
      </c>
      <c r="H202" t="n">
        <v>15.6636</v>
      </c>
      <c r="I202" t="n">
        <v>-17.7248</v>
      </c>
    </row>
    <row r="203" ht="16" customHeight="1" s="133">
      <c r="A203" t="n">
        <v>202</v>
      </c>
      <c r="B203" t="n">
        <v>16.75</v>
      </c>
      <c r="C203" t="n">
        <v>57.9934</v>
      </c>
      <c r="D203" t="n">
        <v>58.0992</v>
      </c>
      <c r="E203" t="n">
        <v>80.596</v>
      </c>
      <c r="F203" t="n">
        <v>100.5627</v>
      </c>
      <c r="G203" t="n">
        <v>36.3483</v>
      </c>
      <c r="H203" t="n">
        <v>16.9718</v>
      </c>
      <c r="I203" t="n">
        <v>-17.9675</v>
      </c>
    </row>
    <row r="204" ht="16" customHeight="1" s="133">
      <c r="A204" t="n">
        <v>203</v>
      </c>
      <c r="B204" t="n">
        <v>16.8333</v>
      </c>
      <c r="C204" t="n">
        <v>57.9591</v>
      </c>
      <c r="D204" t="n">
        <v>57.7616</v>
      </c>
      <c r="E204" t="n">
        <v>80.65649999999999</v>
      </c>
      <c r="F204" t="n">
        <v>101.2673</v>
      </c>
      <c r="G204" t="n">
        <v>35.4101</v>
      </c>
      <c r="H204" t="n">
        <v>15.977</v>
      </c>
      <c r="I204" t="n">
        <v>-17.1243</v>
      </c>
    </row>
    <row r="205" ht="16" customHeight="1" s="133">
      <c r="A205" t="n">
        <v>204</v>
      </c>
      <c r="B205" t="n">
        <v>16.9167</v>
      </c>
      <c r="C205" t="n">
        <v>57.9248</v>
      </c>
      <c r="D205" t="n">
        <v>58.1124</v>
      </c>
      <c r="E205" t="n">
        <v>80.60769999999999</v>
      </c>
      <c r="F205" t="n">
        <v>100.318</v>
      </c>
      <c r="G205" t="n">
        <v>35.2632</v>
      </c>
      <c r="H205" t="n">
        <v>16.0639</v>
      </c>
      <c r="I205" t="n">
        <v>-18.2037</v>
      </c>
    </row>
    <row r="206" ht="16" customHeight="1" s="133">
      <c r="A206" t="n">
        <v>205</v>
      </c>
      <c r="B206" t="n">
        <v>17</v>
      </c>
      <c r="C206" t="n">
        <v>57.8906</v>
      </c>
      <c r="D206" t="n">
        <v>58.2211</v>
      </c>
      <c r="E206" t="n">
        <v>80.2822</v>
      </c>
      <c r="F206" t="n">
        <v>101.1466</v>
      </c>
      <c r="G206" t="n">
        <v>35.7014</v>
      </c>
      <c r="H206" t="n">
        <v>15.6697</v>
      </c>
      <c r="I206" t="n">
        <v>-17.6948</v>
      </c>
    </row>
    <row r="207" ht="16" customHeight="1" s="133">
      <c r="A207" t="n">
        <v>206</v>
      </c>
      <c r="B207" t="n">
        <v>17.0833</v>
      </c>
      <c r="C207" t="n">
        <v>57.8563</v>
      </c>
      <c r="D207" t="n">
        <v>57.7232</v>
      </c>
      <c r="E207" t="n">
        <v>79.91540000000001</v>
      </c>
      <c r="F207" t="n">
        <v>100.3979</v>
      </c>
      <c r="G207" t="n">
        <v>35.3724</v>
      </c>
      <c r="H207" t="n">
        <v>15.343</v>
      </c>
      <c r="I207" t="n">
        <v>-17.1401</v>
      </c>
    </row>
    <row r="208" ht="16" customHeight="1" s="133">
      <c r="A208" t="n">
        <v>207</v>
      </c>
      <c r="B208" t="n">
        <v>17.1667</v>
      </c>
      <c r="C208" t="n">
        <v>57.8221</v>
      </c>
      <c r="D208" t="n">
        <v>57.6884</v>
      </c>
      <c r="E208" t="n">
        <v>80.2243</v>
      </c>
      <c r="F208" t="n">
        <v>100.2668</v>
      </c>
      <c r="G208" t="n">
        <v>35.5137</v>
      </c>
      <c r="H208" t="n">
        <v>15.3699</v>
      </c>
      <c r="I208" t="n">
        <v>-18.3008</v>
      </c>
    </row>
    <row r="209" ht="16" customHeight="1" s="133">
      <c r="A209" t="n">
        <v>208</v>
      </c>
      <c r="B209" t="n">
        <v>17.25</v>
      </c>
      <c r="C209" t="n">
        <v>57.7878</v>
      </c>
      <c r="D209" t="n">
        <v>57.7402</v>
      </c>
      <c r="E209" t="n">
        <v>80.0412</v>
      </c>
      <c r="F209" t="n">
        <v>100.4824</v>
      </c>
      <c r="G209" t="n">
        <v>35.7268</v>
      </c>
      <c r="H209" t="n">
        <v>15.7031</v>
      </c>
      <c r="I209" t="n">
        <v>-18.2184</v>
      </c>
    </row>
    <row r="210" ht="16" customHeight="1" s="133">
      <c r="A210" t="n">
        <v>209</v>
      </c>
      <c r="B210" t="n">
        <v>17.3333</v>
      </c>
      <c r="C210" t="n">
        <v>57.7535</v>
      </c>
      <c r="D210" t="n">
        <v>57.6617</v>
      </c>
      <c r="E210" t="n">
        <v>79.7543</v>
      </c>
      <c r="F210" t="n">
        <v>100.1611</v>
      </c>
      <c r="G210" t="n">
        <v>35.5791</v>
      </c>
      <c r="H210" t="n">
        <v>16.0672</v>
      </c>
      <c r="I210" t="n">
        <v>-16.9313</v>
      </c>
    </row>
    <row r="211" ht="16" customHeight="1" s="133">
      <c r="A211" t="n">
        <v>210</v>
      </c>
      <c r="B211" t="n">
        <v>17.4167</v>
      </c>
      <c r="C211" t="n">
        <v>57.7193</v>
      </c>
      <c r="D211" t="n">
        <v>57.8493</v>
      </c>
      <c r="E211" t="n">
        <v>80.36620000000001</v>
      </c>
      <c r="F211" t="n">
        <v>100.7315</v>
      </c>
      <c r="G211" t="n">
        <v>35.2726</v>
      </c>
      <c r="H211" t="n">
        <v>15.6679</v>
      </c>
      <c r="I211" t="n">
        <v>-18.6046</v>
      </c>
    </row>
    <row r="212" ht="16" customHeight="1" s="133">
      <c r="A212" t="n">
        <v>211</v>
      </c>
      <c r="B212" t="n">
        <v>17.5</v>
      </c>
      <c r="C212" t="n">
        <v>57.685</v>
      </c>
      <c r="D212" t="n">
        <v>57.8661</v>
      </c>
      <c r="E212" t="n">
        <v>80.2016</v>
      </c>
      <c r="F212" t="n">
        <v>100.955</v>
      </c>
      <c r="G212" t="n">
        <v>35.4663</v>
      </c>
      <c r="H212" t="n">
        <v>16.052</v>
      </c>
      <c r="I212" t="n">
        <v>-17.4964</v>
      </c>
    </row>
    <row r="213" ht="16" customHeight="1" s="133">
      <c r="A213" t="n">
        <v>212</v>
      </c>
      <c r="B213" t="n">
        <v>17.5833</v>
      </c>
      <c r="C213" t="n">
        <v>57.6507</v>
      </c>
      <c r="D213" t="n">
        <v>57.3616</v>
      </c>
      <c r="E213" t="n">
        <v>79.4444</v>
      </c>
      <c r="F213" t="n">
        <v>100.3673</v>
      </c>
      <c r="G213" t="n">
        <v>35.466</v>
      </c>
      <c r="H213" t="n">
        <v>16.1785</v>
      </c>
      <c r="I213" t="n">
        <v>-17.3532</v>
      </c>
    </row>
    <row r="214" ht="16" customHeight="1" s="133">
      <c r="A214" t="n">
        <v>213</v>
      </c>
      <c r="B214" t="n">
        <v>17.6667</v>
      </c>
      <c r="C214" t="n">
        <v>57.6165</v>
      </c>
      <c r="D214" t="n">
        <v>57.8898</v>
      </c>
      <c r="E214" t="n">
        <v>80.19589999999999</v>
      </c>
      <c r="F214" t="n">
        <v>100.2337</v>
      </c>
      <c r="G214" t="n">
        <v>35.1144</v>
      </c>
      <c r="H214" t="n">
        <v>15.3342</v>
      </c>
      <c r="I214" t="n">
        <v>-17.6774</v>
      </c>
    </row>
    <row r="215" ht="16" customHeight="1" s="133">
      <c r="A215" t="n">
        <v>214</v>
      </c>
      <c r="B215" t="n">
        <v>17.75</v>
      </c>
      <c r="C215" t="n">
        <v>57.5822</v>
      </c>
      <c r="D215" t="n">
        <v>57.6279</v>
      </c>
      <c r="E215" t="n">
        <v>80.12</v>
      </c>
      <c r="F215" t="n">
        <v>100.1961</v>
      </c>
      <c r="G215" t="n">
        <v>35.2655</v>
      </c>
      <c r="H215" t="n">
        <v>15.7611</v>
      </c>
      <c r="I215" t="n">
        <v>-16.0986</v>
      </c>
    </row>
    <row r="216" ht="16" customHeight="1" s="133">
      <c r="A216" t="n">
        <v>215</v>
      </c>
      <c r="B216" t="n">
        <v>17.8333</v>
      </c>
      <c r="C216" t="n">
        <v>57.548</v>
      </c>
      <c r="D216" t="n">
        <v>57.4751</v>
      </c>
      <c r="E216" t="n">
        <v>79.7328</v>
      </c>
      <c r="F216" t="n">
        <v>99.87050000000001</v>
      </c>
      <c r="G216" t="n">
        <v>35.3787</v>
      </c>
      <c r="H216" t="n">
        <v>15.6159</v>
      </c>
      <c r="I216" t="n">
        <v>-17.7699</v>
      </c>
    </row>
    <row r="217" ht="16" customHeight="1" s="133">
      <c r="A217" t="n">
        <v>216</v>
      </c>
      <c r="B217" t="n">
        <v>17.9167</v>
      </c>
      <c r="C217" t="n">
        <v>57.5137</v>
      </c>
      <c r="D217" t="n">
        <v>57.3662</v>
      </c>
      <c r="E217" t="n">
        <v>79.43689999999999</v>
      </c>
      <c r="F217" t="n">
        <v>99.5544</v>
      </c>
      <c r="G217" t="n">
        <v>35.5909</v>
      </c>
      <c r="H217" t="n">
        <v>15.2079</v>
      </c>
      <c r="I217" t="n">
        <v>-18.8009</v>
      </c>
    </row>
    <row r="218" ht="16" customHeight="1" s="133">
      <c r="A218" t="n">
        <v>217</v>
      </c>
      <c r="B218" t="n">
        <v>18</v>
      </c>
      <c r="C218" t="n">
        <v>57.4794</v>
      </c>
      <c r="D218" t="n">
        <v>57.3809</v>
      </c>
      <c r="E218" t="n">
        <v>79.6247</v>
      </c>
      <c r="F218" t="n">
        <v>99.72790000000001</v>
      </c>
      <c r="G218" t="n">
        <v>35.405</v>
      </c>
      <c r="H218" t="n">
        <v>15.2231</v>
      </c>
      <c r="I218" t="n">
        <v>-19.7702</v>
      </c>
    </row>
    <row r="219" ht="16" customHeight="1" s="133">
      <c r="A219" t="n">
        <v>218</v>
      </c>
      <c r="B219" t="n">
        <v>18.0833</v>
      </c>
      <c r="C219" t="n">
        <v>57.4452</v>
      </c>
      <c r="D219" t="n">
        <v>57.518</v>
      </c>
      <c r="E219" t="n">
        <v>79.8252</v>
      </c>
      <c r="F219" t="n">
        <v>100.1896</v>
      </c>
      <c r="G219" t="n">
        <v>35.7422</v>
      </c>
      <c r="H219" t="n">
        <v>15.7111</v>
      </c>
      <c r="I219" t="n">
        <v>-19.7031</v>
      </c>
    </row>
    <row r="220" ht="16" customHeight="1" s="133">
      <c r="A220" t="n">
        <v>219</v>
      </c>
      <c r="B220" t="n">
        <v>18.1667</v>
      </c>
      <c r="C220" t="n">
        <v>57.4109</v>
      </c>
      <c r="D220" t="n">
        <v>57.3351</v>
      </c>
      <c r="E220" t="n">
        <v>79.8327</v>
      </c>
      <c r="F220" t="n">
        <v>99.7891</v>
      </c>
      <c r="G220" t="n">
        <v>35.3406</v>
      </c>
      <c r="H220" t="n">
        <v>16.3739</v>
      </c>
      <c r="I220" t="n">
        <v>-19.9606</v>
      </c>
    </row>
    <row r="221" ht="16" customHeight="1" s="133">
      <c r="A221" t="n">
        <v>220</v>
      </c>
      <c r="B221" t="n">
        <v>18.25</v>
      </c>
      <c r="C221" t="n">
        <v>57.3767</v>
      </c>
      <c r="D221" t="n">
        <v>57.7783</v>
      </c>
      <c r="E221" t="n">
        <v>80.35769999999999</v>
      </c>
      <c r="F221" t="n">
        <v>100.845</v>
      </c>
      <c r="G221" t="n">
        <v>35.3311</v>
      </c>
      <c r="H221" t="n">
        <v>15.6214</v>
      </c>
      <c r="I221" t="n">
        <v>-19.0468</v>
      </c>
    </row>
    <row r="222" ht="16" customHeight="1" s="133">
      <c r="A222" t="n">
        <v>221</v>
      </c>
      <c r="B222" t="n">
        <v>18.3333</v>
      </c>
      <c r="C222" t="n">
        <v>57.3424</v>
      </c>
      <c r="D222" t="n">
        <v>57.7556</v>
      </c>
      <c r="E222" t="n">
        <v>80.6842</v>
      </c>
      <c r="F222" t="n">
        <v>100.5524</v>
      </c>
      <c r="G222" t="n">
        <v>35.5761</v>
      </c>
      <c r="H222" t="n">
        <v>14.916</v>
      </c>
      <c r="I222" t="n">
        <v>-17.7711</v>
      </c>
    </row>
    <row r="223" ht="16" customHeight="1" s="133">
      <c r="A223" t="n">
        <v>222</v>
      </c>
      <c r="B223" t="n">
        <v>18.4167</v>
      </c>
      <c r="C223" t="n">
        <v>57.3081</v>
      </c>
      <c r="D223" t="n">
        <v>57.5916</v>
      </c>
      <c r="E223" t="n">
        <v>80.1742</v>
      </c>
      <c r="F223" t="n">
        <v>100.7236</v>
      </c>
      <c r="G223" t="n">
        <v>35.5586</v>
      </c>
      <c r="H223" t="n">
        <v>14.955</v>
      </c>
      <c r="I223" t="n">
        <v>-18.8257</v>
      </c>
    </row>
    <row r="224" ht="16" customHeight="1" s="133">
      <c r="A224" t="n">
        <v>223</v>
      </c>
      <c r="B224" t="n">
        <v>18.5</v>
      </c>
      <c r="C224" t="n">
        <v>57.2739</v>
      </c>
      <c r="D224" t="n">
        <v>57.9828</v>
      </c>
      <c r="E224" t="n">
        <v>80.285</v>
      </c>
      <c r="F224" t="n">
        <v>100.8315</v>
      </c>
      <c r="G224" t="n">
        <v>35.0831</v>
      </c>
      <c r="H224" t="n">
        <v>15.1589</v>
      </c>
      <c r="I224" t="n">
        <v>-18.2341</v>
      </c>
    </row>
    <row r="225" ht="16" customHeight="1" s="133">
      <c r="A225" t="n">
        <v>224</v>
      </c>
      <c r="B225" t="n">
        <v>18.5833</v>
      </c>
      <c r="C225" t="n">
        <v>57.2396</v>
      </c>
      <c r="D225" t="n">
        <v>58.2971</v>
      </c>
      <c r="E225" t="n">
        <v>80.63890000000001</v>
      </c>
      <c r="F225" t="n">
        <v>99.8914</v>
      </c>
      <c r="G225" t="n">
        <v>35.5159</v>
      </c>
      <c r="H225" t="n">
        <v>16.0029</v>
      </c>
      <c r="I225" t="n">
        <v>-19.7584</v>
      </c>
    </row>
    <row r="226" ht="16" customHeight="1" s="133">
      <c r="A226" t="n">
        <v>225</v>
      </c>
      <c r="B226" t="n">
        <v>18.6667</v>
      </c>
      <c r="C226" t="n">
        <v>57.2053</v>
      </c>
      <c r="D226" t="n">
        <v>58.331</v>
      </c>
      <c r="E226" t="n">
        <v>80.74120000000001</v>
      </c>
      <c r="F226" t="n">
        <v>100.8745</v>
      </c>
      <c r="G226" t="n">
        <v>35.6609</v>
      </c>
      <c r="H226" t="n">
        <v>14.9711</v>
      </c>
      <c r="I226" t="n">
        <v>-20.0157</v>
      </c>
    </row>
    <row r="227" ht="16" customHeight="1" s="133">
      <c r="A227" t="n">
        <v>226</v>
      </c>
      <c r="B227" t="n">
        <v>18.75</v>
      </c>
      <c r="C227" t="n">
        <v>57.1711</v>
      </c>
      <c r="D227" t="n">
        <v>58.041</v>
      </c>
      <c r="E227" t="n">
        <v>80.9134</v>
      </c>
      <c r="F227" t="n">
        <v>100.4917</v>
      </c>
      <c r="G227" t="n">
        <v>35.2234</v>
      </c>
      <c r="H227" t="n">
        <v>15.5117</v>
      </c>
      <c r="I227" t="n">
        <v>-19.6781</v>
      </c>
    </row>
    <row r="228" ht="16" customHeight="1" s="133">
      <c r="A228" t="n">
        <v>227</v>
      </c>
      <c r="B228" t="n">
        <v>18.8333</v>
      </c>
      <c r="C228" t="n">
        <v>57.1368</v>
      </c>
      <c r="D228" t="n">
        <v>57.4548</v>
      </c>
      <c r="E228" t="n">
        <v>80.3044</v>
      </c>
      <c r="F228" t="n">
        <v>100.3511</v>
      </c>
      <c r="G228" t="n">
        <v>35.1705</v>
      </c>
      <c r="H228" t="n">
        <v>14.8285</v>
      </c>
      <c r="I228" t="n">
        <v>-18.4144</v>
      </c>
    </row>
    <row r="229" ht="16" customHeight="1" s="133">
      <c r="A229" t="n">
        <v>228</v>
      </c>
      <c r="B229" t="n">
        <v>18.9167</v>
      </c>
      <c r="C229" t="n">
        <v>57.1026</v>
      </c>
      <c r="D229" t="n">
        <v>57.5411</v>
      </c>
      <c r="E229" t="n">
        <v>80.19199999999999</v>
      </c>
      <c r="F229" t="n">
        <v>100.3754</v>
      </c>
      <c r="G229" t="n">
        <v>35.0917</v>
      </c>
      <c r="H229" t="n">
        <v>14.9799</v>
      </c>
      <c r="I229" t="n">
        <v>-17.8792</v>
      </c>
    </row>
    <row r="230" ht="16" customHeight="1" s="133">
      <c r="A230" t="n">
        <v>229</v>
      </c>
      <c r="B230" t="n">
        <v>19</v>
      </c>
      <c r="C230" t="n">
        <v>57.0683</v>
      </c>
      <c r="D230" t="n">
        <v>57.6358</v>
      </c>
      <c r="E230" t="n">
        <v>80.5283</v>
      </c>
      <c r="F230" t="n">
        <v>100.0886</v>
      </c>
      <c r="G230" t="n">
        <v>35.0506</v>
      </c>
      <c r="H230" t="n">
        <v>15.0271</v>
      </c>
      <c r="I230" t="n">
        <v>-17.1972</v>
      </c>
    </row>
    <row r="231" ht="16" customHeight="1" s="133">
      <c r="A231" t="n">
        <v>230</v>
      </c>
      <c r="B231" t="n">
        <v>19.0833</v>
      </c>
      <c r="C231" t="n">
        <v>57.034</v>
      </c>
      <c r="D231" t="n">
        <v>57.8448</v>
      </c>
      <c r="E231" t="n">
        <v>79.8682</v>
      </c>
      <c r="F231" t="n">
        <v>100.5529</v>
      </c>
      <c r="G231" t="n">
        <v>34.9564</v>
      </c>
      <c r="H231" t="n">
        <v>15.5022</v>
      </c>
      <c r="I231" t="n">
        <v>-19.5228</v>
      </c>
    </row>
    <row r="232" ht="16" customHeight="1" s="133">
      <c r="A232" t="n">
        <v>231</v>
      </c>
      <c r="B232" t="n">
        <v>19.1667</v>
      </c>
      <c r="C232" t="n">
        <v>56.9998</v>
      </c>
      <c r="D232" t="n">
        <v>57.8627</v>
      </c>
      <c r="E232" t="n">
        <v>80.30670000000001</v>
      </c>
      <c r="F232" t="n">
        <v>99.4909</v>
      </c>
      <c r="G232" t="n">
        <v>35.3751</v>
      </c>
      <c r="H232" t="n">
        <v>14.8103</v>
      </c>
      <c r="I232" t="n">
        <v>-17.3348</v>
      </c>
    </row>
    <row r="233" ht="16" customHeight="1" s="133">
      <c r="A233" t="n">
        <v>232</v>
      </c>
      <c r="B233" t="n">
        <v>19.25</v>
      </c>
      <c r="C233" t="n">
        <v>56.9655</v>
      </c>
      <c r="D233" t="n">
        <v>57.5878</v>
      </c>
      <c r="E233" t="n">
        <v>79.4881</v>
      </c>
      <c r="F233" t="n">
        <v>100.2533</v>
      </c>
      <c r="G233" t="n">
        <v>35.5585</v>
      </c>
      <c r="H233" t="n">
        <v>15.7403</v>
      </c>
      <c r="I233" t="n">
        <v>-18.9572</v>
      </c>
    </row>
    <row r="234" ht="16" customHeight="1" s="133">
      <c r="A234" t="n">
        <v>233</v>
      </c>
      <c r="B234" t="n">
        <v>19.3333</v>
      </c>
      <c r="C234" t="n">
        <v>56.9313</v>
      </c>
      <c r="D234" t="n">
        <v>57.7993</v>
      </c>
      <c r="E234" t="n">
        <v>79.4327</v>
      </c>
      <c r="F234" t="n">
        <v>99.63500000000001</v>
      </c>
      <c r="G234" t="n">
        <v>35.6205</v>
      </c>
      <c r="H234" t="n">
        <v>15.2259</v>
      </c>
      <c r="I234" t="n">
        <v>-18.8653</v>
      </c>
    </row>
    <row r="235" ht="16" customHeight="1" s="133">
      <c r="A235" t="n">
        <v>234</v>
      </c>
      <c r="B235" t="n">
        <v>19.4167</v>
      </c>
      <c r="C235" t="n">
        <v>56.897</v>
      </c>
      <c r="D235" t="n">
        <v>57.1838</v>
      </c>
      <c r="E235" t="n">
        <v>79.4956</v>
      </c>
      <c r="F235" t="n">
        <v>99.3278</v>
      </c>
      <c r="G235" t="n">
        <v>35.4669</v>
      </c>
      <c r="H235" t="n">
        <v>15.5149</v>
      </c>
      <c r="I235" t="n">
        <v>-17.1459</v>
      </c>
    </row>
    <row r="236" ht="16" customHeight="1" s="133">
      <c r="A236" t="n">
        <v>235</v>
      </c>
      <c r="B236" t="n">
        <v>19.5</v>
      </c>
      <c r="C236" t="n">
        <v>56.8627</v>
      </c>
      <c r="D236" t="n">
        <v>57.2447</v>
      </c>
      <c r="E236" t="n">
        <v>79.5874</v>
      </c>
      <c r="F236" t="n">
        <v>100.0309</v>
      </c>
      <c r="G236" t="n">
        <v>35.0817</v>
      </c>
      <c r="H236" t="n">
        <v>15.3147</v>
      </c>
      <c r="I236" t="n">
        <v>-17.9178</v>
      </c>
    </row>
    <row r="237" ht="16" customHeight="1" s="133">
      <c r="A237" t="n">
        <v>236</v>
      </c>
      <c r="B237" t="n">
        <v>19.5833</v>
      </c>
      <c r="C237" t="n">
        <v>56.8285</v>
      </c>
      <c r="D237" t="n">
        <v>57.2389</v>
      </c>
      <c r="E237" t="n">
        <v>79.6604</v>
      </c>
      <c r="F237" t="n">
        <v>99.2757</v>
      </c>
      <c r="G237" t="n">
        <v>35.177</v>
      </c>
      <c r="H237" t="n">
        <v>15.2203</v>
      </c>
      <c r="I237" t="n">
        <v>-18.2806</v>
      </c>
    </row>
    <row r="238" ht="16" customHeight="1" s="133">
      <c r="A238" t="n">
        <v>237</v>
      </c>
      <c r="B238" t="n">
        <v>19.6667</v>
      </c>
      <c r="C238" t="n">
        <v>56.7942</v>
      </c>
      <c r="D238" t="n">
        <v>57.3693</v>
      </c>
      <c r="E238" t="n">
        <v>79.29649999999999</v>
      </c>
      <c r="F238" t="n">
        <v>99.9058</v>
      </c>
      <c r="G238" t="n">
        <v>35.1043</v>
      </c>
      <c r="H238" t="n">
        <v>15.1343</v>
      </c>
      <c r="I238" t="n">
        <v>-19.577</v>
      </c>
    </row>
    <row r="239" ht="16" customHeight="1" s="133">
      <c r="A239" t="n">
        <v>238</v>
      </c>
      <c r="B239" t="n">
        <v>19.75</v>
      </c>
      <c r="C239" t="n">
        <v>56.7599</v>
      </c>
      <c r="D239" t="n">
        <v>57.9752</v>
      </c>
      <c r="E239" t="n">
        <v>79.7437</v>
      </c>
      <c r="F239" t="n">
        <v>99.7174</v>
      </c>
      <c r="G239" t="n">
        <v>35.4038</v>
      </c>
      <c r="H239" t="n">
        <v>14.58</v>
      </c>
      <c r="I239" t="n">
        <v>-19.3185</v>
      </c>
    </row>
    <row r="240" ht="16" customHeight="1" s="133">
      <c r="A240" t="n">
        <v>239</v>
      </c>
      <c r="B240" t="n">
        <v>19.8333</v>
      </c>
      <c r="C240" t="n">
        <v>56.7257</v>
      </c>
      <c r="D240" t="n">
        <v>57.5632</v>
      </c>
      <c r="E240" t="n">
        <v>79.55410000000001</v>
      </c>
      <c r="F240" t="n">
        <v>99.5018</v>
      </c>
      <c r="G240" t="n">
        <v>35.0624</v>
      </c>
      <c r="H240" t="n">
        <v>14.7465</v>
      </c>
      <c r="I240" t="n">
        <v>-20.6398</v>
      </c>
    </row>
    <row r="241" ht="16" customHeight="1" s="133">
      <c r="A241" t="n">
        <v>240</v>
      </c>
      <c r="B241" t="n">
        <v>19.9167</v>
      </c>
      <c r="C241" t="n">
        <v>56.6914</v>
      </c>
      <c r="D241" t="n">
        <v>57.4317</v>
      </c>
      <c r="E241" t="n">
        <v>79.68089999999999</v>
      </c>
      <c r="F241" t="n">
        <v>100.2013</v>
      </c>
      <c r="G241" t="n">
        <v>35.0367</v>
      </c>
      <c r="H241" t="n">
        <v>14.7108</v>
      </c>
      <c r="I241" t="n">
        <v>-19.5531</v>
      </c>
    </row>
    <row r="242" ht="16" customHeight="1" s="133">
      <c r="A242" t="n">
        <v>241</v>
      </c>
      <c r="B242" t="n">
        <v>20</v>
      </c>
      <c r="C242" t="n">
        <v>56.6572</v>
      </c>
      <c r="D242" t="n">
        <v>57.0598</v>
      </c>
      <c r="E242" t="n">
        <v>79.676</v>
      </c>
      <c r="F242" t="n">
        <v>99.9246</v>
      </c>
      <c r="G242" t="n">
        <v>35.0041</v>
      </c>
      <c r="H242" t="n">
        <v>14.5213</v>
      </c>
      <c r="I242" t="n">
        <v>-18.9878</v>
      </c>
    </row>
    <row r="243" ht="16" customHeight="1" s="133">
      <c r="A243" t="n">
        <v>242</v>
      </c>
      <c r="B243" t="n">
        <v>20.0833</v>
      </c>
      <c r="C243" t="n">
        <v>56.6229</v>
      </c>
      <c r="D243" t="n">
        <v>57.0195</v>
      </c>
      <c r="E243" t="n">
        <v>79.6935</v>
      </c>
      <c r="F243" t="n">
        <v>99.6434</v>
      </c>
      <c r="G243" t="n">
        <v>35.0827</v>
      </c>
      <c r="H243" t="n">
        <v>14.7887</v>
      </c>
      <c r="I243" t="n">
        <v>-18.3236</v>
      </c>
    </row>
    <row r="244" ht="16" customHeight="1" s="133">
      <c r="A244" t="n">
        <v>243</v>
      </c>
      <c r="B244" t="n">
        <v>20.1667</v>
      </c>
      <c r="C244" t="n">
        <v>56.5886</v>
      </c>
      <c r="D244" t="n">
        <v>57.0637</v>
      </c>
      <c r="E244" t="n">
        <v>79.74460000000001</v>
      </c>
      <c r="F244" t="n">
        <v>100.2641</v>
      </c>
      <c r="G244" t="n">
        <v>35.1199</v>
      </c>
      <c r="H244" t="n">
        <v>14.1911</v>
      </c>
      <c r="I244" t="n">
        <v>-19.716</v>
      </c>
    </row>
    <row r="245" ht="16" customHeight="1" s="133">
      <c r="A245" t="n">
        <v>244</v>
      </c>
      <c r="B245" t="n">
        <v>20.25</v>
      </c>
      <c r="C245" t="n">
        <v>56.5544</v>
      </c>
      <c r="D245" t="n">
        <v>57.3524</v>
      </c>
      <c r="E245" t="n">
        <v>79.4931</v>
      </c>
      <c r="F245" t="n">
        <v>99.8237</v>
      </c>
      <c r="G245" t="n">
        <v>34.9041</v>
      </c>
      <c r="H245" t="n">
        <v>14.8307</v>
      </c>
      <c r="I245" t="n">
        <v>-19.6821</v>
      </c>
    </row>
    <row r="246" ht="16" customHeight="1" s="133">
      <c r="A246" t="n">
        <v>245</v>
      </c>
      <c r="B246" t="n">
        <v>20.3333</v>
      </c>
      <c r="C246" t="n">
        <v>56.5201</v>
      </c>
      <c r="D246" t="n">
        <v>57.4925</v>
      </c>
      <c r="E246" t="n">
        <v>79.6695</v>
      </c>
      <c r="F246" t="n">
        <v>99.42230000000001</v>
      </c>
      <c r="G246" t="n">
        <v>35.1537</v>
      </c>
      <c r="H246" t="n">
        <v>15.1833</v>
      </c>
      <c r="I246" t="n">
        <v>-21.8307</v>
      </c>
    </row>
    <row r="247" ht="16" customHeight="1" s="133">
      <c r="A247" t="n">
        <v>246</v>
      </c>
      <c r="B247" t="n">
        <v>20.4167</v>
      </c>
      <c r="C247" t="n">
        <v>56.4859</v>
      </c>
      <c r="D247" t="n">
        <v>56.9798</v>
      </c>
      <c r="E247" t="n">
        <v>79.4842</v>
      </c>
      <c r="F247" t="n">
        <v>100.1323</v>
      </c>
      <c r="G247" t="n">
        <v>35.0612</v>
      </c>
      <c r="H247" t="n">
        <v>14.9857</v>
      </c>
      <c r="I247" t="n">
        <v>-19.0429</v>
      </c>
    </row>
    <row r="248" ht="16" customHeight="1" s="133">
      <c r="A248" t="n">
        <v>247</v>
      </c>
      <c r="B248" t="n">
        <v>20.5</v>
      </c>
      <c r="C248" t="n">
        <v>56.4516</v>
      </c>
      <c r="D248" t="n">
        <v>57.0544</v>
      </c>
      <c r="E248" t="n">
        <v>78.8857</v>
      </c>
      <c r="F248" t="n">
        <v>99.1823</v>
      </c>
      <c r="G248" t="n">
        <v>34.9538</v>
      </c>
      <c r="H248" t="n">
        <v>15.1558</v>
      </c>
      <c r="I248" t="n">
        <v>-19.404</v>
      </c>
    </row>
    <row r="249" ht="16" customHeight="1" s="133">
      <c r="A249" t="n">
        <v>248</v>
      </c>
      <c r="B249" t="n">
        <v>20.5833</v>
      </c>
      <c r="C249" t="n">
        <v>56.4173</v>
      </c>
      <c r="D249" t="n">
        <v>56.621</v>
      </c>
      <c r="E249" t="n">
        <v>79.35469999999999</v>
      </c>
      <c r="F249" t="n">
        <v>98.9118</v>
      </c>
      <c r="G249" t="n">
        <v>35.0122</v>
      </c>
      <c r="H249" t="n">
        <v>15.0989</v>
      </c>
      <c r="I249" t="n">
        <v>-21.2527</v>
      </c>
    </row>
    <row r="250" ht="16" customHeight="1" s="133">
      <c r="A250" t="n">
        <v>249</v>
      </c>
      <c r="B250" t="n">
        <v>20.6667</v>
      </c>
      <c r="C250" t="n">
        <v>56.3831</v>
      </c>
      <c r="D250" t="n">
        <v>56.5454</v>
      </c>
      <c r="E250" t="n">
        <v>78.63079999999999</v>
      </c>
      <c r="F250" t="n">
        <v>98.70269999999999</v>
      </c>
      <c r="G250" t="n">
        <v>34.118</v>
      </c>
      <c r="H250" t="n">
        <v>14.5525</v>
      </c>
      <c r="I250" t="n">
        <v>-20.4452</v>
      </c>
    </row>
    <row r="251" ht="16" customHeight="1" s="133">
      <c r="A251" t="n">
        <v>250</v>
      </c>
      <c r="B251" t="n">
        <v>20.75</v>
      </c>
      <c r="C251" t="n">
        <v>56.3488</v>
      </c>
      <c r="D251" t="n">
        <v>56.3178</v>
      </c>
      <c r="E251" t="n">
        <v>78.5834</v>
      </c>
      <c r="F251" t="n">
        <v>98.4175</v>
      </c>
      <c r="G251" t="n">
        <v>33.8337</v>
      </c>
      <c r="H251" t="n">
        <v>13.5807</v>
      </c>
      <c r="I251" t="n">
        <v>-19.484</v>
      </c>
    </row>
    <row r="252" ht="16" customHeight="1" s="133">
      <c r="A252" t="n">
        <v>251</v>
      </c>
      <c r="B252" t="n">
        <v>20.8333</v>
      </c>
      <c r="C252" t="n">
        <v>56.3145</v>
      </c>
      <c r="D252" t="n">
        <v>56.3433</v>
      </c>
      <c r="E252" t="n">
        <v>78.86920000000001</v>
      </c>
      <c r="F252" t="n">
        <v>99.02800000000001</v>
      </c>
      <c r="G252" t="n">
        <v>33.9169</v>
      </c>
      <c r="H252" t="n">
        <v>13.9013</v>
      </c>
      <c r="I252" t="n">
        <v>-20.1412</v>
      </c>
    </row>
    <row r="253" ht="16" customHeight="1" s="133">
      <c r="A253" t="n">
        <v>252</v>
      </c>
      <c r="B253" t="n">
        <v>20.9167</v>
      </c>
      <c r="C253" t="n">
        <v>56.2803</v>
      </c>
      <c r="D253" t="n">
        <v>56.1339</v>
      </c>
      <c r="E253" t="n">
        <v>78.77889999999999</v>
      </c>
      <c r="F253" t="n">
        <v>99.0368</v>
      </c>
      <c r="G253" t="n">
        <v>34.2596</v>
      </c>
      <c r="H253" t="n">
        <v>13.4341</v>
      </c>
      <c r="I253" t="n">
        <v>-18.2965</v>
      </c>
    </row>
    <row r="254" ht="16" customHeight="1" s="133">
      <c r="A254" t="n">
        <v>253</v>
      </c>
      <c r="B254" t="n">
        <v>21</v>
      </c>
      <c r="C254" t="n">
        <v>56.246</v>
      </c>
      <c r="D254" t="n">
        <v>56.3073</v>
      </c>
      <c r="E254" t="n">
        <v>78.95310000000001</v>
      </c>
      <c r="F254" t="n">
        <v>99.2328</v>
      </c>
      <c r="G254" t="n">
        <v>33.8951</v>
      </c>
      <c r="H254" t="n">
        <v>14.089</v>
      </c>
      <c r="I254" t="n">
        <v>-19.8691</v>
      </c>
    </row>
    <row r="255" ht="16" customHeight="1" s="133">
      <c r="A255" t="n">
        <v>254</v>
      </c>
      <c r="B255" t="n">
        <v>21.0833</v>
      </c>
      <c r="C255" t="n">
        <v>56.2118</v>
      </c>
      <c r="D255" t="n">
        <v>56.3294</v>
      </c>
      <c r="E255" t="n">
        <v>78.6602</v>
      </c>
      <c r="F255" t="n">
        <v>98.9131</v>
      </c>
      <c r="G255" t="n">
        <v>34.4927</v>
      </c>
      <c r="H255" t="n">
        <v>14.3483</v>
      </c>
      <c r="I255" t="n">
        <v>-21.2843</v>
      </c>
    </row>
    <row r="256" ht="16" customHeight="1" s="133">
      <c r="A256" t="n">
        <v>255</v>
      </c>
      <c r="B256" t="n">
        <v>21.1667</v>
      </c>
      <c r="C256" t="n">
        <v>56.1775</v>
      </c>
      <c r="D256" t="n">
        <v>56.0401</v>
      </c>
      <c r="E256" t="n">
        <v>78.6193</v>
      </c>
      <c r="F256" t="n">
        <v>99.4319</v>
      </c>
      <c r="G256" t="n">
        <v>33.5688</v>
      </c>
      <c r="H256" t="n">
        <v>13.906</v>
      </c>
      <c r="I256" t="n">
        <v>-19.8952</v>
      </c>
    </row>
    <row r="257" ht="16" customHeight="1" s="133">
      <c r="A257" t="n">
        <v>256</v>
      </c>
      <c r="B257" t="n">
        <v>21.25</v>
      </c>
      <c r="C257" t="n">
        <v>56.1432</v>
      </c>
      <c r="D257" t="n">
        <v>55.6009</v>
      </c>
      <c r="E257" t="n">
        <v>78.7602</v>
      </c>
      <c r="F257" t="n">
        <v>99.1493</v>
      </c>
      <c r="G257" t="n">
        <v>33.9423</v>
      </c>
      <c r="H257" t="n">
        <v>14.293</v>
      </c>
      <c r="I257" t="n">
        <v>-22.093</v>
      </c>
    </row>
    <row r="258" ht="16" customHeight="1" s="133">
      <c r="A258" t="n">
        <v>257</v>
      </c>
      <c r="B258" t="n">
        <v>21.3333</v>
      </c>
      <c r="C258" t="n">
        <v>56.109</v>
      </c>
      <c r="D258" t="n">
        <v>55.8668</v>
      </c>
      <c r="E258" t="n">
        <v>78.6699</v>
      </c>
      <c r="F258" t="n">
        <v>99.0012</v>
      </c>
      <c r="G258" t="n">
        <v>34.1211</v>
      </c>
      <c r="H258" t="n">
        <v>14.8059</v>
      </c>
      <c r="I258" t="n">
        <v>-20.2545</v>
      </c>
    </row>
    <row r="259" ht="16" customHeight="1" s="133">
      <c r="A259" t="n">
        <v>258</v>
      </c>
      <c r="B259" t="n">
        <v>21.4167</v>
      </c>
      <c r="C259" t="n">
        <v>56.0747</v>
      </c>
      <c r="D259" t="n">
        <v>56.1177</v>
      </c>
      <c r="E259" t="n">
        <v>78.92189999999999</v>
      </c>
      <c r="F259" t="n">
        <v>98.4109</v>
      </c>
      <c r="G259" t="n">
        <v>34.1844</v>
      </c>
      <c r="H259" t="n">
        <v>13.8591</v>
      </c>
      <c r="I259" t="n">
        <v>-18.61</v>
      </c>
    </row>
    <row r="260" ht="16" customHeight="1" s="133">
      <c r="A260" t="n">
        <v>259</v>
      </c>
      <c r="B260" t="n">
        <v>21.5</v>
      </c>
      <c r="C260" t="n">
        <v>56.0405</v>
      </c>
      <c r="D260" t="n">
        <v>56.3879</v>
      </c>
      <c r="E260" t="n">
        <v>78.9973</v>
      </c>
      <c r="F260" t="n">
        <v>98.4072</v>
      </c>
      <c r="G260" t="n">
        <v>34.1655</v>
      </c>
      <c r="H260" t="n">
        <v>14.1704</v>
      </c>
      <c r="I260" t="n">
        <v>-19.4603</v>
      </c>
    </row>
    <row r="261" ht="16" customHeight="1" s="133">
      <c r="A261" t="n">
        <v>260</v>
      </c>
      <c r="B261" t="n">
        <v>21.5833</v>
      </c>
      <c r="C261" t="n">
        <v>56.0062</v>
      </c>
      <c r="D261" t="n">
        <v>56.37</v>
      </c>
      <c r="E261" t="n">
        <v>78.607</v>
      </c>
      <c r="F261" t="n">
        <v>98.1311</v>
      </c>
      <c r="G261" t="n">
        <v>33.8248</v>
      </c>
      <c r="H261" t="n">
        <v>14.0056</v>
      </c>
      <c r="I261" t="n">
        <v>-21.2194</v>
      </c>
    </row>
    <row r="262" ht="16" customHeight="1" s="133">
      <c r="A262" t="n">
        <v>261</v>
      </c>
      <c r="B262" t="n">
        <v>21.6667</v>
      </c>
      <c r="C262" t="n">
        <v>55.9719</v>
      </c>
      <c r="D262" t="n">
        <v>56.2838</v>
      </c>
      <c r="E262" t="n">
        <v>78.3612</v>
      </c>
      <c r="F262" t="n">
        <v>98.1285</v>
      </c>
      <c r="G262" t="n">
        <v>34.007</v>
      </c>
      <c r="H262" t="n">
        <v>13.4427</v>
      </c>
      <c r="I262" t="n">
        <v>-20.899</v>
      </c>
    </row>
    <row r="263" ht="16" customHeight="1" s="133">
      <c r="A263" t="n">
        <v>262</v>
      </c>
      <c r="B263" t="n">
        <v>21.75</v>
      </c>
      <c r="C263" t="n">
        <v>55.9377</v>
      </c>
      <c r="D263" t="n">
        <v>56.1534</v>
      </c>
      <c r="E263" t="n">
        <v>78.03660000000001</v>
      </c>
      <c r="F263" t="n">
        <v>98.0806</v>
      </c>
      <c r="G263" t="n">
        <v>33.644</v>
      </c>
      <c r="H263" t="n">
        <v>13.7448</v>
      </c>
      <c r="I263" t="n">
        <v>-21.1268</v>
      </c>
    </row>
    <row r="264" ht="16" customHeight="1" s="133">
      <c r="A264" t="n">
        <v>263</v>
      </c>
      <c r="B264" t="n">
        <v>21.8333</v>
      </c>
      <c r="C264" t="n">
        <v>55.9034</v>
      </c>
      <c r="D264" t="n">
        <v>55.9422</v>
      </c>
      <c r="E264" t="n">
        <v>78.3832</v>
      </c>
      <c r="F264" t="n">
        <v>97.7235</v>
      </c>
      <c r="G264" t="n">
        <v>33.9576</v>
      </c>
      <c r="H264" t="n">
        <v>14.0994</v>
      </c>
      <c r="I264" t="n">
        <v>-21.3326</v>
      </c>
    </row>
    <row r="265" ht="16" customHeight="1" s="133">
      <c r="A265" t="n">
        <v>264</v>
      </c>
      <c r="B265" t="n">
        <v>21.9167</v>
      </c>
      <c r="C265" t="n">
        <v>55.8691</v>
      </c>
      <c r="D265" t="n">
        <v>56.0491</v>
      </c>
      <c r="E265" t="n">
        <v>77.85129999999999</v>
      </c>
      <c r="F265" t="n">
        <v>98.4692</v>
      </c>
      <c r="G265" t="n">
        <v>33.7818</v>
      </c>
      <c r="H265" t="n">
        <v>13.8071</v>
      </c>
      <c r="I265" t="n">
        <v>-19.8273</v>
      </c>
    </row>
    <row r="266" ht="16" customHeight="1" s="133">
      <c r="A266" t="n">
        <v>265</v>
      </c>
      <c r="B266" t="n">
        <v>22</v>
      </c>
      <c r="C266" t="n">
        <v>55.8349</v>
      </c>
      <c r="D266" t="n">
        <v>56.027</v>
      </c>
      <c r="E266" t="n">
        <v>78.2392</v>
      </c>
      <c r="F266" t="n">
        <v>97.91160000000001</v>
      </c>
      <c r="G266" t="n">
        <v>33.7584</v>
      </c>
      <c r="H266" t="n">
        <v>14.2939</v>
      </c>
      <c r="I266" t="n">
        <v>-20.0494</v>
      </c>
    </row>
    <row r="267" ht="16" customHeight="1" s="133">
      <c r="A267" t="n">
        <v>266</v>
      </c>
      <c r="B267" t="n">
        <v>22.0833</v>
      </c>
      <c r="C267" t="n">
        <v>55.8006</v>
      </c>
      <c r="D267" t="n">
        <v>56.2921</v>
      </c>
      <c r="E267" t="n">
        <v>78.2992</v>
      </c>
      <c r="F267" t="n">
        <v>98.0792</v>
      </c>
      <c r="G267" t="n">
        <v>33.5534</v>
      </c>
      <c r="H267" t="n">
        <v>14.1785</v>
      </c>
      <c r="I267" t="n">
        <v>-18.419</v>
      </c>
    </row>
    <row r="268" ht="16" customHeight="1" s="133">
      <c r="A268" t="n">
        <v>267</v>
      </c>
      <c r="B268" t="n">
        <v>22.1667</v>
      </c>
      <c r="C268" t="n">
        <v>55.7664</v>
      </c>
      <c r="D268" t="n">
        <v>56.0201</v>
      </c>
      <c r="E268" t="n">
        <v>78.4401</v>
      </c>
      <c r="F268" t="n">
        <v>98.4958</v>
      </c>
      <c r="G268" t="n">
        <v>34.1478</v>
      </c>
      <c r="H268" t="n">
        <v>13.0735</v>
      </c>
      <c r="I268" t="n">
        <v>-18.87</v>
      </c>
    </row>
    <row r="269" ht="16" customHeight="1" s="133">
      <c r="A269" t="n">
        <v>268</v>
      </c>
      <c r="B269" t="n">
        <v>22.25</v>
      </c>
      <c r="C269" t="n">
        <v>55.7321</v>
      </c>
      <c r="D269" t="n">
        <v>55.5751</v>
      </c>
      <c r="E269" t="n">
        <v>77.8372</v>
      </c>
      <c r="F269" t="n">
        <v>98.35120000000001</v>
      </c>
      <c r="G269" t="n">
        <v>33.9697</v>
      </c>
      <c r="H269" t="n">
        <v>13.641</v>
      </c>
      <c r="I269" t="n">
        <v>-19.6134</v>
      </c>
    </row>
    <row r="270" ht="16" customHeight="1" s="133">
      <c r="A270" t="n">
        <v>269</v>
      </c>
      <c r="B270" t="n">
        <v>22.3333</v>
      </c>
      <c r="C270" t="n">
        <v>55.6978</v>
      </c>
      <c r="D270" t="n">
        <v>55.4308</v>
      </c>
      <c r="E270" t="n">
        <v>78.17149999999999</v>
      </c>
      <c r="F270" t="n">
        <v>97.2551</v>
      </c>
      <c r="G270" t="n">
        <v>33.8745</v>
      </c>
      <c r="H270" t="n">
        <v>13.4531</v>
      </c>
      <c r="I270" t="n">
        <v>-22.0198</v>
      </c>
    </row>
    <row r="271" ht="16" customHeight="1" s="133">
      <c r="A271" t="n">
        <v>270</v>
      </c>
      <c r="B271" t="n">
        <v>22.4167</v>
      </c>
      <c r="C271" t="n">
        <v>55.6636</v>
      </c>
      <c r="D271" t="n">
        <v>55.919</v>
      </c>
      <c r="E271" t="n">
        <v>77.8783</v>
      </c>
      <c r="F271" t="n">
        <v>97.2608</v>
      </c>
      <c r="G271" t="n">
        <v>33.6461</v>
      </c>
      <c r="H271" t="n">
        <v>14.0448</v>
      </c>
      <c r="I271" t="n">
        <v>-23.0713</v>
      </c>
    </row>
    <row r="272" ht="16" customHeight="1" s="133">
      <c r="A272" t="n">
        <v>271</v>
      </c>
      <c r="B272" t="n">
        <v>22.5</v>
      </c>
      <c r="C272" t="n">
        <v>55.6293</v>
      </c>
      <c r="D272" t="n">
        <v>55.1798</v>
      </c>
      <c r="E272" t="n">
        <v>77.7252</v>
      </c>
      <c r="F272" t="n">
        <v>97.0364</v>
      </c>
      <c r="G272" t="n">
        <v>33.055</v>
      </c>
      <c r="H272" t="n">
        <v>12.886</v>
      </c>
      <c r="I272" t="n">
        <v>-21.6716</v>
      </c>
    </row>
    <row r="273" ht="16" customHeight="1" s="133">
      <c r="A273" t="n">
        <v>272</v>
      </c>
      <c r="B273" t="n">
        <v>22.5833</v>
      </c>
      <c r="C273" t="n">
        <v>55.5951</v>
      </c>
      <c r="D273" t="n">
        <v>55.4411</v>
      </c>
      <c r="E273" t="n">
        <v>77.2453</v>
      </c>
      <c r="F273" t="n">
        <v>97.0638</v>
      </c>
      <c r="G273" t="n">
        <v>33.0339</v>
      </c>
      <c r="H273" t="n">
        <v>13.3748</v>
      </c>
      <c r="I273" t="n">
        <v>-22.294</v>
      </c>
    </row>
    <row r="274" ht="16" customHeight="1" s="133">
      <c r="A274" t="n">
        <v>273</v>
      </c>
      <c r="B274" t="n">
        <v>22.6667</v>
      </c>
      <c r="C274" t="n">
        <v>55.5608</v>
      </c>
      <c r="D274" t="n">
        <v>55.449</v>
      </c>
      <c r="E274" t="n">
        <v>77.1683</v>
      </c>
      <c r="F274" t="n">
        <v>96.84990000000001</v>
      </c>
      <c r="G274" t="n">
        <v>33.1261</v>
      </c>
      <c r="H274" t="n">
        <v>12.9093</v>
      </c>
      <c r="I274" t="n">
        <v>-22.0805</v>
      </c>
    </row>
    <row r="275" ht="16" customHeight="1" s="133">
      <c r="A275" t="n">
        <v>274</v>
      </c>
      <c r="B275" t="n">
        <v>22.75</v>
      </c>
      <c r="C275" t="n">
        <v>55.5265</v>
      </c>
      <c r="D275" t="n">
        <v>54.766</v>
      </c>
      <c r="E275" t="n">
        <v>76.8263</v>
      </c>
      <c r="F275" t="n">
        <v>96.5766</v>
      </c>
      <c r="G275" t="n">
        <v>33.1183</v>
      </c>
      <c r="H275" t="n">
        <v>12.5362</v>
      </c>
      <c r="I275" t="n">
        <v>-20.5675</v>
      </c>
    </row>
    <row r="276" ht="16" customHeight="1" s="133">
      <c r="A276" t="n">
        <v>275</v>
      </c>
      <c r="B276" t="n">
        <v>22.8333</v>
      </c>
      <c r="C276" t="n">
        <v>55.4923</v>
      </c>
      <c r="D276" t="n">
        <v>54.488</v>
      </c>
      <c r="E276" t="n">
        <v>77.04000000000001</v>
      </c>
      <c r="F276" t="n">
        <v>97.29730000000001</v>
      </c>
      <c r="G276" t="n">
        <v>32.7325</v>
      </c>
      <c r="H276" t="n">
        <v>12.5834</v>
      </c>
      <c r="I276" t="n">
        <v>-22.7302</v>
      </c>
    </row>
    <row r="277" ht="16" customHeight="1" s="133">
      <c r="A277" t="n">
        <v>276</v>
      </c>
      <c r="B277" t="n">
        <v>22.9167</v>
      </c>
      <c r="C277" t="n">
        <v>55.458</v>
      </c>
      <c r="D277" t="n">
        <v>54.8748</v>
      </c>
      <c r="E277" t="n">
        <v>76.7414</v>
      </c>
      <c r="F277" t="n">
        <v>97.02290000000001</v>
      </c>
      <c r="G277" t="n">
        <v>32.0354</v>
      </c>
      <c r="H277" t="n">
        <v>12.362</v>
      </c>
      <c r="I277" t="n">
        <v>-22.1435</v>
      </c>
    </row>
    <row r="278" ht="16" customHeight="1" s="133">
      <c r="A278" t="n">
        <v>277</v>
      </c>
      <c r="B278" t="n">
        <v>23</v>
      </c>
      <c r="C278" t="n">
        <v>55.4237</v>
      </c>
      <c r="D278" t="n">
        <v>54.855</v>
      </c>
      <c r="E278" t="n">
        <v>77.5153</v>
      </c>
      <c r="F278" t="n">
        <v>96.8068</v>
      </c>
      <c r="G278" t="n">
        <v>32.7595</v>
      </c>
      <c r="H278" t="n">
        <v>12.9584</v>
      </c>
      <c r="I278" t="n">
        <v>-22.3623</v>
      </c>
    </row>
    <row r="279" ht="16" customHeight="1" s="133">
      <c r="A279" t="n">
        <v>278</v>
      </c>
      <c r="B279" t="n">
        <v>23.0833</v>
      </c>
      <c r="C279" t="n">
        <v>55.3895</v>
      </c>
      <c r="D279" t="n">
        <v>54.9947</v>
      </c>
      <c r="E279" t="n">
        <v>77.17010000000001</v>
      </c>
      <c r="F279" t="n">
        <v>97.0909</v>
      </c>
      <c r="G279" t="n">
        <v>33.0116</v>
      </c>
      <c r="H279" t="n">
        <v>11.9138</v>
      </c>
      <c r="I279" t="n">
        <v>-25.4892</v>
      </c>
    </row>
    <row r="280" ht="16" customHeight="1" s="133">
      <c r="A280" t="n">
        <v>279</v>
      </c>
      <c r="B280" t="n">
        <v>23.1667</v>
      </c>
      <c r="C280" t="n">
        <v>55.3552</v>
      </c>
      <c r="D280" t="n">
        <v>55.0124</v>
      </c>
      <c r="E280" t="n">
        <v>77.806</v>
      </c>
      <c r="F280" t="n">
        <v>97.3078</v>
      </c>
      <c r="G280" t="n">
        <v>32.2883</v>
      </c>
      <c r="H280" t="n">
        <v>12.512</v>
      </c>
      <c r="I280" t="n">
        <v>-23.565</v>
      </c>
    </row>
    <row r="281" ht="16" customHeight="1" s="133">
      <c r="A281" t="n">
        <v>280</v>
      </c>
      <c r="B281" t="n">
        <v>23.25</v>
      </c>
      <c r="C281" t="n">
        <v>55.321</v>
      </c>
      <c r="D281" t="n">
        <v>55.2999</v>
      </c>
      <c r="E281" t="n">
        <v>77.33759999999999</v>
      </c>
      <c r="F281" t="n">
        <v>98.0068</v>
      </c>
      <c r="G281" t="n">
        <v>32.9876</v>
      </c>
      <c r="H281" t="n">
        <v>12.7535</v>
      </c>
      <c r="I281" t="n">
        <v>-23.0485</v>
      </c>
    </row>
    <row r="282" ht="16" customHeight="1" s="133">
      <c r="A282" t="n">
        <v>281</v>
      </c>
      <c r="B282" t="n">
        <v>23.3333</v>
      </c>
      <c r="C282" t="n">
        <v>55.2867</v>
      </c>
      <c r="D282" t="n">
        <v>55.0475</v>
      </c>
      <c r="E282" t="n">
        <v>76.8927</v>
      </c>
      <c r="F282" t="n">
        <v>97.8</v>
      </c>
      <c r="G282" t="n">
        <v>32.8554</v>
      </c>
      <c r="H282" t="n">
        <v>12.9566</v>
      </c>
      <c r="I282" t="n">
        <v>-22.2601</v>
      </c>
    </row>
    <row r="283" ht="16" customHeight="1" s="133">
      <c r="A283" t="n">
        <v>282</v>
      </c>
      <c r="B283" t="n">
        <v>23.4167</v>
      </c>
      <c r="C283" t="n">
        <v>55.2524</v>
      </c>
      <c r="D283" t="n">
        <v>54.9583</v>
      </c>
      <c r="E283" t="n">
        <v>77.6417</v>
      </c>
      <c r="F283" t="n">
        <v>97.2159</v>
      </c>
      <c r="G283" t="n">
        <v>32.5997</v>
      </c>
      <c r="H283" t="n">
        <v>12.3709</v>
      </c>
      <c r="I283" t="n">
        <v>-21.2235</v>
      </c>
    </row>
    <row r="284" ht="16" customHeight="1" s="133">
      <c r="A284" t="n">
        <v>283</v>
      </c>
      <c r="B284" t="n">
        <v>23.5</v>
      </c>
      <c r="C284" t="n">
        <v>55.2182</v>
      </c>
      <c r="D284" t="n">
        <v>55.6361</v>
      </c>
      <c r="E284" t="n">
        <v>77.5005</v>
      </c>
      <c r="F284" t="n">
        <v>97.4074</v>
      </c>
      <c r="G284" t="n">
        <v>33.2289</v>
      </c>
      <c r="H284" t="n">
        <v>12.6478</v>
      </c>
      <c r="I284" t="n">
        <v>-21.1982</v>
      </c>
    </row>
    <row r="285" ht="16" customHeight="1" s="133">
      <c r="A285" t="n">
        <v>284</v>
      </c>
      <c r="B285" t="n">
        <v>23.5833</v>
      </c>
      <c r="C285" t="n">
        <v>55.1839</v>
      </c>
      <c r="D285" t="n">
        <v>55.5285</v>
      </c>
      <c r="E285" t="n">
        <v>77.7222</v>
      </c>
      <c r="F285" t="n">
        <v>97</v>
      </c>
      <c r="G285" t="n">
        <v>32.451</v>
      </c>
      <c r="H285" t="n">
        <v>12.5423</v>
      </c>
      <c r="I285" t="n">
        <v>-21.7029</v>
      </c>
    </row>
    <row r="286" ht="16" customHeight="1" s="133">
      <c r="A286" t="n">
        <v>285</v>
      </c>
      <c r="B286" t="n">
        <v>23.6667</v>
      </c>
      <c r="C286" t="n">
        <v>55.1497</v>
      </c>
      <c r="D286" t="n">
        <v>55.3486</v>
      </c>
      <c r="E286" t="n">
        <v>77.2801</v>
      </c>
      <c r="F286" t="n">
        <v>97.2948</v>
      </c>
      <c r="G286" t="n">
        <v>32.5296</v>
      </c>
      <c r="H286" t="n">
        <v>12.4162</v>
      </c>
      <c r="I286" t="n">
        <v>-21.6966</v>
      </c>
    </row>
    <row r="287" ht="16" customHeight="1" s="133">
      <c r="A287" t="n">
        <v>286</v>
      </c>
      <c r="B287" t="n">
        <v>23.75</v>
      </c>
      <c r="C287" t="n">
        <v>55.1154</v>
      </c>
      <c r="D287" t="n">
        <v>54.8767</v>
      </c>
      <c r="E287" t="n">
        <v>77.03400000000001</v>
      </c>
      <c r="F287" t="n">
        <v>98.6802</v>
      </c>
      <c r="G287" t="n">
        <v>32.6597</v>
      </c>
      <c r="H287" t="n">
        <v>13.1444</v>
      </c>
      <c r="I287" t="n">
        <v>-23.1879</v>
      </c>
    </row>
    <row r="288" ht="16" customHeight="1" s="133">
      <c r="A288" t="n">
        <v>287</v>
      </c>
      <c r="B288" t="n">
        <v>23.8333</v>
      </c>
      <c r="C288" t="n">
        <v>55.0811</v>
      </c>
      <c r="D288" t="n">
        <v>54.9223</v>
      </c>
      <c r="E288" t="n">
        <v>77.2492</v>
      </c>
      <c r="F288" t="n">
        <v>97.7824</v>
      </c>
      <c r="G288" t="n">
        <v>33.0444</v>
      </c>
      <c r="H288" t="n">
        <v>12.5557</v>
      </c>
      <c r="I288" t="n">
        <v>-23.2956</v>
      </c>
    </row>
    <row r="289" ht="16" customHeight="1" s="133">
      <c r="A289" t="n">
        <v>288</v>
      </c>
      <c r="B289" t="n">
        <v>23.9167</v>
      </c>
      <c r="C289" t="n">
        <v>55.0469</v>
      </c>
      <c r="D289" t="n">
        <v>55.137</v>
      </c>
      <c r="E289" t="n">
        <v>77.20350000000001</v>
      </c>
      <c r="F289" t="n">
        <v>97.39579999999999</v>
      </c>
      <c r="G289" t="n">
        <v>33.5344</v>
      </c>
      <c r="H289" t="n">
        <v>14.0866</v>
      </c>
      <c r="I289" t="n">
        <v>-23.1886</v>
      </c>
    </row>
    <row r="290" ht="16" customHeight="1" s="133">
      <c r="A290" t="n">
        <v>289</v>
      </c>
      <c r="B290" t="n">
        <v>24</v>
      </c>
      <c r="C290" t="n">
        <v>55.0126</v>
      </c>
      <c r="D290" t="n">
        <v>55.7804</v>
      </c>
      <c r="E290" t="n">
        <v>76.9483</v>
      </c>
      <c r="F290" t="n">
        <v>97.2426</v>
      </c>
      <c r="G290" t="n">
        <v>33.1662</v>
      </c>
      <c r="H290" t="n">
        <v>13.3277</v>
      </c>
      <c r="I290" t="n">
        <v>-21.2752</v>
      </c>
    </row>
    <row r="291" ht="16" customHeight="1" s="133">
      <c r="A291" t="n">
        <v>290</v>
      </c>
      <c r="B291" t="n">
        <v>24.0833</v>
      </c>
      <c r="C291" t="n">
        <v>54.9783</v>
      </c>
      <c r="D291" t="n">
        <v>55.0518</v>
      </c>
      <c r="E291" t="n">
        <v>77.0393</v>
      </c>
      <c r="F291" t="n">
        <v>97.2084</v>
      </c>
      <c r="G291" t="n">
        <v>33.2266</v>
      </c>
      <c r="H291" t="n">
        <v>13.5551</v>
      </c>
      <c r="I291" t="n">
        <v>-22.5157</v>
      </c>
    </row>
    <row r="292" ht="16" customHeight="1" s="133">
      <c r="A292" t="n">
        <v>291</v>
      </c>
      <c r="B292" t="n">
        <v>24.1667</v>
      </c>
      <c r="C292" t="n">
        <v>54.9441</v>
      </c>
      <c r="D292" t="n">
        <v>55.1855</v>
      </c>
      <c r="E292" t="n">
        <v>77.22920000000001</v>
      </c>
      <c r="F292" t="n">
        <v>97.20659999999999</v>
      </c>
      <c r="G292" t="n">
        <v>33.659</v>
      </c>
      <c r="H292" t="n">
        <v>13.044</v>
      </c>
      <c r="I292" t="n">
        <v>-22.422</v>
      </c>
    </row>
    <row r="293" ht="16" customHeight="1" s="133">
      <c r="A293" t="n">
        <v>292</v>
      </c>
      <c r="B293" t="n">
        <v>24.25</v>
      </c>
      <c r="C293" t="n">
        <v>54.9098</v>
      </c>
      <c r="D293" t="n">
        <v>55.2732</v>
      </c>
      <c r="E293" t="n">
        <v>77.5296</v>
      </c>
      <c r="F293" t="n">
        <v>97.3946</v>
      </c>
      <c r="G293" t="n">
        <v>32.8447</v>
      </c>
      <c r="H293" t="n">
        <v>13.5158</v>
      </c>
      <c r="I293" t="n">
        <v>-20.8357</v>
      </c>
    </row>
    <row r="294" ht="16" customHeight="1" s="133">
      <c r="A294" t="n">
        <v>293</v>
      </c>
      <c r="B294" t="n">
        <v>24.3333</v>
      </c>
      <c r="C294" t="n">
        <v>54.8756</v>
      </c>
      <c r="D294" t="n">
        <v>54.8977</v>
      </c>
      <c r="E294" t="n">
        <v>77.14239999999999</v>
      </c>
      <c r="F294" t="n">
        <v>98.3224</v>
      </c>
      <c r="G294" t="n">
        <v>32.9341</v>
      </c>
      <c r="H294" t="n">
        <v>13.2181</v>
      </c>
      <c r="I294" t="n">
        <v>-22.1726</v>
      </c>
    </row>
    <row r="295" ht="16" customHeight="1" s="133">
      <c r="A295" t="n">
        <v>294</v>
      </c>
      <c r="B295" t="n">
        <v>24.4167</v>
      </c>
      <c r="C295" t="n">
        <v>54.8413</v>
      </c>
      <c r="D295" t="n">
        <v>55.2318</v>
      </c>
      <c r="E295" t="n">
        <v>78.00879999999999</v>
      </c>
      <c r="F295" t="n">
        <v>97.3133</v>
      </c>
      <c r="G295" t="n">
        <v>32.7039</v>
      </c>
      <c r="H295" t="n">
        <v>12.7794</v>
      </c>
      <c r="I295" t="n">
        <v>-21.6537</v>
      </c>
    </row>
    <row r="296" ht="16" customHeight="1" s="133">
      <c r="A296" t="n">
        <v>295</v>
      </c>
      <c r="B296" t="n">
        <v>24.5</v>
      </c>
      <c r="C296" t="n">
        <v>54.807</v>
      </c>
      <c r="D296" t="n">
        <v>55.4008</v>
      </c>
      <c r="E296" t="n">
        <v>78.0132</v>
      </c>
      <c r="F296" t="n">
        <v>97.4803</v>
      </c>
      <c r="G296" t="n">
        <v>32.9875</v>
      </c>
      <c r="H296" t="n">
        <v>13.1392</v>
      </c>
      <c r="I296" t="n">
        <v>-22.9984</v>
      </c>
    </row>
    <row r="297" ht="16" customHeight="1" s="133">
      <c r="A297" t="n">
        <v>296</v>
      </c>
      <c r="B297" t="n">
        <v>24.5833</v>
      </c>
      <c r="C297" t="n">
        <v>54.7728</v>
      </c>
      <c r="D297" t="n">
        <v>55.4494</v>
      </c>
      <c r="E297" t="n">
        <v>78.25960000000001</v>
      </c>
      <c r="F297" t="n">
        <v>98.0406</v>
      </c>
      <c r="G297" t="n">
        <v>33.2731</v>
      </c>
      <c r="H297" t="n">
        <v>12.9975</v>
      </c>
      <c r="I297" t="n">
        <v>-22.0988</v>
      </c>
    </row>
    <row r="298" ht="16" customHeight="1" s="133">
      <c r="A298" t="n">
        <v>297</v>
      </c>
      <c r="B298" t="n">
        <v>24.6667</v>
      </c>
      <c r="C298" t="n">
        <v>54.7385</v>
      </c>
      <c r="D298" t="n">
        <v>55.0685</v>
      </c>
      <c r="E298" t="n">
        <v>77.5163</v>
      </c>
      <c r="F298" t="n">
        <v>97.7028</v>
      </c>
      <c r="G298" t="n">
        <v>32.5863</v>
      </c>
      <c r="H298" t="n">
        <v>12.8751</v>
      </c>
      <c r="I298" t="n">
        <v>-21.1657</v>
      </c>
    </row>
    <row r="299" ht="16" customHeight="1" s="133">
      <c r="A299" t="n">
        <v>298</v>
      </c>
      <c r="B299" t="n">
        <v>24.75</v>
      </c>
      <c r="C299" t="n">
        <v>54.7043</v>
      </c>
      <c r="D299" t="n">
        <v>55.1671</v>
      </c>
      <c r="E299" t="n">
        <v>77.7465</v>
      </c>
      <c r="F299" t="n">
        <v>97.2149</v>
      </c>
      <c r="G299" t="n">
        <v>32.4785</v>
      </c>
      <c r="H299" t="n">
        <v>12.0281</v>
      </c>
      <c r="I299" t="n">
        <v>-21.8473</v>
      </c>
    </row>
    <row r="300" ht="16" customHeight="1" s="133">
      <c r="A300" t="n">
        <v>299</v>
      </c>
      <c r="B300" t="n">
        <v>24.8333</v>
      </c>
      <c r="C300" t="n">
        <v>54.67</v>
      </c>
      <c r="D300" t="n">
        <v>55.2036</v>
      </c>
      <c r="E300" t="n">
        <v>77.5094</v>
      </c>
      <c r="F300" t="n">
        <v>97.2471</v>
      </c>
      <c r="G300" t="n">
        <v>32.4081</v>
      </c>
      <c r="H300" t="n">
        <v>12.6421</v>
      </c>
      <c r="I300" t="n">
        <v>-21.4033</v>
      </c>
    </row>
    <row r="301" ht="16" customHeight="1" s="133">
      <c r="A301" t="n">
        <v>300</v>
      </c>
      <c r="B301" t="n">
        <v>24.9167</v>
      </c>
      <c r="C301" t="n">
        <v>54.6357</v>
      </c>
      <c r="D301" t="n">
        <v>54.7877</v>
      </c>
      <c r="E301" t="n">
        <v>77.5664</v>
      </c>
      <c r="F301" t="n">
        <v>97.01649999999999</v>
      </c>
      <c r="G301" t="n">
        <v>32.5956</v>
      </c>
      <c r="H301" t="n">
        <v>12.547</v>
      </c>
      <c r="I301" t="n">
        <v>-22.496</v>
      </c>
    </row>
  </sheetData>
  <pageMargins left="0.7" right="0.7" top="0.75" bottom="0.75" header="0.3" footer="0.3"/>
  <drawing xmlns:r="http://schemas.openxmlformats.org/officeDocument/2006/relationships" r:id="rId1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KP53"/>
  <sheetViews>
    <sheetView workbookViewId="0">
      <pane xSplit="2" ySplit="4" topLeftCell="C5" activePane="bottomRight" state="frozen"/>
      <selection pane="topRight" activeCell="A1" sqref="A1"/>
      <selection pane="bottomLeft" activeCell="A1" sqref="A1"/>
      <selection pane="bottomRight" activeCell="A1" sqref="A1"/>
      <selection pane="bottomLeft" activeCell="A1" sqref="A1"/>
      <selection pane="bottomRight" activeCell="A1" sqref="A1"/>
      <selection pane="bottomLeft" activeCell="A1" sqref="A1"/>
      <selection pane="bottomRight" activeCell="A1" sqref="A1"/>
      <selection pane="bottomLeft" activeCell="A1" sqref="A1"/>
      <selection pane="bottomRight" activeCell="A1" sqref="A1"/>
      <selection pane="bottomLeft" activeCell="A1" sqref="A1"/>
      <selection pane="bottomRight" activeCell="A1" sqref="A1"/>
      <selection pane="bottomLeft" activeCell="A1" sqref="A1"/>
      <selection pane="bottomRight" activeCell="A1" sqref="A1"/>
      <selection pane="bottomLeft" activeCell="A1" sqref="A1"/>
      <selection pane="bottomRight" activeCell="A1" sqref="A1"/>
      <selection pane="bottomLeft" activeCell="A1" sqref="A1"/>
      <selection pane="bottomRight" activeCell="A1" sqref="A1"/>
      <selection pane="bottomLeft" activeCell="A1" sqref="A1"/>
      <selection pane="bottomRight" activeCell="A1" sqref="A1"/>
      <selection pane="bottomLeft" activeCell="A1" sqref="A1"/>
      <selection pane="bottomRight" activeCell="A1" sqref="A1"/>
      <selection pane="bottomLeft" activeCell="A1" sqref="A1"/>
      <selection pane="bottomRight" activeCell="A1" sqref="A1"/>
      <selection pane="bottomLeft" activeCell="A1" sqref="A1"/>
      <selection pane="bottomRight" activeCell="A1" sqref="A1"/>
      <selection pane="bottomLeft" activeCell="A1" sqref="A1"/>
      <selection pane="bottomRight" activeCell="A1" sqref="A1"/>
      <selection pane="bottomLeft" activeCell="A1" sqref="A1"/>
      <selection pane="bottomRight" activeCell="A1" sqref="A1"/>
      <selection pane="bottomLeft" activeCell="A1" sqref="A1"/>
      <selection pane="bottomRight" activeCell="A1" sqref="A1"/>
      <selection pane="bottomLeft" activeCell="A1" sqref="A1"/>
      <selection pane="bottomRight" activeCell="A1" sqref="A1"/>
      <selection pane="bottomLeft" activeCell="A1" sqref="A1"/>
      <selection pane="bottomRight" activeCell="A1" sqref="A1"/>
      <selection pane="bottomLeft" activeCell="A1" sqref="A1"/>
      <selection pane="bottomRight" activeCell="A1" sqref="A1"/>
      <selection pane="bottomLeft" activeCell="A1" sqref="A1"/>
      <selection pane="bottomRight" activeCell="A1" sqref="A1"/>
      <selection pane="bottomLeft" activeCell="A1" sqref="A1"/>
      <selection pane="bottomRight" activeCell="A1" sqref="A1"/>
      <selection pane="bottomLeft" activeCell="A1" sqref="A1"/>
      <selection pane="bottomRight" activeCell="D40" sqref="D40"/>
    </sheetView>
  </sheetViews>
  <sheetFormatPr baseColWidth="10" defaultRowHeight="16"/>
  <cols>
    <col width="25" customWidth="1" style="133" min="1" max="1"/>
    <col width="10" customWidth="1" style="133" min="2" max="2"/>
    <col width="7" customWidth="1" style="133" min="3" max="302"/>
    <col width="7" customWidth="1" style="133" min="4" max="4"/>
    <col width="7" customWidth="1" style="133" min="5" max="5"/>
    <col width="7" customWidth="1" style="133" min="6" max="6"/>
    <col width="7" customWidth="1" style="133" min="7" max="7"/>
    <col width="7" customWidth="1" style="133" min="8" max="8"/>
    <col width="7" customWidth="1" style="133" min="9" max="9"/>
    <col width="7" customWidth="1" style="133" min="10" max="10"/>
    <col width="7" customWidth="1" style="133" min="11" max="11"/>
    <col width="7" customWidth="1" style="133" min="12" max="12"/>
    <col width="7" customWidth="1" style="133" min="13" max="13"/>
    <col width="7" customWidth="1" style="133" min="14" max="14"/>
    <col width="7" customWidth="1" style="133" min="15" max="15"/>
    <col width="7" customWidth="1" style="133" min="16" max="16"/>
    <col width="7" customWidth="1" style="133" min="17" max="17"/>
    <col width="7" customWidth="1" style="133" min="18" max="18"/>
    <col width="7" customWidth="1" style="133" min="19" max="19"/>
    <col width="7" customWidth="1" style="133" min="20" max="20"/>
    <col width="7" customWidth="1" style="133" min="21" max="21"/>
    <col width="7" customWidth="1" style="133" min="22" max="22"/>
    <col width="7" customWidth="1" style="133" min="23" max="23"/>
    <col width="7" customWidth="1" style="133" min="24" max="24"/>
    <col width="7" customWidth="1" style="133" min="25" max="25"/>
    <col width="7" customWidth="1" style="133" min="26" max="26"/>
    <col width="7" customWidth="1" style="133" min="27" max="27"/>
    <col width="7" customWidth="1" style="133" min="28" max="28"/>
    <col width="7" customWidth="1" style="133" min="29" max="29"/>
    <col width="7" customWidth="1" style="133" min="30" max="30"/>
    <col width="7" customWidth="1" style="133" min="31" max="31"/>
    <col width="7" customWidth="1" style="133" min="32" max="32"/>
    <col width="7" customWidth="1" style="133" min="33" max="33"/>
    <col width="7" customWidth="1" style="133" min="34" max="34"/>
    <col width="7" customWidth="1" style="133" min="35" max="35"/>
    <col width="7" customWidth="1" style="133" min="36" max="36"/>
    <col width="7" customWidth="1" style="133" min="37" max="37"/>
    <col width="7" customWidth="1" style="133" min="38" max="38"/>
    <col width="7" customWidth="1" style="133" min="39" max="39"/>
    <col width="7" customWidth="1" style="133" min="40" max="40"/>
    <col width="7" customWidth="1" style="133" min="41" max="41"/>
    <col width="7" customWidth="1" style="133" min="42" max="42"/>
    <col width="7" customWidth="1" style="133" min="43" max="43"/>
    <col width="7" customWidth="1" style="133" min="44" max="44"/>
    <col width="7" customWidth="1" style="133" min="45" max="45"/>
    <col width="7" customWidth="1" style="133" min="46" max="46"/>
    <col width="7" customWidth="1" style="133" min="47" max="47"/>
    <col width="7" customWidth="1" style="133" min="48" max="48"/>
    <col width="7" customWidth="1" style="133" min="49" max="49"/>
    <col width="7" customWidth="1" style="133" min="50" max="50"/>
    <col width="7" customWidth="1" style="133" min="51" max="51"/>
    <col width="7" customWidth="1" style="133" min="52" max="52"/>
    <col width="7" customWidth="1" style="133" min="53" max="53"/>
    <col width="7" customWidth="1" style="133" min="54" max="54"/>
    <col width="7" customWidth="1" style="133" min="55" max="55"/>
    <col width="7" customWidth="1" style="133" min="56" max="56"/>
    <col width="7" customWidth="1" style="133" min="57" max="57"/>
    <col width="7" customWidth="1" style="133" min="58" max="58"/>
    <col width="7" customWidth="1" style="133" min="59" max="59"/>
    <col width="7" customWidth="1" style="133" min="60" max="60"/>
    <col width="7" customWidth="1" style="133" min="61" max="61"/>
    <col width="7" customWidth="1" style="133" min="62" max="62"/>
    <col width="7" customWidth="1" style="133" min="63" max="63"/>
    <col width="7" customWidth="1" style="133" min="64" max="64"/>
    <col width="7" customWidth="1" style="133" min="65" max="65"/>
    <col width="7" customWidth="1" style="133" min="66" max="66"/>
    <col width="7" customWidth="1" style="133" min="67" max="67"/>
    <col width="7" customWidth="1" style="133" min="68" max="68"/>
    <col width="7" customWidth="1" style="133" min="69" max="69"/>
    <col width="7" customWidth="1" style="133" min="70" max="70"/>
    <col width="7" customWidth="1" style="133" min="71" max="71"/>
    <col width="7" customWidth="1" style="133" min="72" max="72"/>
    <col width="7" customWidth="1" style="133" min="73" max="73"/>
    <col width="7" customWidth="1" style="133" min="74" max="74"/>
    <col width="7" customWidth="1" style="133" min="75" max="75"/>
    <col width="7" customWidth="1" style="133" min="76" max="76"/>
    <col width="7" customWidth="1" style="133" min="77" max="77"/>
    <col width="7" customWidth="1" style="133" min="78" max="78"/>
    <col width="7" customWidth="1" style="133" min="79" max="79"/>
    <col width="7" customWidth="1" style="133" min="80" max="80"/>
    <col width="7" customWidth="1" style="133" min="81" max="81"/>
    <col width="7" customWidth="1" style="133" min="82" max="82"/>
    <col width="7" customWidth="1" style="133" min="83" max="83"/>
    <col width="7" customWidth="1" style="133" min="84" max="84"/>
    <col width="7" customWidth="1" style="133" min="85" max="85"/>
    <col width="7" customWidth="1" style="133" min="86" max="86"/>
    <col width="7" customWidth="1" style="133" min="87" max="87"/>
    <col width="7" customWidth="1" style="133" min="88" max="88"/>
    <col width="7" customWidth="1" style="133" min="89" max="89"/>
    <col width="7" customWidth="1" style="133" min="90" max="90"/>
    <col width="7" customWidth="1" style="133" min="91" max="91"/>
    <col width="7" customWidth="1" style="133" min="92" max="92"/>
    <col width="7" customWidth="1" style="133" min="93" max="93"/>
    <col width="7" customWidth="1" style="133" min="94" max="94"/>
    <col width="7" customWidth="1" style="133" min="95" max="95"/>
    <col width="7" customWidth="1" style="133" min="96" max="96"/>
    <col width="7" customWidth="1" style="133" min="97" max="97"/>
    <col width="7" customWidth="1" style="133" min="98" max="98"/>
    <col width="7" customWidth="1" style="133" min="99" max="99"/>
    <col width="7" customWidth="1" style="133" min="100" max="100"/>
    <col width="7" customWidth="1" style="133" min="101" max="101"/>
    <col width="7" customWidth="1" style="133" min="102" max="102"/>
    <col width="7" customWidth="1" style="133" min="103" max="103"/>
    <col width="7" customWidth="1" style="133" min="104" max="104"/>
    <col width="7" customWidth="1" style="133" min="105" max="105"/>
    <col width="7" customWidth="1" style="133" min="106" max="106"/>
    <col width="7" customWidth="1" style="133" min="107" max="107"/>
    <col width="7" customWidth="1" style="133" min="108" max="108"/>
    <col width="7" customWidth="1" style="133" min="109" max="109"/>
    <col width="7" customWidth="1" style="133" min="110" max="110"/>
    <col width="7" customWidth="1" style="133" min="111" max="111"/>
    <col width="7" customWidth="1" style="133" min="112" max="112"/>
    <col width="7" customWidth="1" style="133" min="113" max="113"/>
    <col width="7" customWidth="1" style="133" min="114" max="114"/>
    <col width="7" customWidth="1" style="133" min="115" max="115"/>
    <col width="7" customWidth="1" style="133" min="116" max="116"/>
    <col width="7" customWidth="1" style="133" min="117" max="117"/>
    <col width="7" customWidth="1" style="133" min="118" max="118"/>
    <col width="7" customWidth="1" style="133" min="119" max="119"/>
    <col width="7" customWidth="1" style="133" min="120" max="120"/>
    <col width="7" customWidth="1" style="133" min="121" max="121"/>
    <col width="7" customWidth="1" style="133" min="122" max="122"/>
    <col width="7" customWidth="1" style="133" min="123" max="123"/>
    <col width="7" customWidth="1" style="133" min="124" max="124"/>
    <col width="7" customWidth="1" style="133" min="125" max="125"/>
    <col width="7" customWidth="1" style="133" min="126" max="126"/>
    <col width="7" customWidth="1" style="133" min="127" max="127"/>
    <col width="7" customWidth="1" style="133" min="128" max="128"/>
    <col width="7" customWidth="1" style="133" min="129" max="129"/>
    <col width="7" customWidth="1" style="133" min="130" max="130"/>
    <col width="7" customWidth="1" style="133" min="131" max="131"/>
    <col width="7" customWidth="1" style="133" min="132" max="132"/>
    <col width="7" customWidth="1" style="133" min="133" max="133"/>
    <col width="7" customWidth="1" style="133" min="134" max="134"/>
    <col width="7" customWidth="1" style="133" min="135" max="135"/>
    <col width="7" customWidth="1" style="133" min="136" max="136"/>
    <col width="7" customWidth="1" style="133" min="137" max="137"/>
    <col width="7" customWidth="1" style="133" min="138" max="138"/>
    <col width="7" customWidth="1" style="133" min="139" max="139"/>
    <col width="7" customWidth="1" style="133" min="140" max="140"/>
    <col width="7" customWidth="1" style="133" min="141" max="141"/>
    <col width="7" customWidth="1" style="133" min="142" max="142"/>
    <col width="7" customWidth="1" style="133" min="143" max="143"/>
    <col width="7" customWidth="1" style="133" min="144" max="144"/>
    <col width="7" customWidth="1" style="133" min="145" max="145"/>
    <col width="7" customWidth="1" style="133" min="146" max="146"/>
    <col width="7" customWidth="1" style="133" min="147" max="147"/>
    <col width="7" customWidth="1" style="133" min="148" max="148"/>
    <col width="7" customWidth="1" style="133" min="149" max="149"/>
    <col width="7" customWidth="1" style="133" min="150" max="150"/>
    <col width="7" customWidth="1" style="133" min="151" max="151"/>
    <col width="7" customWidth="1" style="133" min="152" max="152"/>
    <col width="7" customWidth="1" style="133" min="153" max="153"/>
    <col width="7" customWidth="1" style="133" min="154" max="154"/>
    <col width="7" customWidth="1" style="133" min="155" max="155"/>
    <col width="7" customWidth="1" style="133" min="156" max="156"/>
    <col width="7" customWidth="1" style="133" min="157" max="157"/>
    <col width="7" customWidth="1" style="133" min="158" max="158"/>
    <col width="7" customWidth="1" style="133" min="159" max="159"/>
    <col width="7" customWidth="1" style="133" min="160" max="160"/>
    <col width="7" customWidth="1" style="133" min="161" max="161"/>
    <col width="7" customWidth="1" style="133" min="162" max="162"/>
    <col width="7" customWidth="1" style="133" min="163" max="163"/>
    <col width="7" customWidth="1" style="133" min="164" max="164"/>
    <col width="7" customWidth="1" style="133" min="165" max="165"/>
    <col width="7" customWidth="1" style="133" min="166" max="166"/>
    <col width="7" customWidth="1" style="133" min="167" max="167"/>
    <col width="7" customWidth="1" style="133" min="168" max="168"/>
    <col width="7" customWidth="1" style="133" min="169" max="169"/>
    <col width="7" customWidth="1" style="133" min="170" max="170"/>
    <col width="7" customWidth="1" style="133" min="171" max="171"/>
    <col width="7" customWidth="1" style="133" min="172" max="172"/>
    <col width="7" customWidth="1" style="133" min="173" max="173"/>
    <col width="7" customWidth="1" style="133" min="174" max="174"/>
    <col width="7" customWidth="1" style="133" min="175" max="175"/>
    <col width="7" customWidth="1" style="133" min="176" max="176"/>
    <col width="7" customWidth="1" style="133" min="177" max="177"/>
    <col width="7" customWidth="1" style="133" min="178" max="178"/>
    <col width="7" customWidth="1" style="133" min="179" max="179"/>
    <col width="7" customWidth="1" style="133" min="180" max="180"/>
    <col width="7" customWidth="1" style="133" min="181" max="181"/>
    <col width="7" customWidth="1" style="133" min="182" max="182"/>
    <col width="7" customWidth="1" style="133" min="183" max="183"/>
    <col width="7" customWidth="1" style="133" min="184" max="184"/>
    <col width="7" customWidth="1" style="133" min="185" max="185"/>
    <col width="7" customWidth="1" style="133" min="186" max="186"/>
    <col width="7" customWidth="1" style="133" min="187" max="187"/>
    <col width="7" customWidth="1" style="133" min="188" max="188"/>
    <col width="7" customWidth="1" style="133" min="189" max="189"/>
    <col width="7" customWidth="1" style="133" min="190" max="190"/>
    <col width="7" customWidth="1" style="133" min="191" max="191"/>
    <col width="7" customWidth="1" style="133" min="192" max="192"/>
    <col width="7" customWidth="1" style="133" min="193" max="193"/>
    <col width="7" customWidth="1" style="133" min="194" max="194"/>
    <col width="7" customWidth="1" style="133" min="195" max="195"/>
    <col width="7" customWidth="1" style="133" min="196" max="196"/>
    <col width="7" customWidth="1" style="133" min="197" max="197"/>
    <col width="7" customWidth="1" style="133" min="198" max="198"/>
    <col width="7" customWidth="1" style="133" min="199" max="199"/>
    <col width="7" customWidth="1" style="133" min="200" max="200"/>
    <col width="7" customWidth="1" style="133" min="201" max="201"/>
    <col width="7" customWidth="1" style="133" min="202" max="202"/>
    <col width="7" customWidth="1" style="133" min="203" max="203"/>
    <col width="7" customWidth="1" style="133" min="204" max="204"/>
    <col width="7" customWidth="1" style="133" min="205" max="205"/>
    <col width="7" customWidth="1" style="133" min="206" max="206"/>
    <col width="7" customWidth="1" style="133" min="207" max="207"/>
    <col width="7" customWidth="1" style="133" min="208" max="208"/>
    <col width="7" customWidth="1" style="133" min="209" max="209"/>
    <col width="7" customWidth="1" style="133" min="210" max="210"/>
    <col width="7" customWidth="1" style="133" min="211" max="211"/>
    <col width="7" customWidth="1" style="133" min="212" max="212"/>
    <col width="7" customWidth="1" style="133" min="213" max="213"/>
    <col width="7" customWidth="1" style="133" min="214" max="214"/>
    <col width="7" customWidth="1" style="133" min="215" max="215"/>
    <col width="7" customWidth="1" style="133" min="216" max="216"/>
    <col width="7" customWidth="1" style="133" min="217" max="217"/>
    <col width="7" customWidth="1" style="133" min="218" max="218"/>
    <col width="7" customWidth="1" style="133" min="219" max="219"/>
    <col width="7" customWidth="1" style="133" min="220" max="220"/>
    <col width="7" customWidth="1" style="133" min="221" max="221"/>
    <col width="7" customWidth="1" style="133" min="222" max="222"/>
    <col width="7" customWidth="1" style="133" min="223" max="223"/>
    <col width="7" customWidth="1" style="133" min="224" max="224"/>
    <col width="7" customWidth="1" style="133" min="225" max="225"/>
    <col width="7" customWidth="1" style="133" min="226" max="226"/>
    <col width="7" customWidth="1" style="133" min="227" max="227"/>
    <col width="7" customWidth="1" style="133" min="228" max="228"/>
    <col width="7" customWidth="1" style="133" min="229" max="229"/>
    <col width="7" customWidth="1" style="133" min="230" max="230"/>
    <col width="7" customWidth="1" style="133" min="231" max="231"/>
    <col width="7" customWidth="1" style="133" min="232" max="232"/>
    <col width="7" customWidth="1" style="133" min="233" max="233"/>
    <col width="7" customWidth="1" style="133" min="234" max="234"/>
    <col width="7" customWidth="1" style="133" min="235" max="235"/>
    <col width="7" customWidth="1" style="133" min="236" max="236"/>
    <col width="7" customWidth="1" style="133" min="237" max="237"/>
    <col width="7" customWidth="1" style="133" min="238" max="238"/>
    <col width="7" customWidth="1" style="133" min="239" max="239"/>
    <col width="7" customWidth="1" style="133" min="240" max="240"/>
    <col width="7" customWidth="1" style="133" min="241" max="241"/>
    <col width="7" customWidth="1" style="133" min="242" max="242"/>
    <col width="7" customWidth="1" style="133" min="243" max="243"/>
    <col width="7" customWidth="1" style="133" min="244" max="244"/>
    <col width="7" customWidth="1" style="133" min="245" max="245"/>
    <col width="7" customWidth="1" style="133" min="246" max="246"/>
    <col width="7" customWidth="1" style="133" min="247" max="247"/>
    <col width="7" customWidth="1" style="133" min="248" max="248"/>
    <col width="7" customWidth="1" style="133" min="249" max="249"/>
    <col width="7" customWidth="1" style="133" min="250" max="250"/>
    <col width="7" customWidth="1" style="133" min="251" max="251"/>
    <col width="7" customWidth="1" style="133" min="252" max="252"/>
    <col width="7" customWidth="1" style="133" min="253" max="253"/>
    <col width="7" customWidth="1" style="133" min="254" max="254"/>
    <col width="7" customWidth="1" style="133" min="255" max="255"/>
    <col width="7" customWidth="1" style="133" min="256" max="256"/>
    <col width="7" customWidth="1" style="133" min="257" max="257"/>
    <col width="7" customWidth="1" style="133" min="258" max="258"/>
    <col width="7" customWidth="1" style="133" min="259" max="259"/>
    <col width="7" customWidth="1" style="133" min="260" max="260"/>
    <col width="7" customWidth="1" style="133" min="261" max="261"/>
    <col width="7" customWidth="1" style="133" min="262" max="262"/>
    <col width="7" customWidth="1" style="133" min="263" max="263"/>
    <col width="7" customWidth="1" style="133" min="264" max="264"/>
    <col width="7" customWidth="1" style="133" min="265" max="265"/>
    <col width="7" customWidth="1" style="133" min="266" max="266"/>
    <col width="7" customWidth="1" style="133" min="267" max="267"/>
    <col width="7" customWidth="1" style="133" min="268" max="268"/>
    <col width="7" customWidth="1" style="133" min="269" max="269"/>
    <col width="7" customWidth="1" style="133" min="270" max="270"/>
    <col width="7" customWidth="1" style="133" min="271" max="271"/>
    <col width="7" customWidth="1" style="133" min="272" max="272"/>
    <col width="7" customWidth="1" style="133" min="273" max="273"/>
    <col width="7" customWidth="1" style="133" min="274" max="274"/>
    <col width="7" customWidth="1" style="133" min="275" max="275"/>
    <col width="7" customWidth="1" style="133" min="276" max="276"/>
    <col width="7" customWidth="1" style="133" min="277" max="277"/>
    <col width="7" customWidth="1" style="133" min="278" max="278"/>
    <col width="7" customWidth="1" style="133" min="279" max="279"/>
    <col width="7" customWidth="1" style="133" min="280" max="280"/>
    <col width="7" customWidth="1" style="133" min="281" max="281"/>
    <col width="7" customWidth="1" style="133" min="282" max="282"/>
    <col width="7" customWidth="1" style="133" min="283" max="283"/>
    <col width="7" customWidth="1" style="133" min="284" max="284"/>
    <col width="7" customWidth="1" style="133" min="285" max="285"/>
    <col width="7" customWidth="1" style="133" min="286" max="286"/>
    <col width="7" customWidth="1" style="133" min="287" max="287"/>
    <col width="7" customWidth="1" style="133" min="288" max="288"/>
    <col width="7" customWidth="1" style="133" min="289" max="289"/>
    <col width="7" customWidth="1" style="133" min="290" max="290"/>
    <col width="7" customWidth="1" style="133" min="291" max="291"/>
    <col width="7" customWidth="1" style="133" min="292" max="292"/>
    <col width="7" customWidth="1" style="133" min="293" max="293"/>
    <col width="7" customWidth="1" style="133" min="294" max="294"/>
    <col width="7" customWidth="1" style="133" min="295" max="295"/>
    <col width="7" customWidth="1" style="133" min="296" max="296"/>
    <col width="7" customWidth="1" style="133" min="297" max="297"/>
    <col width="7" customWidth="1" style="133" min="298" max="298"/>
    <col width="7" customWidth="1" style="133" min="299" max="299"/>
    <col width="7" customWidth="1" style="133" min="300" max="300"/>
    <col width="7" customWidth="1" style="133" min="301" max="301"/>
    <col width="7" customWidth="1" style="133" min="302" max="302"/>
  </cols>
  <sheetData>
    <row r="1" ht="22" customHeight="1" s="133">
      <c r="A1" s="141" t="inlineStr">
        <is>
          <t>FCFF Model — Monthly Cash Flow Waterfall | 50MW Danish Solar PV | DK1 Primary</t>
        </is>
      </c>
    </row>
    <row r="2" ht="16" customHeight="1" s="133">
      <c r="A2" s="168" t="inlineStr">
        <is>
          <t>All formulas linked to Assumptions (E15/E16/E23/E31/E35/E36/E40/E47) and WACC (E34/E35) sheets. Merchant prices from Simulation sheet cols E/I/J rows 7-306. PPA months 1-120 | Merchant months 121-300.</t>
        </is>
      </c>
    </row>
    <row r="3" ht="12" customHeight="1" s="133">
      <c r="C3" s="169" t="inlineStr">
        <is>
          <t>PPA</t>
        </is>
      </c>
      <c r="D3" s="169" t="inlineStr">
        <is>
          <t>PPA</t>
        </is>
      </c>
      <c r="E3" s="169" t="inlineStr">
        <is>
          <t>PPA</t>
        </is>
      </c>
      <c r="F3" s="169" t="inlineStr">
        <is>
          <t>PPA</t>
        </is>
      </c>
      <c r="G3" s="169" t="inlineStr">
        <is>
          <t>PPA</t>
        </is>
      </c>
      <c r="H3" s="169" t="inlineStr">
        <is>
          <t>PPA</t>
        </is>
      </c>
      <c r="I3" s="169" t="inlineStr">
        <is>
          <t>PPA</t>
        </is>
      </c>
      <c r="J3" s="169" t="inlineStr">
        <is>
          <t>PPA</t>
        </is>
      </c>
      <c r="K3" s="169" t="inlineStr">
        <is>
          <t>PPA</t>
        </is>
      </c>
      <c r="L3" s="169" t="inlineStr">
        <is>
          <t>PPA</t>
        </is>
      </c>
      <c r="M3" s="169" t="inlineStr">
        <is>
          <t>PPA</t>
        </is>
      </c>
      <c r="N3" s="169" t="inlineStr">
        <is>
          <t>PPA</t>
        </is>
      </c>
      <c r="O3" s="169" t="inlineStr">
        <is>
          <t>PPA</t>
        </is>
      </c>
      <c r="P3" s="169" t="inlineStr">
        <is>
          <t>PPA</t>
        </is>
      </c>
      <c r="Q3" s="169" t="inlineStr">
        <is>
          <t>PPA</t>
        </is>
      </c>
      <c r="R3" s="169" t="inlineStr">
        <is>
          <t>PPA</t>
        </is>
      </c>
      <c r="S3" s="169" t="inlineStr">
        <is>
          <t>PPA</t>
        </is>
      </c>
      <c r="T3" s="169" t="inlineStr">
        <is>
          <t>PPA</t>
        </is>
      </c>
      <c r="U3" s="169" t="inlineStr">
        <is>
          <t>PPA</t>
        </is>
      </c>
      <c r="V3" s="169" t="inlineStr">
        <is>
          <t>PPA</t>
        </is>
      </c>
      <c r="W3" s="169" t="inlineStr">
        <is>
          <t>PPA</t>
        </is>
      </c>
      <c r="X3" s="169" t="inlineStr">
        <is>
          <t>PPA</t>
        </is>
      </c>
      <c r="Y3" s="169" t="inlineStr">
        <is>
          <t>PPA</t>
        </is>
      </c>
      <c r="Z3" s="169" t="inlineStr">
        <is>
          <t>PPA</t>
        </is>
      </c>
      <c r="AA3" s="169" t="inlineStr">
        <is>
          <t>PPA</t>
        </is>
      </c>
      <c r="AB3" s="169" t="inlineStr">
        <is>
          <t>PPA</t>
        </is>
      </c>
      <c r="AC3" s="169" t="inlineStr">
        <is>
          <t>PPA</t>
        </is>
      </c>
      <c r="AD3" s="169" t="inlineStr">
        <is>
          <t>PPA</t>
        </is>
      </c>
      <c r="AE3" s="169" t="inlineStr">
        <is>
          <t>PPA</t>
        </is>
      </c>
      <c r="AF3" s="169" t="inlineStr">
        <is>
          <t>PPA</t>
        </is>
      </c>
      <c r="AG3" s="169" t="inlineStr">
        <is>
          <t>PPA</t>
        </is>
      </c>
      <c r="AH3" s="169" t="inlineStr">
        <is>
          <t>PPA</t>
        </is>
      </c>
      <c r="AI3" s="169" t="inlineStr">
        <is>
          <t>PPA</t>
        </is>
      </c>
      <c r="AJ3" s="169" t="inlineStr">
        <is>
          <t>PPA</t>
        </is>
      </c>
      <c r="AK3" s="169" t="inlineStr">
        <is>
          <t>PPA</t>
        </is>
      </c>
      <c r="AL3" s="169" t="inlineStr">
        <is>
          <t>PPA</t>
        </is>
      </c>
      <c r="AM3" s="169" t="inlineStr">
        <is>
          <t>PPA</t>
        </is>
      </c>
      <c r="AN3" s="169" t="inlineStr">
        <is>
          <t>PPA</t>
        </is>
      </c>
      <c r="AO3" s="169" t="inlineStr">
        <is>
          <t>PPA</t>
        </is>
      </c>
      <c r="AP3" s="169" t="inlineStr">
        <is>
          <t>PPA</t>
        </is>
      </c>
      <c r="AQ3" s="169" t="inlineStr">
        <is>
          <t>PPA</t>
        </is>
      </c>
      <c r="AR3" s="169" t="inlineStr">
        <is>
          <t>PPA</t>
        </is>
      </c>
      <c r="AS3" s="169" t="inlineStr">
        <is>
          <t>PPA</t>
        </is>
      </c>
      <c r="AT3" s="169" t="inlineStr">
        <is>
          <t>PPA</t>
        </is>
      </c>
      <c r="AU3" s="169" t="inlineStr">
        <is>
          <t>PPA</t>
        </is>
      </c>
      <c r="AV3" s="169" t="inlineStr">
        <is>
          <t>PPA</t>
        </is>
      </c>
      <c r="AW3" s="169" t="inlineStr">
        <is>
          <t>PPA</t>
        </is>
      </c>
      <c r="AX3" s="169" t="inlineStr">
        <is>
          <t>PPA</t>
        </is>
      </c>
      <c r="AY3" s="169" t="inlineStr">
        <is>
          <t>PPA</t>
        </is>
      </c>
      <c r="AZ3" s="169" t="inlineStr">
        <is>
          <t>PPA</t>
        </is>
      </c>
      <c r="BA3" s="169" t="inlineStr">
        <is>
          <t>PPA</t>
        </is>
      </c>
      <c r="BB3" s="169" t="inlineStr">
        <is>
          <t>PPA</t>
        </is>
      </c>
      <c r="BC3" s="169" t="inlineStr">
        <is>
          <t>PPA</t>
        </is>
      </c>
      <c r="BD3" s="169" t="inlineStr">
        <is>
          <t>PPA</t>
        </is>
      </c>
      <c r="BE3" s="169" t="inlineStr">
        <is>
          <t>PPA</t>
        </is>
      </c>
      <c r="BF3" s="169" t="inlineStr">
        <is>
          <t>PPA</t>
        </is>
      </c>
      <c r="BG3" s="169" t="inlineStr">
        <is>
          <t>PPA</t>
        </is>
      </c>
      <c r="BH3" s="169" t="inlineStr">
        <is>
          <t>PPA</t>
        </is>
      </c>
      <c r="BI3" s="169" t="inlineStr">
        <is>
          <t>PPA</t>
        </is>
      </c>
      <c r="BJ3" s="169" t="inlineStr">
        <is>
          <t>PPA</t>
        </is>
      </c>
      <c r="BK3" s="169" t="inlineStr">
        <is>
          <t>PPA</t>
        </is>
      </c>
      <c r="BL3" s="169" t="inlineStr">
        <is>
          <t>PPA</t>
        </is>
      </c>
      <c r="BM3" s="169" t="inlineStr">
        <is>
          <t>PPA</t>
        </is>
      </c>
      <c r="BN3" s="169" t="inlineStr">
        <is>
          <t>PPA</t>
        </is>
      </c>
      <c r="BO3" s="169" t="inlineStr">
        <is>
          <t>PPA</t>
        </is>
      </c>
      <c r="BP3" s="169" t="inlineStr">
        <is>
          <t>PPA</t>
        </is>
      </c>
      <c r="BQ3" s="169" t="inlineStr">
        <is>
          <t>PPA</t>
        </is>
      </c>
      <c r="BR3" s="169" t="inlineStr">
        <is>
          <t>PPA</t>
        </is>
      </c>
      <c r="BS3" s="169" t="inlineStr">
        <is>
          <t>PPA</t>
        </is>
      </c>
      <c r="BT3" s="169" t="inlineStr">
        <is>
          <t>PPA</t>
        </is>
      </c>
      <c r="BU3" s="169" t="inlineStr">
        <is>
          <t>PPA</t>
        </is>
      </c>
      <c r="BV3" s="169" t="inlineStr">
        <is>
          <t>PPA</t>
        </is>
      </c>
      <c r="BW3" s="169" t="inlineStr">
        <is>
          <t>PPA</t>
        </is>
      </c>
      <c r="BX3" s="169" t="inlineStr">
        <is>
          <t>PPA</t>
        </is>
      </c>
      <c r="BY3" s="169" t="inlineStr">
        <is>
          <t>PPA</t>
        </is>
      </c>
      <c r="BZ3" s="169" t="inlineStr">
        <is>
          <t>PPA</t>
        </is>
      </c>
      <c r="CA3" s="169" t="inlineStr">
        <is>
          <t>PPA</t>
        </is>
      </c>
      <c r="CB3" s="169" t="inlineStr">
        <is>
          <t>PPA</t>
        </is>
      </c>
      <c r="CC3" s="169" t="inlineStr">
        <is>
          <t>PPA</t>
        </is>
      </c>
      <c r="CD3" s="169" t="inlineStr">
        <is>
          <t>PPA</t>
        </is>
      </c>
      <c r="CE3" s="169" t="inlineStr">
        <is>
          <t>PPA</t>
        </is>
      </c>
      <c r="CF3" s="169" t="inlineStr">
        <is>
          <t>PPA</t>
        </is>
      </c>
      <c r="CG3" s="169" t="inlineStr">
        <is>
          <t>PPA</t>
        </is>
      </c>
      <c r="CH3" s="169" t="inlineStr">
        <is>
          <t>PPA</t>
        </is>
      </c>
      <c r="CI3" s="169" t="inlineStr">
        <is>
          <t>PPA</t>
        </is>
      </c>
      <c r="CJ3" s="169" t="inlineStr">
        <is>
          <t>PPA</t>
        </is>
      </c>
      <c r="CK3" s="169" t="inlineStr">
        <is>
          <t>PPA</t>
        </is>
      </c>
      <c r="CL3" s="169" t="inlineStr">
        <is>
          <t>PPA</t>
        </is>
      </c>
      <c r="CM3" s="169" t="inlineStr">
        <is>
          <t>PPA</t>
        </is>
      </c>
      <c r="CN3" s="169" t="inlineStr">
        <is>
          <t>PPA</t>
        </is>
      </c>
      <c r="CO3" s="169" t="inlineStr">
        <is>
          <t>PPA</t>
        </is>
      </c>
      <c r="CP3" s="169" t="inlineStr">
        <is>
          <t>PPA</t>
        </is>
      </c>
      <c r="CQ3" s="169" t="inlineStr">
        <is>
          <t>PPA</t>
        </is>
      </c>
      <c r="CR3" s="169" t="inlineStr">
        <is>
          <t>PPA</t>
        </is>
      </c>
      <c r="CS3" s="169" t="inlineStr">
        <is>
          <t>PPA</t>
        </is>
      </c>
      <c r="CT3" s="169" t="inlineStr">
        <is>
          <t>PPA</t>
        </is>
      </c>
      <c r="CU3" s="169" t="inlineStr">
        <is>
          <t>PPA</t>
        </is>
      </c>
      <c r="CV3" s="169" t="inlineStr">
        <is>
          <t>PPA</t>
        </is>
      </c>
      <c r="CW3" s="169" t="inlineStr">
        <is>
          <t>PPA</t>
        </is>
      </c>
      <c r="CX3" s="169" t="inlineStr">
        <is>
          <t>PPA</t>
        </is>
      </c>
      <c r="CY3" s="169" t="inlineStr">
        <is>
          <t>PPA</t>
        </is>
      </c>
      <c r="CZ3" s="169" t="inlineStr">
        <is>
          <t>PPA</t>
        </is>
      </c>
      <c r="DA3" s="169" t="inlineStr">
        <is>
          <t>PPA</t>
        </is>
      </c>
      <c r="DB3" s="169" t="inlineStr">
        <is>
          <t>PPA</t>
        </is>
      </c>
      <c r="DC3" s="169" t="inlineStr">
        <is>
          <t>PPA</t>
        </is>
      </c>
      <c r="DD3" s="169" t="inlineStr">
        <is>
          <t>PPA</t>
        </is>
      </c>
      <c r="DE3" s="169" t="inlineStr">
        <is>
          <t>PPA</t>
        </is>
      </c>
      <c r="DF3" s="169" t="inlineStr">
        <is>
          <t>PPA</t>
        </is>
      </c>
      <c r="DG3" s="169" t="inlineStr">
        <is>
          <t>PPA</t>
        </is>
      </c>
      <c r="DH3" s="169" t="inlineStr">
        <is>
          <t>PPA</t>
        </is>
      </c>
      <c r="DI3" s="169" t="inlineStr">
        <is>
          <t>PPA</t>
        </is>
      </c>
      <c r="DJ3" s="169" t="inlineStr">
        <is>
          <t>PPA</t>
        </is>
      </c>
      <c r="DK3" s="169" t="inlineStr">
        <is>
          <t>PPA</t>
        </is>
      </c>
      <c r="DL3" s="169" t="inlineStr">
        <is>
          <t>PPA</t>
        </is>
      </c>
      <c r="DM3" s="169" t="inlineStr">
        <is>
          <t>PPA</t>
        </is>
      </c>
      <c r="DN3" s="169" t="inlineStr">
        <is>
          <t>PPA</t>
        </is>
      </c>
      <c r="DO3" s="169" t="inlineStr">
        <is>
          <t>PPA</t>
        </is>
      </c>
      <c r="DP3" s="169" t="inlineStr">
        <is>
          <t>PPA</t>
        </is>
      </c>
      <c r="DQ3" s="169" t="inlineStr">
        <is>
          <t>PPA</t>
        </is>
      </c>
      <c r="DR3" s="169" t="inlineStr">
        <is>
          <t>PPA</t>
        </is>
      </c>
      <c r="DS3" s="170" t="inlineStr">
        <is>
          <t>Merchant</t>
        </is>
      </c>
      <c r="DT3" s="170" t="inlineStr">
        <is>
          <t>Merchant</t>
        </is>
      </c>
      <c r="DU3" s="170" t="inlineStr">
        <is>
          <t>Merchant</t>
        </is>
      </c>
      <c r="DV3" s="170" t="inlineStr">
        <is>
          <t>Merchant</t>
        </is>
      </c>
      <c r="DW3" s="170" t="inlineStr">
        <is>
          <t>Merchant</t>
        </is>
      </c>
      <c r="DX3" s="170" t="inlineStr">
        <is>
          <t>Merchant</t>
        </is>
      </c>
      <c r="DY3" s="170" t="inlineStr">
        <is>
          <t>Merchant</t>
        </is>
      </c>
      <c r="DZ3" s="170" t="inlineStr">
        <is>
          <t>Merchant</t>
        </is>
      </c>
      <c r="EA3" s="170" t="inlineStr">
        <is>
          <t>Merchant</t>
        </is>
      </c>
      <c r="EB3" s="170" t="inlineStr">
        <is>
          <t>Merchant</t>
        </is>
      </c>
      <c r="EC3" s="170" t="inlineStr">
        <is>
          <t>Merchant</t>
        </is>
      </c>
      <c r="ED3" s="170" t="inlineStr">
        <is>
          <t>Merchant</t>
        </is>
      </c>
      <c r="EE3" s="170" t="inlineStr">
        <is>
          <t>Merchant</t>
        </is>
      </c>
      <c r="EF3" s="170" t="inlineStr">
        <is>
          <t>Merchant</t>
        </is>
      </c>
      <c r="EG3" s="170" t="inlineStr">
        <is>
          <t>Merchant</t>
        </is>
      </c>
      <c r="EH3" s="170" t="inlineStr">
        <is>
          <t>Merchant</t>
        </is>
      </c>
      <c r="EI3" s="170" t="inlineStr">
        <is>
          <t>Merchant</t>
        </is>
      </c>
      <c r="EJ3" s="170" t="inlineStr">
        <is>
          <t>Merchant</t>
        </is>
      </c>
      <c r="EK3" s="170" t="inlineStr">
        <is>
          <t>Merchant</t>
        </is>
      </c>
      <c r="EL3" s="170" t="inlineStr">
        <is>
          <t>Merchant</t>
        </is>
      </c>
      <c r="EM3" s="170" t="inlineStr">
        <is>
          <t>Merchant</t>
        </is>
      </c>
      <c r="EN3" s="170" t="inlineStr">
        <is>
          <t>Merchant</t>
        </is>
      </c>
      <c r="EO3" s="170" t="inlineStr">
        <is>
          <t>Merchant</t>
        </is>
      </c>
      <c r="EP3" s="170" t="inlineStr">
        <is>
          <t>Merchant</t>
        </is>
      </c>
      <c r="EQ3" s="170" t="inlineStr">
        <is>
          <t>Merchant</t>
        </is>
      </c>
      <c r="ER3" s="170" t="inlineStr">
        <is>
          <t>Merchant</t>
        </is>
      </c>
      <c r="ES3" s="170" t="inlineStr">
        <is>
          <t>Merchant</t>
        </is>
      </c>
      <c r="ET3" s="170" t="inlineStr">
        <is>
          <t>Merchant</t>
        </is>
      </c>
      <c r="EU3" s="170" t="inlineStr">
        <is>
          <t>Merchant</t>
        </is>
      </c>
      <c r="EV3" s="170" t="inlineStr">
        <is>
          <t>Merchant</t>
        </is>
      </c>
      <c r="EW3" s="170" t="inlineStr">
        <is>
          <t>Merchant</t>
        </is>
      </c>
      <c r="EX3" s="170" t="inlineStr">
        <is>
          <t>Merchant</t>
        </is>
      </c>
      <c r="EY3" s="170" t="inlineStr">
        <is>
          <t>Merchant</t>
        </is>
      </c>
      <c r="EZ3" s="170" t="inlineStr">
        <is>
          <t>Merchant</t>
        </is>
      </c>
      <c r="FA3" s="170" t="inlineStr">
        <is>
          <t>Merchant</t>
        </is>
      </c>
      <c r="FB3" s="170" t="inlineStr">
        <is>
          <t>Merchant</t>
        </is>
      </c>
      <c r="FC3" s="170" t="inlineStr">
        <is>
          <t>Merchant</t>
        </is>
      </c>
      <c r="FD3" s="170" t="inlineStr">
        <is>
          <t>Merchant</t>
        </is>
      </c>
      <c r="FE3" s="170" t="inlineStr">
        <is>
          <t>Merchant</t>
        </is>
      </c>
      <c r="FF3" s="170" t="inlineStr">
        <is>
          <t>Merchant</t>
        </is>
      </c>
      <c r="FG3" s="170" t="inlineStr">
        <is>
          <t>Merchant</t>
        </is>
      </c>
      <c r="FH3" s="170" t="inlineStr">
        <is>
          <t>Merchant</t>
        </is>
      </c>
      <c r="FI3" s="170" t="inlineStr">
        <is>
          <t>Merchant</t>
        </is>
      </c>
      <c r="FJ3" s="170" t="inlineStr">
        <is>
          <t>Merchant</t>
        </is>
      </c>
      <c r="FK3" s="170" t="inlineStr">
        <is>
          <t>Merchant</t>
        </is>
      </c>
      <c r="FL3" s="170" t="inlineStr">
        <is>
          <t>Merchant</t>
        </is>
      </c>
      <c r="FM3" s="170" t="inlineStr">
        <is>
          <t>Merchant</t>
        </is>
      </c>
      <c r="FN3" s="170" t="inlineStr">
        <is>
          <t>Merchant</t>
        </is>
      </c>
      <c r="FO3" s="170" t="inlineStr">
        <is>
          <t>Merchant</t>
        </is>
      </c>
      <c r="FP3" s="170" t="inlineStr">
        <is>
          <t>Merchant</t>
        </is>
      </c>
      <c r="FQ3" s="170" t="inlineStr">
        <is>
          <t>Merchant</t>
        </is>
      </c>
      <c r="FR3" s="170" t="inlineStr">
        <is>
          <t>Merchant</t>
        </is>
      </c>
      <c r="FS3" s="170" t="inlineStr">
        <is>
          <t>Merchant</t>
        </is>
      </c>
      <c r="FT3" s="170" t="inlineStr">
        <is>
          <t>Merchant</t>
        </is>
      </c>
      <c r="FU3" s="170" t="inlineStr">
        <is>
          <t>Merchant</t>
        </is>
      </c>
      <c r="FV3" s="170" t="inlineStr">
        <is>
          <t>Merchant</t>
        </is>
      </c>
      <c r="FW3" s="170" t="inlineStr">
        <is>
          <t>Merchant</t>
        </is>
      </c>
      <c r="FX3" s="170" t="inlineStr">
        <is>
          <t>Merchant</t>
        </is>
      </c>
      <c r="FY3" s="170" t="inlineStr">
        <is>
          <t>Merchant</t>
        </is>
      </c>
      <c r="FZ3" s="170" t="inlineStr">
        <is>
          <t>Merchant</t>
        </is>
      </c>
      <c r="GA3" s="170" t="inlineStr">
        <is>
          <t>Merchant</t>
        </is>
      </c>
      <c r="GB3" s="170" t="inlineStr">
        <is>
          <t>Merchant</t>
        </is>
      </c>
      <c r="GC3" s="170" t="inlineStr">
        <is>
          <t>Merchant</t>
        </is>
      </c>
      <c r="GD3" s="170" t="inlineStr">
        <is>
          <t>Merchant</t>
        </is>
      </c>
      <c r="GE3" s="170" t="inlineStr">
        <is>
          <t>Merchant</t>
        </is>
      </c>
      <c r="GF3" s="170" t="inlineStr">
        <is>
          <t>Merchant</t>
        </is>
      </c>
      <c r="GG3" s="170" t="inlineStr">
        <is>
          <t>Merchant</t>
        </is>
      </c>
      <c r="GH3" s="170" t="inlineStr">
        <is>
          <t>Merchant</t>
        </is>
      </c>
      <c r="GI3" s="170" t="inlineStr">
        <is>
          <t>Merchant</t>
        </is>
      </c>
      <c r="GJ3" s="170" t="inlineStr">
        <is>
          <t>Merchant</t>
        </is>
      </c>
      <c r="GK3" s="170" t="inlineStr">
        <is>
          <t>Merchant</t>
        </is>
      </c>
      <c r="GL3" s="170" t="inlineStr">
        <is>
          <t>Merchant</t>
        </is>
      </c>
      <c r="GM3" s="170" t="inlineStr">
        <is>
          <t>Merchant</t>
        </is>
      </c>
      <c r="GN3" s="170" t="inlineStr">
        <is>
          <t>Merchant</t>
        </is>
      </c>
      <c r="GO3" s="170" t="inlineStr">
        <is>
          <t>Merchant</t>
        </is>
      </c>
      <c r="GP3" s="170" t="inlineStr">
        <is>
          <t>Merchant</t>
        </is>
      </c>
      <c r="GQ3" s="170" t="inlineStr">
        <is>
          <t>Merchant</t>
        </is>
      </c>
      <c r="GR3" s="170" t="inlineStr">
        <is>
          <t>Merchant</t>
        </is>
      </c>
      <c r="GS3" s="170" t="inlineStr">
        <is>
          <t>Merchant</t>
        </is>
      </c>
      <c r="GT3" s="170" t="inlineStr">
        <is>
          <t>Merchant</t>
        </is>
      </c>
      <c r="GU3" s="170" t="inlineStr">
        <is>
          <t>Merchant</t>
        </is>
      </c>
      <c r="GV3" s="170" t="inlineStr">
        <is>
          <t>Merchant</t>
        </is>
      </c>
      <c r="GW3" s="170" t="inlineStr">
        <is>
          <t>Merchant</t>
        </is>
      </c>
      <c r="GX3" s="170" t="inlineStr">
        <is>
          <t>Merchant</t>
        </is>
      </c>
      <c r="GY3" s="170" t="inlineStr">
        <is>
          <t>Merchant</t>
        </is>
      </c>
      <c r="GZ3" s="170" t="inlineStr">
        <is>
          <t>Merchant</t>
        </is>
      </c>
      <c r="HA3" s="170" t="inlineStr">
        <is>
          <t>Merchant</t>
        </is>
      </c>
      <c r="HB3" s="170" t="inlineStr">
        <is>
          <t>Merchant</t>
        </is>
      </c>
      <c r="HC3" s="170" t="inlineStr">
        <is>
          <t>Merchant</t>
        </is>
      </c>
      <c r="HD3" s="170" t="inlineStr">
        <is>
          <t>Merchant</t>
        </is>
      </c>
      <c r="HE3" s="170" t="inlineStr">
        <is>
          <t>Merchant</t>
        </is>
      </c>
      <c r="HF3" s="170" t="inlineStr">
        <is>
          <t>Merchant</t>
        </is>
      </c>
      <c r="HG3" s="170" t="inlineStr">
        <is>
          <t>Merchant</t>
        </is>
      </c>
      <c r="HH3" s="170" t="inlineStr">
        <is>
          <t>Merchant</t>
        </is>
      </c>
      <c r="HI3" s="170" t="inlineStr">
        <is>
          <t>Merchant</t>
        </is>
      </c>
      <c r="HJ3" s="170" t="inlineStr">
        <is>
          <t>Merchant</t>
        </is>
      </c>
      <c r="HK3" s="170" t="inlineStr">
        <is>
          <t>Merchant</t>
        </is>
      </c>
      <c r="HL3" s="170" t="inlineStr">
        <is>
          <t>Merchant</t>
        </is>
      </c>
      <c r="HM3" s="170" t="inlineStr">
        <is>
          <t>Merchant</t>
        </is>
      </c>
      <c r="HN3" s="170" t="inlineStr">
        <is>
          <t>Merchant</t>
        </is>
      </c>
      <c r="HO3" s="170" t="inlineStr">
        <is>
          <t>Merchant</t>
        </is>
      </c>
      <c r="HP3" s="170" t="inlineStr">
        <is>
          <t>Merchant</t>
        </is>
      </c>
      <c r="HQ3" s="170" t="inlineStr">
        <is>
          <t>Merchant</t>
        </is>
      </c>
      <c r="HR3" s="170" t="inlineStr">
        <is>
          <t>Merchant</t>
        </is>
      </c>
      <c r="HS3" s="170" t="inlineStr">
        <is>
          <t>Merchant</t>
        </is>
      </c>
      <c r="HT3" s="170" t="inlineStr">
        <is>
          <t>Merchant</t>
        </is>
      </c>
      <c r="HU3" s="170" t="inlineStr">
        <is>
          <t>Merchant</t>
        </is>
      </c>
      <c r="HV3" s="170" t="inlineStr">
        <is>
          <t>Merchant</t>
        </is>
      </c>
      <c r="HW3" s="170" t="inlineStr">
        <is>
          <t>Merchant</t>
        </is>
      </c>
      <c r="HX3" s="170" t="inlineStr">
        <is>
          <t>Merchant</t>
        </is>
      </c>
      <c r="HY3" s="170" t="inlineStr">
        <is>
          <t>Merchant</t>
        </is>
      </c>
      <c r="HZ3" s="170" t="inlineStr">
        <is>
          <t>Merchant</t>
        </is>
      </c>
      <c r="IA3" s="170" t="inlineStr">
        <is>
          <t>Merchant</t>
        </is>
      </c>
      <c r="IB3" s="170" t="inlineStr">
        <is>
          <t>Merchant</t>
        </is>
      </c>
      <c r="IC3" s="170" t="inlineStr">
        <is>
          <t>Merchant</t>
        </is>
      </c>
      <c r="ID3" s="170" t="inlineStr">
        <is>
          <t>Merchant</t>
        </is>
      </c>
      <c r="IE3" s="170" t="inlineStr">
        <is>
          <t>Merchant</t>
        </is>
      </c>
      <c r="IF3" s="170" t="inlineStr">
        <is>
          <t>Merchant</t>
        </is>
      </c>
      <c r="IG3" s="170" t="inlineStr">
        <is>
          <t>Merchant</t>
        </is>
      </c>
      <c r="IH3" s="170" t="inlineStr">
        <is>
          <t>Merchant</t>
        </is>
      </c>
      <c r="II3" s="170" t="inlineStr">
        <is>
          <t>Merchant</t>
        </is>
      </c>
      <c r="IJ3" s="170" t="inlineStr">
        <is>
          <t>Merchant</t>
        </is>
      </c>
      <c r="IK3" s="170" t="inlineStr">
        <is>
          <t>Merchant</t>
        </is>
      </c>
      <c r="IL3" s="170" t="inlineStr">
        <is>
          <t>Merchant</t>
        </is>
      </c>
      <c r="IM3" s="170" t="inlineStr">
        <is>
          <t>Merchant</t>
        </is>
      </c>
      <c r="IN3" s="170" t="inlineStr">
        <is>
          <t>Merchant</t>
        </is>
      </c>
      <c r="IO3" s="170" t="inlineStr">
        <is>
          <t>Merchant</t>
        </is>
      </c>
      <c r="IP3" s="170" t="inlineStr">
        <is>
          <t>Merchant</t>
        </is>
      </c>
      <c r="IQ3" s="170" t="inlineStr">
        <is>
          <t>Merchant</t>
        </is>
      </c>
      <c r="IR3" s="170" t="inlineStr">
        <is>
          <t>Merchant</t>
        </is>
      </c>
      <c r="IS3" s="170" t="inlineStr">
        <is>
          <t>Merchant</t>
        </is>
      </c>
      <c r="IT3" s="170" t="inlineStr">
        <is>
          <t>Merchant</t>
        </is>
      </c>
      <c r="IU3" s="170" t="inlineStr">
        <is>
          <t>Merchant</t>
        </is>
      </c>
      <c r="IV3" s="170" t="inlineStr">
        <is>
          <t>Merchant</t>
        </is>
      </c>
      <c r="IW3" s="170" t="inlineStr">
        <is>
          <t>Merchant</t>
        </is>
      </c>
      <c r="IX3" s="170" t="inlineStr">
        <is>
          <t>Merchant</t>
        </is>
      </c>
      <c r="IY3" s="170" t="inlineStr">
        <is>
          <t>Merchant</t>
        </is>
      </c>
      <c r="IZ3" s="170" t="inlineStr">
        <is>
          <t>Merchant</t>
        </is>
      </c>
      <c r="JA3" s="170" t="inlineStr">
        <is>
          <t>Merchant</t>
        </is>
      </c>
      <c r="JB3" s="170" t="inlineStr">
        <is>
          <t>Merchant</t>
        </is>
      </c>
      <c r="JC3" s="170" t="inlineStr">
        <is>
          <t>Merchant</t>
        </is>
      </c>
      <c r="JD3" s="170" t="inlineStr">
        <is>
          <t>Merchant</t>
        </is>
      </c>
      <c r="JE3" s="170" t="inlineStr">
        <is>
          <t>Merchant</t>
        </is>
      </c>
      <c r="JF3" s="170" t="inlineStr">
        <is>
          <t>Merchant</t>
        </is>
      </c>
      <c r="JG3" s="170" t="inlineStr">
        <is>
          <t>Merchant</t>
        </is>
      </c>
      <c r="JH3" s="170" t="inlineStr">
        <is>
          <t>Merchant</t>
        </is>
      </c>
      <c r="JI3" s="170" t="inlineStr">
        <is>
          <t>Merchant</t>
        </is>
      </c>
      <c r="JJ3" s="170" t="inlineStr">
        <is>
          <t>Merchant</t>
        </is>
      </c>
      <c r="JK3" s="170" t="inlineStr">
        <is>
          <t>Merchant</t>
        </is>
      </c>
      <c r="JL3" s="170" t="inlineStr">
        <is>
          <t>Merchant</t>
        </is>
      </c>
      <c r="JM3" s="170" t="inlineStr">
        <is>
          <t>Merchant</t>
        </is>
      </c>
      <c r="JN3" s="170" t="inlineStr">
        <is>
          <t>Merchant</t>
        </is>
      </c>
      <c r="JO3" s="170" t="inlineStr">
        <is>
          <t>Merchant</t>
        </is>
      </c>
      <c r="JP3" s="170" t="inlineStr">
        <is>
          <t>Merchant</t>
        </is>
      </c>
      <c r="JQ3" s="170" t="inlineStr">
        <is>
          <t>Merchant</t>
        </is>
      </c>
      <c r="JR3" s="170" t="inlineStr">
        <is>
          <t>Merchant</t>
        </is>
      </c>
      <c r="JS3" s="170" t="inlineStr">
        <is>
          <t>Merchant</t>
        </is>
      </c>
      <c r="JT3" s="170" t="inlineStr">
        <is>
          <t>Merchant</t>
        </is>
      </c>
      <c r="JU3" s="170" t="inlineStr">
        <is>
          <t>Merchant</t>
        </is>
      </c>
      <c r="JV3" s="170" t="inlineStr">
        <is>
          <t>Merchant</t>
        </is>
      </c>
      <c r="JW3" s="170" t="inlineStr">
        <is>
          <t>Merchant</t>
        </is>
      </c>
      <c r="JX3" s="170" t="inlineStr">
        <is>
          <t>Merchant</t>
        </is>
      </c>
      <c r="JY3" s="170" t="inlineStr">
        <is>
          <t>Merchant</t>
        </is>
      </c>
      <c r="JZ3" s="170" t="inlineStr">
        <is>
          <t>Merchant</t>
        </is>
      </c>
      <c r="KA3" s="170" t="inlineStr">
        <is>
          <t>Merchant</t>
        </is>
      </c>
      <c r="KB3" s="170" t="inlineStr">
        <is>
          <t>Merchant</t>
        </is>
      </c>
      <c r="KC3" s="170" t="inlineStr">
        <is>
          <t>Merchant</t>
        </is>
      </c>
      <c r="KD3" s="170" t="inlineStr">
        <is>
          <t>Merchant</t>
        </is>
      </c>
      <c r="KE3" s="170" t="inlineStr">
        <is>
          <t>Merchant</t>
        </is>
      </c>
      <c r="KF3" s="170" t="inlineStr">
        <is>
          <t>Merchant</t>
        </is>
      </c>
      <c r="KG3" s="170" t="inlineStr">
        <is>
          <t>Merchant</t>
        </is>
      </c>
      <c r="KH3" s="170" t="inlineStr">
        <is>
          <t>Merchant</t>
        </is>
      </c>
      <c r="KI3" s="170" t="inlineStr">
        <is>
          <t>Merchant</t>
        </is>
      </c>
      <c r="KJ3" s="170" t="inlineStr">
        <is>
          <t>Merchant</t>
        </is>
      </c>
      <c r="KK3" s="170" t="inlineStr">
        <is>
          <t>Merchant</t>
        </is>
      </c>
      <c r="KL3" s="170" t="inlineStr">
        <is>
          <t>Merchant</t>
        </is>
      </c>
      <c r="KM3" s="170" t="inlineStr">
        <is>
          <t>Merchant</t>
        </is>
      </c>
      <c r="KN3" s="170" t="inlineStr">
        <is>
          <t>Merchant</t>
        </is>
      </c>
      <c r="KO3" s="170" t="inlineStr">
        <is>
          <t>Merchant</t>
        </is>
      </c>
      <c r="KP3" s="170" t="inlineStr">
        <is>
          <t>Merchant</t>
        </is>
      </c>
    </row>
    <row r="4" ht="14" customHeight="1" s="133">
      <c r="A4" s="171" t="inlineStr">
        <is>
          <t>Line Item</t>
        </is>
      </c>
      <c r="B4" s="172" t="inlineStr">
        <is>
          <t>Unit</t>
        </is>
      </c>
      <c r="C4" s="173" t="n">
        <v>1</v>
      </c>
      <c r="D4" s="173" t="n">
        <v>2</v>
      </c>
      <c r="E4" s="173" t="n">
        <v>3</v>
      </c>
      <c r="F4" s="173" t="n">
        <v>4</v>
      </c>
      <c r="G4" s="173" t="n">
        <v>5</v>
      </c>
      <c r="H4" s="173" t="n">
        <v>6</v>
      </c>
      <c r="I4" s="173" t="n">
        <v>7</v>
      </c>
      <c r="J4" s="173" t="n">
        <v>8</v>
      </c>
      <c r="K4" s="173" t="n">
        <v>9</v>
      </c>
      <c r="L4" s="173" t="n">
        <v>10</v>
      </c>
      <c r="M4" s="173" t="n">
        <v>11</v>
      </c>
      <c r="N4" s="173" t="n">
        <v>12</v>
      </c>
      <c r="O4" s="173" t="n">
        <v>13</v>
      </c>
      <c r="P4" s="173" t="n">
        <v>14</v>
      </c>
      <c r="Q4" s="173" t="n">
        <v>15</v>
      </c>
      <c r="R4" s="173" t="n">
        <v>16</v>
      </c>
      <c r="S4" s="173" t="n">
        <v>17</v>
      </c>
      <c r="T4" s="173" t="n">
        <v>18</v>
      </c>
      <c r="U4" s="173" t="n">
        <v>19</v>
      </c>
      <c r="V4" s="173" t="n">
        <v>20</v>
      </c>
      <c r="W4" s="173" t="n">
        <v>21</v>
      </c>
      <c r="X4" s="173" t="n">
        <v>22</v>
      </c>
      <c r="Y4" s="173" t="n">
        <v>23</v>
      </c>
      <c r="Z4" s="173" t="n">
        <v>24</v>
      </c>
      <c r="AA4" s="173" t="n">
        <v>25</v>
      </c>
      <c r="AB4" s="173" t="n">
        <v>26</v>
      </c>
      <c r="AC4" s="173" t="n">
        <v>27</v>
      </c>
      <c r="AD4" s="173" t="n">
        <v>28</v>
      </c>
      <c r="AE4" s="173" t="n">
        <v>29</v>
      </c>
      <c r="AF4" s="173" t="n">
        <v>30</v>
      </c>
      <c r="AG4" s="173" t="n">
        <v>31</v>
      </c>
      <c r="AH4" s="173" t="n">
        <v>32</v>
      </c>
      <c r="AI4" s="173" t="n">
        <v>33</v>
      </c>
      <c r="AJ4" s="173" t="n">
        <v>34</v>
      </c>
      <c r="AK4" s="173" t="n">
        <v>35</v>
      </c>
      <c r="AL4" s="173" t="n">
        <v>36</v>
      </c>
      <c r="AM4" s="173" t="n">
        <v>37</v>
      </c>
      <c r="AN4" s="173" t="n">
        <v>38</v>
      </c>
      <c r="AO4" s="173" t="n">
        <v>39</v>
      </c>
      <c r="AP4" s="173" t="n">
        <v>40</v>
      </c>
      <c r="AQ4" s="173" t="n">
        <v>41</v>
      </c>
      <c r="AR4" s="173" t="n">
        <v>42</v>
      </c>
      <c r="AS4" s="173" t="n">
        <v>43</v>
      </c>
      <c r="AT4" s="173" t="n">
        <v>44</v>
      </c>
      <c r="AU4" s="173" t="n">
        <v>45</v>
      </c>
      <c r="AV4" s="173" t="n">
        <v>46</v>
      </c>
      <c r="AW4" s="173" t="n">
        <v>47</v>
      </c>
      <c r="AX4" s="173" t="n">
        <v>48</v>
      </c>
      <c r="AY4" s="173" t="n">
        <v>49</v>
      </c>
      <c r="AZ4" s="173" t="n">
        <v>50</v>
      </c>
      <c r="BA4" s="173" t="n">
        <v>51</v>
      </c>
      <c r="BB4" s="173" t="n">
        <v>52</v>
      </c>
      <c r="BC4" s="173" t="n">
        <v>53</v>
      </c>
      <c r="BD4" s="173" t="n">
        <v>54</v>
      </c>
      <c r="BE4" s="173" t="n">
        <v>55</v>
      </c>
      <c r="BF4" s="173" t="n">
        <v>56</v>
      </c>
      <c r="BG4" s="173" t="n">
        <v>57</v>
      </c>
      <c r="BH4" s="173" t="n">
        <v>58</v>
      </c>
      <c r="BI4" s="173" t="n">
        <v>59</v>
      </c>
      <c r="BJ4" s="173" t="n">
        <v>60</v>
      </c>
      <c r="BK4" s="173" t="n">
        <v>61</v>
      </c>
      <c r="BL4" s="173" t="n">
        <v>62</v>
      </c>
      <c r="BM4" s="173" t="n">
        <v>63</v>
      </c>
      <c r="BN4" s="173" t="n">
        <v>64</v>
      </c>
      <c r="BO4" s="173" t="n">
        <v>65</v>
      </c>
      <c r="BP4" s="173" t="n">
        <v>66</v>
      </c>
      <c r="BQ4" s="173" t="n">
        <v>67</v>
      </c>
      <c r="BR4" s="173" t="n">
        <v>68</v>
      </c>
      <c r="BS4" s="173" t="n">
        <v>69</v>
      </c>
      <c r="BT4" s="173" t="n">
        <v>70</v>
      </c>
      <c r="BU4" s="173" t="n">
        <v>71</v>
      </c>
      <c r="BV4" s="173" t="n">
        <v>72</v>
      </c>
      <c r="BW4" s="173" t="n">
        <v>73</v>
      </c>
      <c r="BX4" s="173" t="n">
        <v>74</v>
      </c>
      <c r="BY4" s="173" t="n">
        <v>75</v>
      </c>
      <c r="BZ4" s="173" t="n">
        <v>76</v>
      </c>
      <c r="CA4" s="173" t="n">
        <v>77</v>
      </c>
      <c r="CB4" s="173" t="n">
        <v>78</v>
      </c>
      <c r="CC4" s="173" t="n">
        <v>79</v>
      </c>
      <c r="CD4" s="173" t="n">
        <v>80</v>
      </c>
      <c r="CE4" s="173" t="n">
        <v>81</v>
      </c>
      <c r="CF4" s="173" t="n">
        <v>82</v>
      </c>
      <c r="CG4" s="173" t="n">
        <v>83</v>
      </c>
      <c r="CH4" s="173" t="n">
        <v>84</v>
      </c>
      <c r="CI4" s="173" t="n">
        <v>85</v>
      </c>
      <c r="CJ4" s="173" t="n">
        <v>86</v>
      </c>
      <c r="CK4" s="173" t="n">
        <v>87</v>
      </c>
      <c r="CL4" s="173" t="n">
        <v>88</v>
      </c>
      <c r="CM4" s="173" t="n">
        <v>89</v>
      </c>
      <c r="CN4" s="173" t="n">
        <v>90</v>
      </c>
      <c r="CO4" s="173" t="n">
        <v>91</v>
      </c>
      <c r="CP4" s="173" t="n">
        <v>92</v>
      </c>
      <c r="CQ4" s="173" t="n">
        <v>93</v>
      </c>
      <c r="CR4" s="173" t="n">
        <v>94</v>
      </c>
      <c r="CS4" s="173" t="n">
        <v>95</v>
      </c>
      <c r="CT4" s="173" t="n">
        <v>96</v>
      </c>
      <c r="CU4" s="173" t="n">
        <v>97</v>
      </c>
      <c r="CV4" s="173" t="n">
        <v>98</v>
      </c>
      <c r="CW4" s="173" t="n">
        <v>99</v>
      </c>
      <c r="CX4" s="173" t="n">
        <v>100</v>
      </c>
      <c r="CY4" s="173" t="n">
        <v>101</v>
      </c>
      <c r="CZ4" s="173" t="n">
        <v>102</v>
      </c>
      <c r="DA4" s="173" t="n">
        <v>103</v>
      </c>
      <c r="DB4" s="173" t="n">
        <v>104</v>
      </c>
      <c r="DC4" s="173" t="n">
        <v>105</v>
      </c>
      <c r="DD4" s="173" t="n">
        <v>106</v>
      </c>
      <c r="DE4" s="173" t="n">
        <v>107</v>
      </c>
      <c r="DF4" s="173" t="n">
        <v>108</v>
      </c>
      <c r="DG4" s="173" t="n">
        <v>109</v>
      </c>
      <c r="DH4" s="173" t="n">
        <v>110</v>
      </c>
      <c r="DI4" s="173" t="n">
        <v>111</v>
      </c>
      <c r="DJ4" s="173" t="n">
        <v>112</v>
      </c>
      <c r="DK4" s="173" t="n">
        <v>113</v>
      </c>
      <c r="DL4" s="173" t="n">
        <v>114</v>
      </c>
      <c r="DM4" s="173" t="n">
        <v>115</v>
      </c>
      <c r="DN4" s="173" t="n">
        <v>116</v>
      </c>
      <c r="DO4" s="173" t="n">
        <v>117</v>
      </c>
      <c r="DP4" s="173" t="n">
        <v>118</v>
      </c>
      <c r="DQ4" s="173" t="n">
        <v>119</v>
      </c>
      <c r="DR4" s="173" t="n">
        <v>120</v>
      </c>
      <c r="DS4" s="174" t="n">
        <v>121</v>
      </c>
      <c r="DT4" s="174" t="n">
        <v>122</v>
      </c>
      <c r="DU4" s="174" t="n">
        <v>123</v>
      </c>
      <c r="DV4" s="174" t="n">
        <v>124</v>
      </c>
      <c r="DW4" s="174" t="n">
        <v>125</v>
      </c>
      <c r="DX4" s="174" t="n">
        <v>126</v>
      </c>
      <c r="DY4" s="174" t="n">
        <v>127</v>
      </c>
      <c r="DZ4" s="174" t="n">
        <v>128</v>
      </c>
      <c r="EA4" s="174" t="n">
        <v>129</v>
      </c>
      <c r="EB4" s="174" t="n">
        <v>130</v>
      </c>
      <c r="EC4" s="174" t="n">
        <v>131</v>
      </c>
      <c r="ED4" s="174" t="n">
        <v>132</v>
      </c>
      <c r="EE4" s="174" t="n">
        <v>133</v>
      </c>
      <c r="EF4" s="174" t="n">
        <v>134</v>
      </c>
      <c r="EG4" s="174" t="n">
        <v>135</v>
      </c>
      <c r="EH4" s="174" t="n">
        <v>136</v>
      </c>
      <c r="EI4" s="174" t="n">
        <v>137</v>
      </c>
      <c r="EJ4" s="174" t="n">
        <v>138</v>
      </c>
      <c r="EK4" s="174" t="n">
        <v>139</v>
      </c>
      <c r="EL4" s="174" t="n">
        <v>140</v>
      </c>
      <c r="EM4" s="174" t="n">
        <v>141</v>
      </c>
      <c r="EN4" s="174" t="n">
        <v>142</v>
      </c>
      <c r="EO4" s="174" t="n">
        <v>143</v>
      </c>
      <c r="EP4" s="174" t="n">
        <v>144</v>
      </c>
      <c r="EQ4" s="174" t="n">
        <v>145</v>
      </c>
      <c r="ER4" s="174" t="n">
        <v>146</v>
      </c>
      <c r="ES4" s="174" t="n">
        <v>147</v>
      </c>
      <c r="ET4" s="174" t="n">
        <v>148</v>
      </c>
      <c r="EU4" s="174" t="n">
        <v>149</v>
      </c>
      <c r="EV4" s="174" t="n">
        <v>150</v>
      </c>
      <c r="EW4" s="174" t="n">
        <v>151</v>
      </c>
      <c r="EX4" s="174" t="n">
        <v>152</v>
      </c>
      <c r="EY4" s="174" t="n">
        <v>153</v>
      </c>
      <c r="EZ4" s="174" t="n">
        <v>154</v>
      </c>
      <c r="FA4" s="174" t="n">
        <v>155</v>
      </c>
      <c r="FB4" s="174" t="n">
        <v>156</v>
      </c>
      <c r="FC4" s="174" t="n">
        <v>157</v>
      </c>
      <c r="FD4" s="174" t="n">
        <v>158</v>
      </c>
      <c r="FE4" s="174" t="n">
        <v>159</v>
      </c>
      <c r="FF4" s="174" t="n">
        <v>160</v>
      </c>
      <c r="FG4" s="174" t="n">
        <v>161</v>
      </c>
      <c r="FH4" s="174" t="n">
        <v>162</v>
      </c>
      <c r="FI4" s="174" t="n">
        <v>163</v>
      </c>
      <c r="FJ4" s="174" t="n">
        <v>164</v>
      </c>
      <c r="FK4" s="174" t="n">
        <v>165</v>
      </c>
      <c r="FL4" s="174" t="n">
        <v>166</v>
      </c>
      <c r="FM4" s="174" t="n">
        <v>167</v>
      </c>
      <c r="FN4" s="174" t="n">
        <v>168</v>
      </c>
      <c r="FO4" s="174" t="n">
        <v>169</v>
      </c>
      <c r="FP4" s="174" t="n">
        <v>170</v>
      </c>
      <c r="FQ4" s="174" t="n">
        <v>171</v>
      </c>
      <c r="FR4" s="174" t="n">
        <v>172</v>
      </c>
      <c r="FS4" s="174" t="n">
        <v>173</v>
      </c>
      <c r="FT4" s="174" t="n">
        <v>174</v>
      </c>
      <c r="FU4" s="174" t="n">
        <v>175</v>
      </c>
      <c r="FV4" s="174" t="n">
        <v>176</v>
      </c>
      <c r="FW4" s="174" t="n">
        <v>177</v>
      </c>
      <c r="FX4" s="174" t="n">
        <v>178</v>
      </c>
      <c r="FY4" s="174" t="n">
        <v>179</v>
      </c>
      <c r="FZ4" s="174" t="n">
        <v>180</v>
      </c>
      <c r="GA4" s="174" t="n">
        <v>181</v>
      </c>
      <c r="GB4" s="174" t="n">
        <v>182</v>
      </c>
      <c r="GC4" s="174" t="n">
        <v>183</v>
      </c>
      <c r="GD4" s="174" t="n">
        <v>184</v>
      </c>
      <c r="GE4" s="174" t="n">
        <v>185</v>
      </c>
      <c r="GF4" s="174" t="n">
        <v>186</v>
      </c>
      <c r="GG4" s="174" t="n">
        <v>187</v>
      </c>
      <c r="GH4" s="174" t="n">
        <v>188</v>
      </c>
      <c r="GI4" s="174" t="n">
        <v>189</v>
      </c>
      <c r="GJ4" s="174" t="n">
        <v>190</v>
      </c>
      <c r="GK4" s="174" t="n">
        <v>191</v>
      </c>
      <c r="GL4" s="174" t="n">
        <v>192</v>
      </c>
      <c r="GM4" s="174" t="n">
        <v>193</v>
      </c>
      <c r="GN4" s="174" t="n">
        <v>194</v>
      </c>
      <c r="GO4" s="174" t="n">
        <v>195</v>
      </c>
      <c r="GP4" s="174" t="n">
        <v>196</v>
      </c>
      <c r="GQ4" s="174" t="n">
        <v>197</v>
      </c>
      <c r="GR4" s="174" t="n">
        <v>198</v>
      </c>
      <c r="GS4" s="174" t="n">
        <v>199</v>
      </c>
      <c r="GT4" s="174" t="n">
        <v>200</v>
      </c>
      <c r="GU4" s="174" t="n">
        <v>201</v>
      </c>
      <c r="GV4" s="174" t="n">
        <v>202</v>
      </c>
      <c r="GW4" s="174" t="n">
        <v>203</v>
      </c>
      <c r="GX4" s="174" t="n">
        <v>204</v>
      </c>
      <c r="GY4" s="174" t="n">
        <v>205</v>
      </c>
      <c r="GZ4" s="174" t="n">
        <v>206</v>
      </c>
      <c r="HA4" s="174" t="n">
        <v>207</v>
      </c>
      <c r="HB4" s="174" t="n">
        <v>208</v>
      </c>
      <c r="HC4" s="174" t="n">
        <v>209</v>
      </c>
      <c r="HD4" s="174" t="n">
        <v>210</v>
      </c>
      <c r="HE4" s="174" t="n">
        <v>211</v>
      </c>
      <c r="HF4" s="174" t="n">
        <v>212</v>
      </c>
      <c r="HG4" s="174" t="n">
        <v>213</v>
      </c>
      <c r="HH4" s="174" t="n">
        <v>214</v>
      </c>
      <c r="HI4" s="174" t="n">
        <v>215</v>
      </c>
      <c r="HJ4" s="174" t="n">
        <v>216</v>
      </c>
      <c r="HK4" s="174" t="n">
        <v>217</v>
      </c>
      <c r="HL4" s="174" t="n">
        <v>218</v>
      </c>
      <c r="HM4" s="174" t="n">
        <v>219</v>
      </c>
      <c r="HN4" s="174" t="n">
        <v>220</v>
      </c>
      <c r="HO4" s="174" t="n">
        <v>221</v>
      </c>
      <c r="HP4" s="174" t="n">
        <v>222</v>
      </c>
      <c r="HQ4" s="174" t="n">
        <v>223</v>
      </c>
      <c r="HR4" s="174" t="n">
        <v>224</v>
      </c>
      <c r="HS4" s="174" t="n">
        <v>225</v>
      </c>
      <c r="HT4" s="174" t="n">
        <v>226</v>
      </c>
      <c r="HU4" s="174" t="n">
        <v>227</v>
      </c>
      <c r="HV4" s="174" t="n">
        <v>228</v>
      </c>
      <c r="HW4" s="174" t="n">
        <v>229</v>
      </c>
      <c r="HX4" s="174" t="n">
        <v>230</v>
      </c>
      <c r="HY4" s="174" t="n">
        <v>231</v>
      </c>
      <c r="HZ4" s="174" t="n">
        <v>232</v>
      </c>
      <c r="IA4" s="174" t="n">
        <v>233</v>
      </c>
      <c r="IB4" s="174" t="n">
        <v>234</v>
      </c>
      <c r="IC4" s="174" t="n">
        <v>235</v>
      </c>
      <c r="ID4" s="174" t="n">
        <v>236</v>
      </c>
      <c r="IE4" s="174" t="n">
        <v>237</v>
      </c>
      <c r="IF4" s="174" t="n">
        <v>238</v>
      </c>
      <c r="IG4" s="174" t="n">
        <v>239</v>
      </c>
      <c r="IH4" s="174" t="n">
        <v>240</v>
      </c>
      <c r="II4" s="174" t="n">
        <v>241</v>
      </c>
      <c r="IJ4" s="174" t="n">
        <v>242</v>
      </c>
      <c r="IK4" s="174" t="n">
        <v>243</v>
      </c>
      <c r="IL4" s="174" t="n">
        <v>244</v>
      </c>
      <c r="IM4" s="174" t="n">
        <v>245</v>
      </c>
      <c r="IN4" s="174" t="n">
        <v>246</v>
      </c>
      <c r="IO4" s="174" t="n">
        <v>247</v>
      </c>
      <c r="IP4" s="174" t="n">
        <v>248</v>
      </c>
      <c r="IQ4" s="174" t="n">
        <v>249</v>
      </c>
      <c r="IR4" s="174" t="n">
        <v>250</v>
      </c>
      <c r="IS4" s="174" t="n">
        <v>251</v>
      </c>
      <c r="IT4" s="174" t="n">
        <v>252</v>
      </c>
      <c r="IU4" s="174" t="n">
        <v>253</v>
      </c>
      <c r="IV4" s="174" t="n">
        <v>254</v>
      </c>
      <c r="IW4" s="174" t="n">
        <v>255</v>
      </c>
      <c r="IX4" s="174" t="n">
        <v>256</v>
      </c>
      <c r="IY4" s="174" t="n">
        <v>257</v>
      </c>
      <c r="IZ4" s="174" t="n">
        <v>258</v>
      </c>
      <c r="JA4" s="174" t="n">
        <v>259</v>
      </c>
      <c r="JB4" s="174" t="n">
        <v>260</v>
      </c>
      <c r="JC4" s="174" t="n">
        <v>261</v>
      </c>
      <c r="JD4" s="174" t="n">
        <v>262</v>
      </c>
      <c r="JE4" s="174" t="n">
        <v>263</v>
      </c>
      <c r="JF4" s="174" t="n">
        <v>264</v>
      </c>
      <c r="JG4" s="174" t="n">
        <v>265</v>
      </c>
      <c r="JH4" s="174" t="n">
        <v>266</v>
      </c>
      <c r="JI4" s="174" t="n">
        <v>267</v>
      </c>
      <c r="JJ4" s="174" t="n">
        <v>268</v>
      </c>
      <c r="JK4" s="174" t="n">
        <v>269</v>
      </c>
      <c r="JL4" s="174" t="n">
        <v>270</v>
      </c>
      <c r="JM4" s="174" t="n">
        <v>271</v>
      </c>
      <c r="JN4" s="174" t="n">
        <v>272</v>
      </c>
      <c r="JO4" s="174" t="n">
        <v>273</v>
      </c>
      <c r="JP4" s="174" t="n">
        <v>274</v>
      </c>
      <c r="JQ4" s="174" t="n">
        <v>275</v>
      </c>
      <c r="JR4" s="174" t="n">
        <v>276</v>
      </c>
      <c r="JS4" s="174" t="n">
        <v>277</v>
      </c>
      <c r="JT4" s="174" t="n">
        <v>278</v>
      </c>
      <c r="JU4" s="174" t="n">
        <v>279</v>
      </c>
      <c r="JV4" s="174" t="n">
        <v>280</v>
      </c>
      <c r="JW4" s="174" t="n">
        <v>281</v>
      </c>
      <c r="JX4" s="174" t="n">
        <v>282</v>
      </c>
      <c r="JY4" s="174" t="n">
        <v>283</v>
      </c>
      <c r="JZ4" s="174" t="n">
        <v>284</v>
      </c>
      <c r="KA4" s="174" t="n">
        <v>285</v>
      </c>
      <c r="KB4" s="174" t="n">
        <v>286</v>
      </c>
      <c r="KC4" s="174" t="n">
        <v>287</v>
      </c>
      <c r="KD4" s="174" t="n">
        <v>288</v>
      </c>
      <c r="KE4" s="174" t="n">
        <v>289</v>
      </c>
      <c r="KF4" s="174" t="n">
        <v>290</v>
      </c>
      <c r="KG4" s="174" t="n">
        <v>291</v>
      </c>
      <c r="KH4" s="174" t="n">
        <v>292</v>
      </c>
      <c r="KI4" s="174" t="n">
        <v>293</v>
      </c>
      <c r="KJ4" s="174" t="n">
        <v>294</v>
      </c>
      <c r="KK4" s="174" t="n">
        <v>295</v>
      </c>
      <c r="KL4" s="174" t="n">
        <v>296</v>
      </c>
      <c r="KM4" s="174" t="n">
        <v>297</v>
      </c>
      <c r="KN4" s="174" t="n">
        <v>298</v>
      </c>
      <c r="KO4" s="174" t="n">
        <v>299</v>
      </c>
      <c r="KP4" s="174" t="n">
        <v>300</v>
      </c>
    </row>
    <row r="5" ht="14" customHeight="1" s="133">
      <c r="A5" s="175" t="inlineStr">
        <is>
          <t xml:space="preserve">  P50 — Base Case</t>
        </is>
      </c>
      <c r="B5" s="167" t="n"/>
      <c r="C5" s="176" t="n"/>
      <c r="D5" s="176" t="n"/>
      <c r="E5" s="176" t="n"/>
      <c r="F5" s="176" t="n"/>
      <c r="G5" s="176" t="n"/>
      <c r="H5" s="176" t="n"/>
      <c r="I5" s="176" t="n"/>
      <c r="J5" s="176" t="n"/>
      <c r="K5" s="176" t="n"/>
      <c r="L5" s="176" t="n"/>
      <c r="M5" s="176" t="n"/>
      <c r="N5" s="176" t="n"/>
      <c r="O5" s="176" t="n"/>
      <c r="P5" s="176" t="n"/>
      <c r="Q5" s="176" t="n"/>
      <c r="R5" s="176" t="n"/>
      <c r="S5" s="176" t="n"/>
      <c r="T5" s="176" t="n"/>
      <c r="U5" s="176" t="n"/>
      <c r="V5" s="176" t="n"/>
      <c r="W5" s="176" t="n"/>
      <c r="X5" s="176" t="n"/>
      <c r="Y5" s="176" t="n"/>
      <c r="Z5" s="176" t="n"/>
      <c r="AA5" s="176" t="n"/>
      <c r="AB5" s="176" t="n"/>
      <c r="AC5" s="176" t="n"/>
      <c r="AD5" s="176" t="n"/>
      <c r="AE5" s="176" t="n"/>
      <c r="AF5" s="176" t="n"/>
      <c r="AG5" s="176" t="n"/>
      <c r="AH5" s="176" t="n"/>
      <c r="AI5" s="176" t="n"/>
      <c r="AJ5" s="176" t="n"/>
      <c r="AK5" s="176" t="n"/>
      <c r="AL5" s="176" t="n"/>
      <c r="AM5" s="176" t="n"/>
      <c r="AN5" s="176" t="n"/>
      <c r="AO5" s="176" t="n"/>
      <c r="AP5" s="176" t="n"/>
      <c r="AQ5" s="176" t="n"/>
      <c r="AR5" s="176" t="n"/>
      <c r="AS5" s="176" t="n"/>
      <c r="AT5" s="176" t="n"/>
      <c r="AU5" s="176" t="n"/>
      <c r="AV5" s="176" t="n"/>
      <c r="AW5" s="176" t="n"/>
      <c r="AX5" s="176" t="n"/>
      <c r="AY5" s="176" t="n"/>
      <c r="AZ5" s="176" t="n"/>
      <c r="BA5" s="176" t="n"/>
      <c r="BB5" s="176" t="n"/>
      <c r="BC5" s="176" t="n"/>
      <c r="BD5" s="176" t="n"/>
      <c r="BE5" s="176" t="n"/>
      <c r="BF5" s="176" t="n"/>
      <c r="BG5" s="176" t="n"/>
      <c r="BH5" s="176" t="n"/>
      <c r="BI5" s="176" t="n"/>
      <c r="BJ5" s="176" t="n"/>
      <c r="BK5" s="176" t="n"/>
      <c r="BL5" s="176" t="n"/>
      <c r="BM5" s="176" t="n"/>
      <c r="BN5" s="176" t="n"/>
      <c r="BO5" s="176" t="n"/>
      <c r="BP5" s="176" t="n"/>
      <c r="BQ5" s="176" t="n"/>
      <c r="BR5" s="176" t="n"/>
      <c r="BS5" s="176" t="n"/>
      <c r="BT5" s="176" t="n"/>
      <c r="BU5" s="176" t="n"/>
      <c r="BV5" s="176" t="n"/>
      <c r="BW5" s="176" t="n"/>
      <c r="BX5" s="176" t="n"/>
      <c r="BY5" s="176" t="n"/>
      <c r="BZ5" s="176" t="n"/>
      <c r="CA5" s="176" t="n"/>
      <c r="CB5" s="176" t="n"/>
      <c r="CC5" s="176" t="n"/>
      <c r="CD5" s="176" t="n"/>
      <c r="CE5" s="176" t="n"/>
      <c r="CF5" s="176" t="n"/>
      <c r="CG5" s="176" t="n"/>
      <c r="CH5" s="176" t="n"/>
      <c r="CI5" s="176" t="n"/>
      <c r="CJ5" s="176" t="n"/>
      <c r="CK5" s="176" t="n"/>
      <c r="CL5" s="176" t="n"/>
      <c r="CM5" s="176" t="n"/>
      <c r="CN5" s="176" t="n"/>
      <c r="CO5" s="176" t="n"/>
      <c r="CP5" s="176" t="n"/>
      <c r="CQ5" s="176" t="n"/>
      <c r="CR5" s="176" t="n"/>
      <c r="CS5" s="176" t="n"/>
      <c r="CT5" s="176" t="n"/>
      <c r="CU5" s="176" t="n"/>
      <c r="CV5" s="176" t="n"/>
      <c r="CW5" s="176" t="n"/>
      <c r="CX5" s="176" t="n"/>
      <c r="CY5" s="176" t="n"/>
      <c r="CZ5" s="176" t="n"/>
      <c r="DA5" s="176" t="n"/>
      <c r="DB5" s="176" t="n"/>
      <c r="DC5" s="176" t="n"/>
      <c r="DD5" s="176" t="n"/>
      <c r="DE5" s="176" t="n"/>
      <c r="DF5" s="176" t="n"/>
      <c r="DG5" s="176" t="n"/>
      <c r="DH5" s="176" t="n"/>
      <c r="DI5" s="176" t="n"/>
      <c r="DJ5" s="176" t="n"/>
      <c r="DK5" s="176" t="n"/>
      <c r="DL5" s="176" t="n"/>
      <c r="DM5" s="176" t="n"/>
      <c r="DN5" s="176" t="n"/>
      <c r="DO5" s="176" t="n"/>
      <c r="DP5" s="176" t="n"/>
      <c r="DQ5" s="176" t="n"/>
      <c r="DR5" s="176" t="n"/>
      <c r="DS5" s="176" t="n"/>
      <c r="DT5" s="176" t="n"/>
      <c r="DU5" s="176" t="n"/>
      <c r="DV5" s="176" t="n"/>
      <c r="DW5" s="176" t="n"/>
      <c r="DX5" s="176" t="n"/>
      <c r="DY5" s="176" t="n"/>
      <c r="DZ5" s="176" t="n"/>
      <c r="EA5" s="176" t="n"/>
      <c r="EB5" s="176" t="n"/>
      <c r="EC5" s="176" t="n"/>
      <c r="ED5" s="176" t="n"/>
      <c r="EE5" s="176" t="n"/>
      <c r="EF5" s="176" t="n"/>
      <c r="EG5" s="176" t="n"/>
      <c r="EH5" s="176" t="n"/>
      <c r="EI5" s="176" t="n"/>
      <c r="EJ5" s="176" t="n"/>
      <c r="EK5" s="176" t="n"/>
      <c r="EL5" s="176" t="n"/>
      <c r="EM5" s="176" t="n"/>
      <c r="EN5" s="176" t="n"/>
      <c r="EO5" s="176" t="n"/>
      <c r="EP5" s="176" t="n"/>
      <c r="EQ5" s="176" t="n"/>
      <c r="ER5" s="176" t="n"/>
      <c r="ES5" s="176" t="n"/>
      <c r="ET5" s="176" t="n"/>
      <c r="EU5" s="176" t="n"/>
      <c r="EV5" s="176" t="n"/>
      <c r="EW5" s="176" t="n"/>
      <c r="EX5" s="176" t="n"/>
      <c r="EY5" s="176" t="n"/>
      <c r="EZ5" s="176" t="n"/>
      <c r="FA5" s="176" t="n"/>
      <c r="FB5" s="176" t="n"/>
      <c r="FC5" s="176" t="n"/>
      <c r="FD5" s="176" t="n"/>
      <c r="FE5" s="176" t="n"/>
      <c r="FF5" s="176" t="n"/>
      <c r="FG5" s="176" t="n"/>
      <c r="FH5" s="176" t="n"/>
      <c r="FI5" s="176" t="n"/>
      <c r="FJ5" s="176" t="n"/>
      <c r="FK5" s="176" t="n"/>
      <c r="FL5" s="176" t="n"/>
      <c r="FM5" s="176" t="n"/>
      <c r="FN5" s="176" t="n"/>
      <c r="FO5" s="176" t="n"/>
      <c r="FP5" s="176" t="n"/>
      <c r="FQ5" s="176" t="n"/>
      <c r="FR5" s="176" t="n"/>
      <c r="FS5" s="176" t="n"/>
      <c r="FT5" s="176" t="n"/>
      <c r="FU5" s="176" t="n"/>
      <c r="FV5" s="176" t="n"/>
      <c r="FW5" s="176" t="n"/>
      <c r="FX5" s="176" t="n"/>
      <c r="FY5" s="176" t="n"/>
      <c r="FZ5" s="176" t="n"/>
      <c r="GA5" s="176" t="n"/>
      <c r="GB5" s="176" t="n"/>
      <c r="GC5" s="176" t="n"/>
      <c r="GD5" s="176" t="n"/>
      <c r="GE5" s="176" t="n"/>
      <c r="GF5" s="176" t="n"/>
      <c r="GG5" s="176" t="n"/>
      <c r="GH5" s="176" t="n"/>
      <c r="GI5" s="176" t="n"/>
      <c r="GJ5" s="176" t="n"/>
      <c r="GK5" s="176" t="n"/>
      <c r="GL5" s="176" t="n"/>
      <c r="GM5" s="176" t="n"/>
      <c r="GN5" s="176" t="n"/>
      <c r="GO5" s="176" t="n"/>
      <c r="GP5" s="176" t="n"/>
      <c r="GQ5" s="176" t="n"/>
      <c r="GR5" s="176" t="n"/>
      <c r="GS5" s="176" t="n"/>
      <c r="GT5" s="176" t="n"/>
      <c r="GU5" s="176" t="n"/>
      <c r="GV5" s="176" t="n"/>
      <c r="GW5" s="176" t="n"/>
      <c r="GX5" s="176" t="n"/>
      <c r="GY5" s="176" t="n"/>
      <c r="GZ5" s="176" t="n"/>
      <c r="HA5" s="176" t="n"/>
      <c r="HB5" s="176" t="n"/>
      <c r="HC5" s="176" t="n"/>
      <c r="HD5" s="176" t="n"/>
      <c r="HE5" s="176" t="n"/>
      <c r="HF5" s="176" t="n"/>
      <c r="HG5" s="176" t="n"/>
      <c r="HH5" s="176" t="n"/>
      <c r="HI5" s="176" t="n"/>
      <c r="HJ5" s="176" t="n"/>
      <c r="HK5" s="176" t="n"/>
      <c r="HL5" s="176" t="n"/>
      <c r="HM5" s="176" t="n"/>
      <c r="HN5" s="176" t="n"/>
      <c r="HO5" s="176" t="n"/>
      <c r="HP5" s="176" t="n"/>
      <c r="HQ5" s="176" t="n"/>
      <c r="HR5" s="176" t="n"/>
      <c r="HS5" s="176" t="n"/>
      <c r="HT5" s="176" t="n"/>
      <c r="HU5" s="176" t="n"/>
      <c r="HV5" s="176" t="n"/>
      <c r="HW5" s="176" t="n"/>
      <c r="HX5" s="176" t="n"/>
      <c r="HY5" s="176" t="n"/>
      <c r="HZ5" s="176" t="n"/>
      <c r="IA5" s="176" t="n"/>
      <c r="IB5" s="176" t="n"/>
      <c r="IC5" s="176" t="n"/>
      <c r="ID5" s="176" t="n"/>
      <c r="IE5" s="176" t="n"/>
      <c r="IF5" s="176" t="n"/>
      <c r="IG5" s="176" t="n"/>
      <c r="IH5" s="176" t="n"/>
      <c r="II5" s="176" t="n"/>
      <c r="IJ5" s="176" t="n"/>
      <c r="IK5" s="176" t="n"/>
      <c r="IL5" s="176" t="n"/>
      <c r="IM5" s="176" t="n"/>
      <c r="IN5" s="176" t="n"/>
      <c r="IO5" s="176" t="n"/>
      <c r="IP5" s="176" t="n"/>
      <c r="IQ5" s="176" t="n"/>
      <c r="IR5" s="176" t="n"/>
      <c r="IS5" s="176" t="n"/>
      <c r="IT5" s="176" t="n"/>
      <c r="IU5" s="176" t="n"/>
      <c r="IV5" s="176" t="n"/>
      <c r="IW5" s="176" t="n"/>
      <c r="IX5" s="176" t="n"/>
      <c r="IY5" s="176" t="n"/>
      <c r="IZ5" s="176" t="n"/>
      <c r="JA5" s="176" t="n"/>
      <c r="JB5" s="176" t="n"/>
      <c r="JC5" s="176" t="n"/>
      <c r="JD5" s="176" t="n"/>
      <c r="JE5" s="176" t="n"/>
      <c r="JF5" s="176" t="n"/>
      <c r="JG5" s="176" t="n"/>
      <c r="JH5" s="176" t="n"/>
      <c r="JI5" s="176" t="n"/>
      <c r="JJ5" s="176" t="n"/>
      <c r="JK5" s="176" t="n"/>
      <c r="JL5" s="176" t="n"/>
      <c r="JM5" s="176" t="n"/>
      <c r="JN5" s="176" t="n"/>
      <c r="JO5" s="176" t="n"/>
      <c r="JP5" s="176" t="n"/>
      <c r="JQ5" s="176" t="n"/>
      <c r="JR5" s="176" t="n"/>
      <c r="JS5" s="176" t="n"/>
      <c r="JT5" s="176" t="n"/>
      <c r="JU5" s="176" t="n"/>
      <c r="JV5" s="176" t="n"/>
      <c r="JW5" s="176" t="n"/>
      <c r="JX5" s="176" t="n"/>
      <c r="JY5" s="176" t="n"/>
      <c r="JZ5" s="176" t="n"/>
      <c r="KA5" s="176" t="n"/>
      <c r="KB5" s="176" t="n"/>
      <c r="KC5" s="176" t="n"/>
      <c r="KD5" s="176" t="n"/>
      <c r="KE5" s="176" t="n"/>
      <c r="KF5" s="176" t="n"/>
      <c r="KG5" s="176" t="n"/>
      <c r="KH5" s="176" t="n"/>
      <c r="KI5" s="176" t="n"/>
      <c r="KJ5" s="176" t="n"/>
      <c r="KK5" s="176" t="n"/>
      <c r="KL5" s="176" t="n"/>
      <c r="KM5" s="176" t="n"/>
      <c r="KN5" s="176" t="n"/>
      <c r="KO5" s="176" t="n"/>
      <c r="KP5" s="176" t="n"/>
    </row>
    <row r="6" ht="16" customHeight="1" s="133">
      <c r="A6" s="177" t="inlineStr">
        <is>
          <t>Production (MWh)</t>
        </is>
      </c>
      <c r="B6" s="178" t="inlineStr">
        <is>
          <t>MWh</t>
        </is>
      </c>
      <c r="C6" s="179">
        <f>Assumptions!$E$16*(1-Assumptions!$E$23)^0</f>
        <v/>
      </c>
      <c r="D6" s="179">
        <f>Assumptions!$E$16*(1-Assumptions!$E$23)^0</f>
        <v/>
      </c>
      <c r="E6" s="179">
        <f>Assumptions!$E$16*(1-Assumptions!$E$23)^0</f>
        <v/>
      </c>
      <c r="F6" s="179">
        <f>Assumptions!$E$16*(1-Assumptions!$E$23)^0</f>
        <v/>
      </c>
      <c r="G6" s="179">
        <f>Assumptions!$E$16*(1-Assumptions!$E$23)^0</f>
        <v/>
      </c>
      <c r="H6" s="179">
        <f>Assumptions!$E$16*(1-Assumptions!$E$23)^0</f>
        <v/>
      </c>
      <c r="I6" s="179">
        <f>Assumptions!$E$16*(1-Assumptions!$E$23)^0</f>
        <v/>
      </c>
      <c r="J6" s="179">
        <f>Assumptions!$E$16*(1-Assumptions!$E$23)^0</f>
        <v/>
      </c>
      <c r="K6" s="179">
        <f>Assumptions!$E$16*(1-Assumptions!$E$23)^0</f>
        <v/>
      </c>
      <c r="L6" s="179">
        <f>Assumptions!$E$16*(1-Assumptions!$E$23)^0</f>
        <v/>
      </c>
      <c r="M6" s="179">
        <f>Assumptions!$E$16*(1-Assumptions!$E$23)^0</f>
        <v/>
      </c>
      <c r="N6" s="179">
        <f>Assumptions!$E$16*(1-Assumptions!$E$23)^0</f>
        <v/>
      </c>
      <c r="O6" s="179">
        <f>Assumptions!$E$16*(1-Assumptions!$E$23)^1</f>
        <v/>
      </c>
      <c r="P6" s="179">
        <f>Assumptions!$E$16*(1-Assumptions!$E$23)^1</f>
        <v/>
      </c>
      <c r="Q6" s="179">
        <f>Assumptions!$E$16*(1-Assumptions!$E$23)^1</f>
        <v/>
      </c>
      <c r="R6" s="179">
        <f>Assumptions!$E$16*(1-Assumptions!$E$23)^1</f>
        <v/>
      </c>
      <c r="S6" s="179">
        <f>Assumptions!$E$16*(1-Assumptions!$E$23)^1</f>
        <v/>
      </c>
      <c r="T6" s="179">
        <f>Assumptions!$E$16*(1-Assumptions!$E$23)^1</f>
        <v/>
      </c>
      <c r="U6" s="179">
        <f>Assumptions!$E$16*(1-Assumptions!$E$23)^1</f>
        <v/>
      </c>
      <c r="V6" s="179">
        <f>Assumptions!$E$16*(1-Assumptions!$E$23)^1</f>
        <v/>
      </c>
      <c r="W6" s="179">
        <f>Assumptions!$E$16*(1-Assumptions!$E$23)^1</f>
        <v/>
      </c>
      <c r="X6" s="179">
        <f>Assumptions!$E$16*(1-Assumptions!$E$23)^1</f>
        <v/>
      </c>
      <c r="Y6" s="179">
        <f>Assumptions!$E$16*(1-Assumptions!$E$23)^1</f>
        <v/>
      </c>
      <c r="Z6" s="179">
        <f>Assumptions!$E$16*(1-Assumptions!$E$23)^1</f>
        <v/>
      </c>
      <c r="AA6" s="179">
        <f>Assumptions!$E$16*(1-Assumptions!$E$23)^2</f>
        <v/>
      </c>
      <c r="AB6" s="179">
        <f>Assumptions!$E$16*(1-Assumptions!$E$23)^2</f>
        <v/>
      </c>
      <c r="AC6" s="179">
        <f>Assumptions!$E$16*(1-Assumptions!$E$23)^2</f>
        <v/>
      </c>
      <c r="AD6" s="179">
        <f>Assumptions!$E$16*(1-Assumptions!$E$23)^2</f>
        <v/>
      </c>
      <c r="AE6" s="179">
        <f>Assumptions!$E$16*(1-Assumptions!$E$23)^2</f>
        <v/>
      </c>
      <c r="AF6" s="179">
        <f>Assumptions!$E$16*(1-Assumptions!$E$23)^2</f>
        <v/>
      </c>
      <c r="AG6" s="179">
        <f>Assumptions!$E$16*(1-Assumptions!$E$23)^2</f>
        <v/>
      </c>
      <c r="AH6" s="179">
        <f>Assumptions!$E$16*(1-Assumptions!$E$23)^2</f>
        <v/>
      </c>
      <c r="AI6" s="179">
        <f>Assumptions!$E$16*(1-Assumptions!$E$23)^2</f>
        <v/>
      </c>
      <c r="AJ6" s="179">
        <f>Assumptions!$E$16*(1-Assumptions!$E$23)^2</f>
        <v/>
      </c>
      <c r="AK6" s="179">
        <f>Assumptions!$E$16*(1-Assumptions!$E$23)^2</f>
        <v/>
      </c>
      <c r="AL6" s="179">
        <f>Assumptions!$E$16*(1-Assumptions!$E$23)^2</f>
        <v/>
      </c>
      <c r="AM6" s="179">
        <f>Assumptions!$E$16*(1-Assumptions!$E$23)^3</f>
        <v/>
      </c>
      <c r="AN6" s="179">
        <f>Assumptions!$E$16*(1-Assumptions!$E$23)^3</f>
        <v/>
      </c>
      <c r="AO6" s="179">
        <f>Assumptions!$E$16*(1-Assumptions!$E$23)^3</f>
        <v/>
      </c>
      <c r="AP6" s="179">
        <f>Assumptions!$E$16*(1-Assumptions!$E$23)^3</f>
        <v/>
      </c>
      <c r="AQ6" s="179">
        <f>Assumptions!$E$16*(1-Assumptions!$E$23)^3</f>
        <v/>
      </c>
      <c r="AR6" s="179">
        <f>Assumptions!$E$16*(1-Assumptions!$E$23)^3</f>
        <v/>
      </c>
      <c r="AS6" s="179">
        <f>Assumptions!$E$16*(1-Assumptions!$E$23)^3</f>
        <v/>
      </c>
      <c r="AT6" s="179">
        <f>Assumptions!$E$16*(1-Assumptions!$E$23)^3</f>
        <v/>
      </c>
      <c r="AU6" s="179">
        <f>Assumptions!$E$16*(1-Assumptions!$E$23)^3</f>
        <v/>
      </c>
      <c r="AV6" s="179">
        <f>Assumptions!$E$16*(1-Assumptions!$E$23)^3</f>
        <v/>
      </c>
      <c r="AW6" s="179">
        <f>Assumptions!$E$16*(1-Assumptions!$E$23)^3</f>
        <v/>
      </c>
      <c r="AX6" s="179">
        <f>Assumptions!$E$16*(1-Assumptions!$E$23)^3</f>
        <v/>
      </c>
      <c r="AY6" s="179">
        <f>Assumptions!$E$16*(1-Assumptions!$E$23)^4</f>
        <v/>
      </c>
      <c r="AZ6" s="179">
        <f>Assumptions!$E$16*(1-Assumptions!$E$23)^4</f>
        <v/>
      </c>
      <c r="BA6" s="179">
        <f>Assumptions!$E$16*(1-Assumptions!$E$23)^4</f>
        <v/>
      </c>
      <c r="BB6" s="179">
        <f>Assumptions!$E$16*(1-Assumptions!$E$23)^4</f>
        <v/>
      </c>
      <c r="BC6" s="179">
        <f>Assumptions!$E$16*(1-Assumptions!$E$23)^4</f>
        <v/>
      </c>
      <c r="BD6" s="179">
        <f>Assumptions!$E$16*(1-Assumptions!$E$23)^4</f>
        <v/>
      </c>
      <c r="BE6" s="179">
        <f>Assumptions!$E$16*(1-Assumptions!$E$23)^4</f>
        <v/>
      </c>
      <c r="BF6" s="179">
        <f>Assumptions!$E$16*(1-Assumptions!$E$23)^4</f>
        <v/>
      </c>
      <c r="BG6" s="179">
        <f>Assumptions!$E$16*(1-Assumptions!$E$23)^4</f>
        <v/>
      </c>
      <c r="BH6" s="179">
        <f>Assumptions!$E$16*(1-Assumptions!$E$23)^4</f>
        <v/>
      </c>
      <c r="BI6" s="179">
        <f>Assumptions!$E$16*(1-Assumptions!$E$23)^4</f>
        <v/>
      </c>
      <c r="BJ6" s="179">
        <f>Assumptions!$E$16*(1-Assumptions!$E$23)^4</f>
        <v/>
      </c>
      <c r="BK6" s="179">
        <f>Assumptions!$E$16*(1-Assumptions!$E$23)^5</f>
        <v/>
      </c>
      <c r="BL6" s="179">
        <f>Assumptions!$E$16*(1-Assumptions!$E$23)^5</f>
        <v/>
      </c>
      <c r="BM6" s="179">
        <f>Assumptions!$E$16*(1-Assumptions!$E$23)^5</f>
        <v/>
      </c>
      <c r="BN6" s="179">
        <f>Assumptions!$E$16*(1-Assumptions!$E$23)^5</f>
        <v/>
      </c>
      <c r="BO6" s="179">
        <f>Assumptions!$E$16*(1-Assumptions!$E$23)^5</f>
        <v/>
      </c>
      <c r="BP6" s="179">
        <f>Assumptions!$E$16*(1-Assumptions!$E$23)^5</f>
        <v/>
      </c>
      <c r="BQ6" s="179">
        <f>Assumptions!$E$16*(1-Assumptions!$E$23)^5</f>
        <v/>
      </c>
      <c r="BR6" s="179">
        <f>Assumptions!$E$16*(1-Assumptions!$E$23)^5</f>
        <v/>
      </c>
      <c r="BS6" s="179">
        <f>Assumptions!$E$16*(1-Assumptions!$E$23)^5</f>
        <v/>
      </c>
      <c r="BT6" s="179">
        <f>Assumptions!$E$16*(1-Assumptions!$E$23)^5</f>
        <v/>
      </c>
      <c r="BU6" s="179">
        <f>Assumptions!$E$16*(1-Assumptions!$E$23)^5</f>
        <v/>
      </c>
      <c r="BV6" s="179">
        <f>Assumptions!$E$16*(1-Assumptions!$E$23)^5</f>
        <v/>
      </c>
      <c r="BW6" s="179">
        <f>Assumptions!$E$16*(1-Assumptions!$E$23)^6</f>
        <v/>
      </c>
      <c r="BX6" s="179">
        <f>Assumptions!$E$16*(1-Assumptions!$E$23)^6</f>
        <v/>
      </c>
      <c r="BY6" s="179">
        <f>Assumptions!$E$16*(1-Assumptions!$E$23)^6</f>
        <v/>
      </c>
      <c r="BZ6" s="179">
        <f>Assumptions!$E$16*(1-Assumptions!$E$23)^6</f>
        <v/>
      </c>
      <c r="CA6" s="179">
        <f>Assumptions!$E$16*(1-Assumptions!$E$23)^6</f>
        <v/>
      </c>
      <c r="CB6" s="179">
        <f>Assumptions!$E$16*(1-Assumptions!$E$23)^6</f>
        <v/>
      </c>
      <c r="CC6" s="179">
        <f>Assumptions!$E$16*(1-Assumptions!$E$23)^6</f>
        <v/>
      </c>
      <c r="CD6" s="179">
        <f>Assumptions!$E$16*(1-Assumptions!$E$23)^6</f>
        <v/>
      </c>
      <c r="CE6" s="179">
        <f>Assumptions!$E$16*(1-Assumptions!$E$23)^6</f>
        <v/>
      </c>
      <c r="CF6" s="179">
        <f>Assumptions!$E$16*(1-Assumptions!$E$23)^6</f>
        <v/>
      </c>
      <c r="CG6" s="179">
        <f>Assumptions!$E$16*(1-Assumptions!$E$23)^6</f>
        <v/>
      </c>
      <c r="CH6" s="179">
        <f>Assumptions!$E$16*(1-Assumptions!$E$23)^6</f>
        <v/>
      </c>
      <c r="CI6" s="179">
        <f>Assumptions!$E$16*(1-Assumptions!$E$23)^7</f>
        <v/>
      </c>
      <c r="CJ6" s="179">
        <f>Assumptions!$E$16*(1-Assumptions!$E$23)^7</f>
        <v/>
      </c>
      <c r="CK6" s="179">
        <f>Assumptions!$E$16*(1-Assumptions!$E$23)^7</f>
        <v/>
      </c>
      <c r="CL6" s="179">
        <f>Assumptions!$E$16*(1-Assumptions!$E$23)^7</f>
        <v/>
      </c>
      <c r="CM6" s="179">
        <f>Assumptions!$E$16*(1-Assumptions!$E$23)^7</f>
        <v/>
      </c>
      <c r="CN6" s="179">
        <f>Assumptions!$E$16*(1-Assumptions!$E$23)^7</f>
        <v/>
      </c>
      <c r="CO6" s="179">
        <f>Assumptions!$E$16*(1-Assumptions!$E$23)^7</f>
        <v/>
      </c>
      <c r="CP6" s="179">
        <f>Assumptions!$E$16*(1-Assumptions!$E$23)^7</f>
        <v/>
      </c>
      <c r="CQ6" s="179">
        <f>Assumptions!$E$16*(1-Assumptions!$E$23)^7</f>
        <v/>
      </c>
      <c r="CR6" s="179">
        <f>Assumptions!$E$16*(1-Assumptions!$E$23)^7</f>
        <v/>
      </c>
      <c r="CS6" s="179">
        <f>Assumptions!$E$16*(1-Assumptions!$E$23)^7</f>
        <v/>
      </c>
      <c r="CT6" s="179">
        <f>Assumptions!$E$16*(1-Assumptions!$E$23)^7</f>
        <v/>
      </c>
      <c r="CU6" s="179">
        <f>Assumptions!$E$16*(1-Assumptions!$E$23)^8</f>
        <v/>
      </c>
      <c r="CV6" s="179">
        <f>Assumptions!$E$16*(1-Assumptions!$E$23)^8</f>
        <v/>
      </c>
      <c r="CW6" s="179">
        <f>Assumptions!$E$16*(1-Assumptions!$E$23)^8</f>
        <v/>
      </c>
      <c r="CX6" s="179">
        <f>Assumptions!$E$16*(1-Assumptions!$E$23)^8</f>
        <v/>
      </c>
      <c r="CY6" s="179">
        <f>Assumptions!$E$16*(1-Assumptions!$E$23)^8</f>
        <v/>
      </c>
      <c r="CZ6" s="179">
        <f>Assumptions!$E$16*(1-Assumptions!$E$23)^8</f>
        <v/>
      </c>
      <c r="DA6" s="179">
        <f>Assumptions!$E$16*(1-Assumptions!$E$23)^8</f>
        <v/>
      </c>
      <c r="DB6" s="179">
        <f>Assumptions!$E$16*(1-Assumptions!$E$23)^8</f>
        <v/>
      </c>
      <c r="DC6" s="179">
        <f>Assumptions!$E$16*(1-Assumptions!$E$23)^8</f>
        <v/>
      </c>
      <c r="DD6" s="179">
        <f>Assumptions!$E$16*(1-Assumptions!$E$23)^8</f>
        <v/>
      </c>
      <c r="DE6" s="179">
        <f>Assumptions!$E$16*(1-Assumptions!$E$23)^8</f>
        <v/>
      </c>
      <c r="DF6" s="179">
        <f>Assumptions!$E$16*(1-Assumptions!$E$23)^8</f>
        <v/>
      </c>
      <c r="DG6" s="179">
        <f>Assumptions!$E$16*(1-Assumptions!$E$23)^9</f>
        <v/>
      </c>
      <c r="DH6" s="179">
        <f>Assumptions!$E$16*(1-Assumptions!$E$23)^9</f>
        <v/>
      </c>
      <c r="DI6" s="179">
        <f>Assumptions!$E$16*(1-Assumptions!$E$23)^9</f>
        <v/>
      </c>
      <c r="DJ6" s="179">
        <f>Assumptions!$E$16*(1-Assumptions!$E$23)^9</f>
        <v/>
      </c>
      <c r="DK6" s="179">
        <f>Assumptions!$E$16*(1-Assumptions!$E$23)^9</f>
        <v/>
      </c>
      <c r="DL6" s="179">
        <f>Assumptions!$E$16*(1-Assumptions!$E$23)^9</f>
        <v/>
      </c>
      <c r="DM6" s="179">
        <f>Assumptions!$E$16*(1-Assumptions!$E$23)^9</f>
        <v/>
      </c>
      <c r="DN6" s="179">
        <f>Assumptions!$E$16*(1-Assumptions!$E$23)^9</f>
        <v/>
      </c>
      <c r="DO6" s="179">
        <f>Assumptions!$E$16*(1-Assumptions!$E$23)^9</f>
        <v/>
      </c>
      <c r="DP6" s="179">
        <f>Assumptions!$E$16*(1-Assumptions!$E$23)^9</f>
        <v/>
      </c>
      <c r="DQ6" s="179">
        <f>Assumptions!$E$16*(1-Assumptions!$E$23)^9</f>
        <v/>
      </c>
      <c r="DR6" s="179">
        <f>Assumptions!$E$16*(1-Assumptions!$E$23)^9</f>
        <v/>
      </c>
      <c r="DS6" s="179">
        <f>Assumptions!$E$16*(1-Assumptions!$E$23)^10</f>
        <v/>
      </c>
      <c r="DT6" s="179">
        <f>Assumptions!$E$16*(1-Assumptions!$E$23)^10</f>
        <v/>
      </c>
      <c r="DU6" s="179">
        <f>Assumptions!$E$16*(1-Assumptions!$E$23)^10</f>
        <v/>
      </c>
      <c r="DV6" s="179">
        <f>Assumptions!$E$16*(1-Assumptions!$E$23)^10</f>
        <v/>
      </c>
      <c r="DW6" s="179">
        <f>Assumptions!$E$16*(1-Assumptions!$E$23)^10</f>
        <v/>
      </c>
      <c r="DX6" s="179">
        <f>Assumptions!$E$16*(1-Assumptions!$E$23)^10</f>
        <v/>
      </c>
      <c r="DY6" s="179">
        <f>Assumptions!$E$16*(1-Assumptions!$E$23)^10</f>
        <v/>
      </c>
      <c r="DZ6" s="179">
        <f>Assumptions!$E$16*(1-Assumptions!$E$23)^10</f>
        <v/>
      </c>
      <c r="EA6" s="179">
        <f>Assumptions!$E$16*(1-Assumptions!$E$23)^10</f>
        <v/>
      </c>
      <c r="EB6" s="179">
        <f>Assumptions!$E$16*(1-Assumptions!$E$23)^10</f>
        <v/>
      </c>
      <c r="EC6" s="179">
        <f>Assumptions!$E$16*(1-Assumptions!$E$23)^10</f>
        <v/>
      </c>
      <c r="ED6" s="179">
        <f>Assumptions!$E$16*(1-Assumptions!$E$23)^10</f>
        <v/>
      </c>
      <c r="EE6" s="179">
        <f>Assumptions!$E$16*(1-Assumptions!$E$23)^11</f>
        <v/>
      </c>
      <c r="EF6" s="179">
        <f>Assumptions!$E$16*(1-Assumptions!$E$23)^11</f>
        <v/>
      </c>
      <c r="EG6" s="179">
        <f>Assumptions!$E$16*(1-Assumptions!$E$23)^11</f>
        <v/>
      </c>
      <c r="EH6" s="179">
        <f>Assumptions!$E$16*(1-Assumptions!$E$23)^11</f>
        <v/>
      </c>
      <c r="EI6" s="179">
        <f>Assumptions!$E$16*(1-Assumptions!$E$23)^11</f>
        <v/>
      </c>
      <c r="EJ6" s="179">
        <f>Assumptions!$E$16*(1-Assumptions!$E$23)^11</f>
        <v/>
      </c>
      <c r="EK6" s="179">
        <f>Assumptions!$E$16*(1-Assumptions!$E$23)^11</f>
        <v/>
      </c>
      <c r="EL6" s="179">
        <f>Assumptions!$E$16*(1-Assumptions!$E$23)^11</f>
        <v/>
      </c>
      <c r="EM6" s="179">
        <f>Assumptions!$E$16*(1-Assumptions!$E$23)^11</f>
        <v/>
      </c>
      <c r="EN6" s="179">
        <f>Assumptions!$E$16*(1-Assumptions!$E$23)^11</f>
        <v/>
      </c>
      <c r="EO6" s="179">
        <f>Assumptions!$E$16*(1-Assumptions!$E$23)^11</f>
        <v/>
      </c>
      <c r="EP6" s="179">
        <f>Assumptions!$E$16*(1-Assumptions!$E$23)^11</f>
        <v/>
      </c>
      <c r="EQ6" s="179">
        <f>Assumptions!$E$16*(1-Assumptions!$E$23)^12</f>
        <v/>
      </c>
      <c r="ER6" s="179">
        <f>Assumptions!$E$16*(1-Assumptions!$E$23)^12</f>
        <v/>
      </c>
      <c r="ES6" s="179">
        <f>Assumptions!$E$16*(1-Assumptions!$E$23)^12</f>
        <v/>
      </c>
      <c r="ET6" s="179">
        <f>Assumptions!$E$16*(1-Assumptions!$E$23)^12</f>
        <v/>
      </c>
      <c r="EU6" s="179">
        <f>Assumptions!$E$16*(1-Assumptions!$E$23)^12</f>
        <v/>
      </c>
      <c r="EV6" s="179">
        <f>Assumptions!$E$16*(1-Assumptions!$E$23)^12</f>
        <v/>
      </c>
      <c r="EW6" s="179">
        <f>Assumptions!$E$16*(1-Assumptions!$E$23)^12</f>
        <v/>
      </c>
      <c r="EX6" s="179">
        <f>Assumptions!$E$16*(1-Assumptions!$E$23)^12</f>
        <v/>
      </c>
      <c r="EY6" s="179">
        <f>Assumptions!$E$16*(1-Assumptions!$E$23)^12</f>
        <v/>
      </c>
      <c r="EZ6" s="179">
        <f>Assumptions!$E$16*(1-Assumptions!$E$23)^12</f>
        <v/>
      </c>
      <c r="FA6" s="179">
        <f>Assumptions!$E$16*(1-Assumptions!$E$23)^12</f>
        <v/>
      </c>
      <c r="FB6" s="179">
        <f>Assumptions!$E$16*(1-Assumptions!$E$23)^12</f>
        <v/>
      </c>
      <c r="FC6" s="179">
        <f>Assumptions!$E$16*(1-Assumptions!$E$23)^13</f>
        <v/>
      </c>
      <c r="FD6" s="179">
        <f>Assumptions!$E$16*(1-Assumptions!$E$23)^13</f>
        <v/>
      </c>
      <c r="FE6" s="179">
        <f>Assumptions!$E$16*(1-Assumptions!$E$23)^13</f>
        <v/>
      </c>
      <c r="FF6" s="179">
        <f>Assumptions!$E$16*(1-Assumptions!$E$23)^13</f>
        <v/>
      </c>
      <c r="FG6" s="179">
        <f>Assumptions!$E$16*(1-Assumptions!$E$23)^13</f>
        <v/>
      </c>
      <c r="FH6" s="179">
        <f>Assumptions!$E$16*(1-Assumptions!$E$23)^13</f>
        <v/>
      </c>
      <c r="FI6" s="179">
        <f>Assumptions!$E$16*(1-Assumptions!$E$23)^13</f>
        <v/>
      </c>
      <c r="FJ6" s="179">
        <f>Assumptions!$E$16*(1-Assumptions!$E$23)^13</f>
        <v/>
      </c>
      <c r="FK6" s="179">
        <f>Assumptions!$E$16*(1-Assumptions!$E$23)^13</f>
        <v/>
      </c>
      <c r="FL6" s="179">
        <f>Assumptions!$E$16*(1-Assumptions!$E$23)^13</f>
        <v/>
      </c>
      <c r="FM6" s="179">
        <f>Assumptions!$E$16*(1-Assumptions!$E$23)^13</f>
        <v/>
      </c>
      <c r="FN6" s="179">
        <f>Assumptions!$E$16*(1-Assumptions!$E$23)^13</f>
        <v/>
      </c>
      <c r="FO6" s="179">
        <f>Assumptions!$E$16*(1-Assumptions!$E$23)^14</f>
        <v/>
      </c>
      <c r="FP6" s="179">
        <f>Assumptions!$E$16*(1-Assumptions!$E$23)^14</f>
        <v/>
      </c>
      <c r="FQ6" s="179">
        <f>Assumptions!$E$16*(1-Assumptions!$E$23)^14</f>
        <v/>
      </c>
      <c r="FR6" s="179">
        <f>Assumptions!$E$16*(1-Assumptions!$E$23)^14</f>
        <v/>
      </c>
      <c r="FS6" s="179">
        <f>Assumptions!$E$16*(1-Assumptions!$E$23)^14</f>
        <v/>
      </c>
      <c r="FT6" s="179">
        <f>Assumptions!$E$16*(1-Assumptions!$E$23)^14</f>
        <v/>
      </c>
      <c r="FU6" s="179">
        <f>Assumptions!$E$16*(1-Assumptions!$E$23)^14</f>
        <v/>
      </c>
      <c r="FV6" s="179">
        <f>Assumptions!$E$16*(1-Assumptions!$E$23)^14</f>
        <v/>
      </c>
      <c r="FW6" s="179">
        <f>Assumptions!$E$16*(1-Assumptions!$E$23)^14</f>
        <v/>
      </c>
      <c r="FX6" s="179">
        <f>Assumptions!$E$16*(1-Assumptions!$E$23)^14</f>
        <v/>
      </c>
      <c r="FY6" s="179">
        <f>Assumptions!$E$16*(1-Assumptions!$E$23)^14</f>
        <v/>
      </c>
      <c r="FZ6" s="179">
        <f>Assumptions!$E$16*(1-Assumptions!$E$23)^14</f>
        <v/>
      </c>
      <c r="GA6" s="179">
        <f>Assumptions!$E$16*(1-Assumptions!$E$23)^15</f>
        <v/>
      </c>
      <c r="GB6" s="179">
        <f>Assumptions!$E$16*(1-Assumptions!$E$23)^15</f>
        <v/>
      </c>
      <c r="GC6" s="179">
        <f>Assumptions!$E$16*(1-Assumptions!$E$23)^15</f>
        <v/>
      </c>
      <c r="GD6" s="179">
        <f>Assumptions!$E$16*(1-Assumptions!$E$23)^15</f>
        <v/>
      </c>
      <c r="GE6" s="179">
        <f>Assumptions!$E$16*(1-Assumptions!$E$23)^15</f>
        <v/>
      </c>
      <c r="GF6" s="179">
        <f>Assumptions!$E$16*(1-Assumptions!$E$23)^15</f>
        <v/>
      </c>
      <c r="GG6" s="179">
        <f>Assumptions!$E$16*(1-Assumptions!$E$23)^15</f>
        <v/>
      </c>
      <c r="GH6" s="179">
        <f>Assumptions!$E$16*(1-Assumptions!$E$23)^15</f>
        <v/>
      </c>
      <c r="GI6" s="179">
        <f>Assumptions!$E$16*(1-Assumptions!$E$23)^15</f>
        <v/>
      </c>
      <c r="GJ6" s="179">
        <f>Assumptions!$E$16*(1-Assumptions!$E$23)^15</f>
        <v/>
      </c>
      <c r="GK6" s="179">
        <f>Assumptions!$E$16*(1-Assumptions!$E$23)^15</f>
        <v/>
      </c>
      <c r="GL6" s="179">
        <f>Assumptions!$E$16*(1-Assumptions!$E$23)^15</f>
        <v/>
      </c>
      <c r="GM6" s="179">
        <f>Assumptions!$E$16*(1-Assumptions!$E$23)^16</f>
        <v/>
      </c>
      <c r="GN6" s="179">
        <f>Assumptions!$E$16*(1-Assumptions!$E$23)^16</f>
        <v/>
      </c>
      <c r="GO6" s="179">
        <f>Assumptions!$E$16*(1-Assumptions!$E$23)^16</f>
        <v/>
      </c>
      <c r="GP6" s="179">
        <f>Assumptions!$E$16*(1-Assumptions!$E$23)^16</f>
        <v/>
      </c>
      <c r="GQ6" s="179">
        <f>Assumptions!$E$16*(1-Assumptions!$E$23)^16</f>
        <v/>
      </c>
      <c r="GR6" s="179">
        <f>Assumptions!$E$16*(1-Assumptions!$E$23)^16</f>
        <v/>
      </c>
      <c r="GS6" s="179">
        <f>Assumptions!$E$16*(1-Assumptions!$E$23)^16</f>
        <v/>
      </c>
      <c r="GT6" s="179">
        <f>Assumptions!$E$16*(1-Assumptions!$E$23)^16</f>
        <v/>
      </c>
      <c r="GU6" s="179">
        <f>Assumptions!$E$16*(1-Assumptions!$E$23)^16</f>
        <v/>
      </c>
      <c r="GV6" s="179">
        <f>Assumptions!$E$16*(1-Assumptions!$E$23)^16</f>
        <v/>
      </c>
      <c r="GW6" s="179">
        <f>Assumptions!$E$16*(1-Assumptions!$E$23)^16</f>
        <v/>
      </c>
      <c r="GX6" s="179">
        <f>Assumptions!$E$16*(1-Assumptions!$E$23)^16</f>
        <v/>
      </c>
      <c r="GY6" s="179">
        <f>Assumptions!$E$16*(1-Assumptions!$E$23)^17</f>
        <v/>
      </c>
      <c r="GZ6" s="179">
        <f>Assumptions!$E$16*(1-Assumptions!$E$23)^17</f>
        <v/>
      </c>
      <c r="HA6" s="179">
        <f>Assumptions!$E$16*(1-Assumptions!$E$23)^17</f>
        <v/>
      </c>
      <c r="HB6" s="179">
        <f>Assumptions!$E$16*(1-Assumptions!$E$23)^17</f>
        <v/>
      </c>
      <c r="HC6" s="179">
        <f>Assumptions!$E$16*(1-Assumptions!$E$23)^17</f>
        <v/>
      </c>
      <c r="HD6" s="179">
        <f>Assumptions!$E$16*(1-Assumptions!$E$23)^17</f>
        <v/>
      </c>
      <c r="HE6" s="179">
        <f>Assumptions!$E$16*(1-Assumptions!$E$23)^17</f>
        <v/>
      </c>
      <c r="HF6" s="179">
        <f>Assumptions!$E$16*(1-Assumptions!$E$23)^17</f>
        <v/>
      </c>
      <c r="HG6" s="179">
        <f>Assumptions!$E$16*(1-Assumptions!$E$23)^17</f>
        <v/>
      </c>
      <c r="HH6" s="179">
        <f>Assumptions!$E$16*(1-Assumptions!$E$23)^17</f>
        <v/>
      </c>
      <c r="HI6" s="179">
        <f>Assumptions!$E$16*(1-Assumptions!$E$23)^17</f>
        <v/>
      </c>
      <c r="HJ6" s="179">
        <f>Assumptions!$E$16*(1-Assumptions!$E$23)^17</f>
        <v/>
      </c>
      <c r="HK6" s="179">
        <f>Assumptions!$E$16*(1-Assumptions!$E$23)^18</f>
        <v/>
      </c>
      <c r="HL6" s="179">
        <f>Assumptions!$E$16*(1-Assumptions!$E$23)^18</f>
        <v/>
      </c>
      <c r="HM6" s="179">
        <f>Assumptions!$E$16*(1-Assumptions!$E$23)^18</f>
        <v/>
      </c>
      <c r="HN6" s="179">
        <f>Assumptions!$E$16*(1-Assumptions!$E$23)^18</f>
        <v/>
      </c>
      <c r="HO6" s="179">
        <f>Assumptions!$E$16*(1-Assumptions!$E$23)^18</f>
        <v/>
      </c>
      <c r="HP6" s="179">
        <f>Assumptions!$E$16*(1-Assumptions!$E$23)^18</f>
        <v/>
      </c>
      <c r="HQ6" s="179">
        <f>Assumptions!$E$16*(1-Assumptions!$E$23)^18</f>
        <v/>
      </c>
      <c r="HR6" s="179">
        <f>Assumptions!$E$16*(1-Assumptions!$E$23)^18</f>
        <v/>
      </c>
      <c r="HS6" s="179">
        <f>Assumptions!$E$16*(1-Assumptions!$E$23)^18</f>
        <v/>
      </c>
      <c r="HT6" s="179">
        <f>Assumptions!$E$16*(1-Assumptions!$E$23)^18</f>
        <v/>
      </c>
      <c r="HU6" s="179">
        <f>Assumptions!$E$16*(1-Assumptions!$E$23)^18</f>
        <v/>
      </c>
      <c r="HV6" s="179">
        <f>Assumptions!$E$16*(1-Assumptions!$E$23)^18</f>
        <v/>
      </c>
      <c r="HW6" s="179">
        <f>Assumptions!$E$16*(1-Assumptions!$E$23)^19</f>
        <v/>
      </c>
      <c r="HX6" s="179">
        <f>Assumptions!$E$16*(1-Assumptions!$E$23)^19</f>
        <v/>
      </c>
      <c r="HY6" s="179">
        <f>Assumptions!$E$16*(1-Assumptions!$E$23)^19</f>
        <v/>
      </c>
      <c r="HZ6" s="179">
        <f>Assumptions!$E$16*(1-Assumptions!$E$23)^19</f>
        <v/>
      </c>
      <c r="IA6" s="179">
        <f>Assumptions!$E$16*(1-Assumptions!$E$23)^19</f>
        <v/>
      </c>
      <c r="IB6" s="179">
        <f>Assumptions!$E$16*(1-Assumptions!$E$23)^19</f>
        <v/>
      </c>
      <c r="IC6" s="179">
        <f>Assumptions!$E$16*(1-Assumptions!$E$23)^19</f>
        <v/>
      </c>
      <c r="ID6" s="179">
        <f>Assumptions!$E$16*(1-Assumptions!$E$23)^19</f>
        <v/>
      </c>
      <c r="IE6" s="179">
        <f>Assumptions!$E$16*(1-Assumptions!$E$23)^19</f>
        <v/>
      </c>
      <c r="IF6" s="179">
        <f>Assumptions!$E$16*(1-Assumptions!$E$23)^19</f>
        <v/>
      </c>
      <c r="IG6" s="179">
        <f>Assumptions!$E$16*(1-Assumptions!$E$23)^19</f>
        <v/>
      </c>
      <c r="IH6" s="179">
        <f>Assumptions!$E$16*(1-Assumptions!$E$23)^19</f>
        <v/>
      </c>
      <c r="II6" s="179">
        <f>Assumptions!$E$16*(1-Assumptions!$E$23)^20</f>
        <v/>
      </c>
      <c r="IJ6" s="179">
        <f>Assumptions!$E$16*(1-Assumptions!$E$23)^20</f>
        <v/>
      </c>
      <c r="IK6" s="179">
        <f>Assumptions!$E$16*(1-Assumptions!$E$23)^20</f>
        <v/>
      </c>
      <c r="IL6" s="179">
        <f>Assumptions!$E$16*(1-Assumptions!$E$23)^20</f>
        <v/>
      </c>
      <c r="IM6" s="179">
        <f>Assumptions!$E$16*(1-Assumptions!$E$23)^20</f>
        <v/>
      </c>
      <c r="IN6" s="179">
        <f>Assumptions!$E$16*(1-Assumptions!$E$23)^20</f>
        <v/>
      </c>
      <c r="IO6" s="179">
        <f>Assumptions!$E$16*(1-Assumptions!$E$23)^20</f>
        <v/>
      </c>
      <c r="IP6" s="179">
        <f>Assumptions!$E$16*(1-Assumptions!$E$23)^20</f>
        <v/>
      </c>
      <c r="IQ6" s="179">
        <f>Assumptions!$E$16*(1-Assumptions!$E$23)^20</f>
        <v/>
      </c>
      <c r="IR6" s="179">
        <f>Assumptions!$E$16*(1-Assumptions!$E$23)^20</f>
        <v/>
      </c>
      <c r="IS6" s="179">
        <f>Assumptions!$E$16*(1-Assumptions!$E$23)^20</f>
        <v/>
      </c>
      <c r="IT6" s="179">
        <f>Assumptions!$E$16*(1-Assumptions!$E$23)^20</f>
        <v/>
      </c>
      <c r="IU6" s="179">
        <f>Assumptions!$E$16*(1-Assumptions!$E$23)^21</f>
        <v/>
      </c>
      <c r="IV6" s="179">
        <f>Assumptions!$E$16*(1-Assumptions!$E$23)^21</f>
        <v/>
      </c>
      <c r="IW6" s="179">
        <f>Assumptions!$E$16*(1-Assumptions!$E$23)^21</f>
        <v/>
      </c>
      <c r="IX6" s="179">
        <f>Assumptions!$E$16*(1-Assumptions!$E$23)^21</f>
        <v/>
      </c>
      <c r="IY6" s="179">
        <f>Assumptions!$E$16*(1-Assumptions!$E$23)^21</f>
        <v/>
      </c>
      <c r="IZ6" s="179">
        <f>Assumptions!$E$16*(1-Assumptions!$E$23)^21</f>
        <v/>
      </c>
      <c r="JA6" s="179">
        <f>Assumptions!$E$16*(1-Assumptions!$E$23)^21</f>
        <v/>
      </c>
      <c r="JB6" s="179">
        <f>Assumptions!$E$16*(1-Assumptions!$E$23)^21</f>
        <v/>
      </c>
      <c r="JC6" s="179">
        <f>Assumptions!$E$16*(1-Assumptions!$E$23)^21</f>
        <v/>
      </c>
      <c r="JD6" s="179">
        <f>Assumptions!$E$16*(1-Assumptions!$E$23)^21</f>
        <v/>
      </c>
      <c r="JE6" s="179">
        <f>Assumptions!$E$16*(1-Assumptions!$E$23)^21</f>
        <v/>
      </c>
      <c r="JF6" s="179">
        <f>Assumptions!$E$16*(1-Assumptions!$E$23)^21</f>
        <v/>
      </c>
      <c r="JG6" s="179">
        <f>Assumptions!$E$16*(1-Assumptions!$E$23)^22</f>
        <v/>
      </c>
      <c r="JH6" s="179">
        <f>Assumptions!$E$16*(1-Assumptions!$E$23)^22</f>
        <v/>
      </c>
      <c r="JI6" s="179">
        <f>Assumptions!$E$16*(1-Assumptions!$E$23)^22</f>
        <v/>
      </c>
      <c r="JJ6" s="179">
        <f>Assumptions!$E$16*(1-Assumptions!$E$23)^22</f>
        <v/>
      </c>
      <c r="JK6" s="179">
        <f>Assumptions!$E$16*(1-Assumptions!$E$23)^22</f>
        <v/>
      </c>
      <c r="JL6" s="179">
        <f>Assumptions!$E$16*(1-Assumptions!$E$23)^22</f>
        <v/>
      </c>
      <c r="JM6" s="179">
        <f>Assumptions!$E$16*(1-Assumptions!$E$23)^22</f>
        <v/>
      </c>
      <c r="JN6" s="179">
        <f>Assumptions!$E$16*(1-Assumptions!$E$23)^22</f>
        <v/>
      </c>
      <c r="JO6" s="179">
        <f>Assumptions!$E$16*(1-Assumptions!$E$23)^22</f>
        <v/>
      </c>
      <c r="JP6" s="179">
        <f>Assumptions!$E$16*(1-Assumptions!$E$23)^22</f>
        <v/>
      </c>
      <c r="JQ6" s="179">
        <f>Assumptions!$E$16*(1-Assumptions!$E$23)^22</f>
        <v/>
      </c>
      <c r="JR6" s="179">
        <f>Assumptions!$E$16*(1-Assumptions!$E$23)^22</f>
        <v/>
      </c>
      <c r="JS6" s="179">
        <f>Assumptions!$E$16*(1-Assumptions!$E$23)^23</f>
        <v/>
      </c>
      <c r="JT6" s="179">
        <f>Assumptions!$E$16*(1-Assumptions!$E$23)^23</f>
        <v/>
      </c>
      <c r="JU6" s="179">
        <f>Assumptions!$E$16*(1-Assumptions!$E$23)^23</f>
        <v/>
      </c>
      <c r="JV6" s="179">
        <f>Assumptions!$E$16*(1-Assumptions!$E$23)^23</f>
        <v/>
      </c>
      <c r="JW6" s="179">
        <f>Assumptions!$E$16*(1-Assumptions!$E$23)^23</f>
        <v/>
      </c>
      <c r="JX6" s="179">
        <f>Assumptions!$E$16*(1-Assumptions!$E$23)^23</f>
        <v/>
      </c>
      <c r="JY6" s="179">
        <f>Assumptions!$E$16*(1-Assumptions!$E$23)^23</f>
        <v/>
      </c>
      <c r="JZ6" s="179">
        <f>Assumptions!$E$16*(1-Assumptions!$E$23)^23</f>
        <v/>
      </c>
      <c r="KA6" s="179">
        <f>Assumptions!$E$16*(1-Assumptions!$E$23)^23</f>
        <v/>
      </c>
      <c r="KB6" s="179">
        <f>Assumptions!$E$16*(1-Assumptions!$E$23)^23</f>
        <v/>
      </c>
      <c r="KC6" s="179">
        <f>Assumptions!$E$16*(1-Assumptions!$E$23)^23</f>
        <v/>
      </c>
      <c r="KD6" s="179">
        <f>Assumptions!$E$16*(1-Assumptions!$E$23)^23</f>
        <v/>
      </c>
      <c r="KE6" s="179">
        <f>Assumptions!$E$16*(1-Assumptions!$E$23)^24</f>
        <v/>
      </c>
      <c r="KF6" s="179">
        <f>Assumptions!$E$16*(1-Assumptions!$E$23)^24</f>
        <v/>
      </c>
      <c r="KG6" s="179">
        <f>Assumptions!$E$16*(1-Assumptions!$E$23)^24</f>
        <v/>
      </c>
      <c r="KH6" s="179">
        <f>Assumptions!$E$16*(1-Assumptions!$E$23)^24</f>
        <v/>
      </c>
      <c r="KI6" s="179">
        <f>Assumptions!$E$16*(1-Assumptions!$E$23)^24</f>
        <v/>
      </c>
      <c r="KJ6" s="179">
        <f>Assumptions!$E$16*(1-Assumptions!$E$23)^24</f>
        <v/>
      </c>
      <c r="KK6" s="179">
        <f>Assumptions!$E$16*(1-Assumptions!$E$23)^24</f>
        <v/>
      </c>
      <c r="KL6" s="179">
        <f>Assumptions!$E$16*(1-Assumptions!$E$23)^24</f>
        <v/>
      </c>
      <c r="KM6" s="179">
        <f>Assumptions!$E$16*(1-Assumptions!$E$23)^24</f>
        <v/>
      </c>
      <c r="KN6" s="179">
        <f>Assumptions!$E$16*(1-Assumptions!$E$23)^24</f>
        <v/>
      </c>
      <c r="KO6" s="179">
        <f>Assumptions!$E$16*(1-Assumptions!$E$23)^24</f>
        <v/>
      </c>
      <c r="KP6" s="179">
        <f>Assumptions!$E$16*(1-Assumptions!$E$23)^24</f>
        <v/>
      </c>
    </row>
    <row r="7" ht="16" customHeight="1" s="133">
      <c r="A7" s="177" t="inlineStr">
        <is>
          <t>Price (EUR/MWh)</t>
        </is>
      </c>
      <c r="B7" s="178" t="inlineStr">
        <is>
          <t>EUR/MWh</t>
        </is>
      </c>
      <c r="C7" s="180">
        <f>Assumptions!$E$40</f>
        <v/>
      </c>
      <c r="D7" s="180">
        <f>Assumptions!$E$40</f>
        <v/>
      </c>
      <c r="E7" s="180">
        <f>Assumptions!$E$40</f>
        <v/>
      </c>
      <c r="F7" s="180">
        <f>Assumptions!$E$40</f>
        <v/>
      </c>
      <c r="G7" s="180">
        <f>Assumptions!$E$40</f>
        <v/>
      </c>
      <c r="H7" s="180">
        <f>Assumptions!$E$40</f>
        <v/>
      </c>
      <c r="I7" s="180">
        <f>Assumptions!$E$40</f>
        <v/>
      </c>
      <c r="J7" s="180">
        <f>Assumptions!$E$40</f>
        <v/>
      </c>
      <c r="K7" s="180">
        <f>Assumptions!$E$40</f>
        <v/>
      </c>
      <c r="L7" s="180">
        <f>Assumptions!$E$40</f>
        <v/>
      </c>
      <c r="M7" s="180">
        <f>Assumptions!$E$40</f>
        <v/>
      </c>
      <c r="N7" s="180">
        <f>Assumptions!$E$40</f>
        <v/>
      </c>
      <c r="O7" s="180">
        <f>Assumptions!$E$40</f>
        <v/>
      </c>
      <c r="P7" s="180">
        <f>Assumptions!$E$40</f>
        <v/>
      </c>
      <c r="Q7" s="180">
        <f>Assumptions!$E$40</f>
        <v/>
      </c>
      <c r="R7" s="180">
        <f>Assumptions!$E$40</f>
        <v/>
      </c>
      <c r="S7" s="180">
        <f>Assumptions!$E$40</f>
        <v/>
      </c>
      <c r="T7" s="180">
        <f>Assumptions!$E$40</f>
        <v/>
      </c>
      <c r="U7" s="180">
        <f>Assumptions!$E$40</f>
        <v/>
      </c>
      <c r="V7" s="180">
        <f>Assumptions!$E$40</f>
        <v/>
      </c>
      <c r="W7" s="180">
        <f>Assumptions!$E$40</f>
        <v/>
      </c>
      <c r="X7" s="180">
        <f>Assumptions!$E$40</f>
        <v/>
      </c>
      <c r="Y7" s="180">
        <f>Assumptions!$E$40</f>
        <v/>
      </c>
      <c r="Z7" s="180">
        <f>Assumptions!$E$40</f>
        <v/>
      </c>
      <c r="AA7" s="180">
        <f>Assumptions!$E$40</f>
        <v/>
      </c>
      <c r="AB7" s="180">
        <f>Assumptions!$E$40</f>
        <v/>
      </c>
      <c r="AC7" s="180">
        <f>Assumptions!$E$40</f>
        <v/>
      </c>
      <c r="AD7" s="180">
        <f>Assumptions!$E$40</f>
        <v/>
      </c>
      <c r="AE7" s="180">
        <f>Assumptions!$E$40</f>
        <v/>
      </c>
      <c r="AF7" s="180">
        <f>Assumptions!$E$40</f>
        <v/>
      </c>
      <c r="AG7" s="180">
        <f>Assumptions!$E$40</f>
        <v/>
      </c>
      <c r="AH7" s="180">
        <f>Assumptions!$E$40</f>
        <v/>
      </c>
      <c r="AI7" s="180">
        <f>Assumptions!$E$40</f>
        <v/>
      </c>
      <c r="AJ7" s="180">
        <f>Assumptions!$E$40</f>
        <v/>
      </c>
      <c r="AK7" s="180">
        <f>Assumptions!$E$40</f>
        <v/>
      </c>
      <c r="AL7" s="180">
        <f>Assumptions!$E$40</f>
        <v/>
      </c>
      <c r="AM7" s="180">
        <f>Assumptions!$E$40</f>
        <v/>
      </c>
      <c r="AN7" s="180">
        <f>Assumptions!$E$40</f>
        <v/>
      </c>
      <c r="AO7" s="180">
        <f>Assumptions!$E$40</f>
        <v/>
      </c>
      <c r="AP7" s="180">
        <f>Assumptions!$E$40</f>
        <v/>
      </c>
      <c r="AQ7" s="180">
        <f>Assumptions!$E$40</f>
        <v/>
      </c>
      <c r="AR7" s="180">
        <f>Assumptions!$E$40</f>
        <v/>
      </c>
      <c r="AS7" s="180">
        <f>Assumptions!$E$40</f>
        <v/>
      </c>
      <c r="AT7" s="180">
        <f>Assumptions!$E$40</f>
        <v/>
      </c>
      <c r="AU7" s="180">
        <f>Assumptions!$E$40</f>
        <v/>
      </c>
      <c r="AV7" s="180">
        <f>Assumptions!$E$40</f>
        <v/>
      </c>
      <c r="AW7" s="180">
        <f>Assumptions!$E$40</f>
        <v/>
      </c>
      <c r="AX7" s="180">
        <f>Assumptions!$E$40</f>
        <v/>
      </c>
      <c r="AY7" s="180">
        <f>Assumptions!$E$40</f>
        <v/>
      </c>
      <c r="AZ7" s="180">
        <f>Assumptions!$E$40</f>
        <v/>
      </c>
      <c r="BA7" s="180">
        <f>Assumptions!$E$40</f>
        <v/>
      </c>
      <c r="BB7" s="180">
        <f>Assumptions!$E$40</f>
        <v/>
      </c>
      <c r="BC7" s="180">
        <f>Assumptions!$E$40</f>
        <v/>
      </c>
      <c r="BD7" s="180">
        <f>Assumptions!$E$40</f>
        <v/>
      </c>
      <c r="BE7" s="180">
        <f>Assumptions!$E$40</f>
        <v/>
      </c>
      <c r="BF7" s="180">
        <f>Assumptions!$E$40</f>
        <v/>
      </c>
      <c r="BG7" s="180">
        <f>Assumptions!$E$40</f>
        <v/>
      </c>
      <c r="BH7" s="180">
        <f>Assumptions!$E$40</f>
        <v/>
      </c>
      <c r="BI7" s="180">
        <f>Assumptions!$E$40</f>
        <v/>
      </c>
      <c r="BJ7" s="180">
        <f>Assumptions!$E$40</f>
        <v/>
      </c>
      <c r="BK7" s="180">
        <f>Assumptions!$E$40</f>
        <v/>
      </c>
      <c r="BL7" s="180">
        <f>Assumptions!$E$40</f>
        <v/>
      </c>
      <c r="BM7" s="180">
        <f>Assumptions!$E$40</f>
        <v/>
      </c>
      <c r="BN7" s="180">
        <f>Assumptions!$E$40</f>
        <v/>
      </c>
      <c r="BO7" s="180">
        <f>Assumptions!$E$40</f>
        <v/>
      </c>
      <c r="BP7" s="180">
        <f>Assumptions!$E$40</f>
        <v/>
      </c>
      <c r="BQ7" s="180">
        <f>Assumptions!$E$40</f>
        <v/>
      </c>
      <c r="BR7" s="180">
        <f>Assumptions!$E$40</f>
        <v/>
      </c>
      <c r="BS7" s="180">
        <f>Assumptions!$E$40</f>
        <v/>
      </c>
      <c r="BT7" s="180">
        <f>Assumptions!$E$40</f>
        <v/>
      </c>
      <c r="BU7" s="180">
        <f>Assumptions!$E$40</f>
        <v/>
      </c>
      <c r="BV7" s="180">
        <f>Assumptions!$E$40</f>
        <v/>
      </c>
      <c r="BW7" s="180">
        <f>Assumptions!$E$40</f>
        <v/>
      </c>
      <c r="BX7" s="180">
        <f>Assumptions!$E$40</f>
        <v/>
      </c>
      <c r="BY7" s="180">
        <f>Assumptions!$E$40</f>
        <v/>
      </c>
      <c r="BZ7" s="180">
        <f>Assumptions!$E$40</f>
        <v/>
      </c>
      <c r="CA7" s="180">
        <f>Assumptions!$E$40</f>
        <v/>
      </c>
      <c r="CB7" s="180">
        <f>Assumptions!$E$40</f>
        <v/>
      </c>
      <c r="CC7" s="180">
        <f>Assumptions!$E$40</f>
        <v/>
      </c>
      <c r="CD7" s="180">
        <f>Assumptions!$E$40</f>
        <v/>
      </c>
      <c r="CE7" s="180">
        <f>Assumptions!$E$40</f>
        <v/>
      </c>
      <c r="CF7" s="180">
        <f>Assumptions!$E$40</f>
        <v/>
      </c>
      <c r="CG7" s="180">
        <f>Assumptions!$E$40</f>
        <v/>
      </c>
      <c r="CH7" s="180">
        <f>Assumptions!$E$40</f>
        <v/>
      </c>
      <c r="CI7" s="180">
        <f>Assumptions!$E$40</f>
        <v/>
      </c>
      <c r="CJ7" s="180">
        <f>Assumptions!$E$40</f>
        <v/>
      </c>
      <c r="CK7" s="180">
        <f>Assumptions!$E$40</f>
        <v/>
      </c>
      <c r="CL7" s="180">
        <f>Assumptions!$E$40</f>
        <v/>
      </c>
      <c r="CM7" s="180">
        <f>Assumptions!$E$40</f>
        <v/>
      </c>
      <c r="CN7" s="180">
        <f>Assumptions!$E$40</f>
        <v/>
      </c>
      <c r="CO7" s="180">
        <f>Assumptions!$E$40</f>
        <v/>
      </c>
      <c r="CP7" s="180">
        <f>Assumptions!$E$40</f>
        <v/>
      </c>
      <c r="CQ7" s="180">
        <f>Assumptions!$E$40</f>
        <v/>
      </c>
      <c r="CR7" s="180">
        <f>Assumptions!$E$40</f>
        <v/>
      </c>
      <c r="CS7" s="180">
        <f>Assumptions!$E$40</f>
        <v/>
      </c>
      <c r="CT7" s="180">
        <f>Assumptions!$E$40</f>
        <v/>
      </c>
      <c r="CU7" s="180">
        <f>Assumptions!$E$40</f>
        <v/>
      </c>
      <c r="CV7" s="180">
        <f>Assumptions!$E$40</f>
        <v/>
      </c>
      <c r="CW7" s="180">
        <f>Assumptions!$E$40</f>
        <v/>
      </c>
      <c r="CX7" s="180">
        <f>Assumptions!$E$40</f>
        <v/>
      </c>
      <c r="CY7" s="180">
        <f>Assumptions!$E$40</f>
        <v/>
      </c>
      <c r="CZ7" s="180">
        <f>Assumptions!$E$40</f>
        <v/>
      </c>
      <c r="DA7" s="180">
        <f>Assumptions!$E$40</f>
        <v/>
      </c>
      <c r="DB7" s="180">
        <f>Assumptions!$E$40</f>
        <v/>
      </c>
      <c r="DC7" s="180">
        <f>Assumptions!$E$40</f>
        <v/>
      </c>
      <c r="DD7" s="180">
        <f>Assumptions!$E$40</f>
        <v/>
      </c>
      <c r="DE7" s="180">
        <f>Assumptions!$E$40</f>
        <v/>
      </c>
      <c r="DF7" s="180">
        <f>Assumptions!$E$40</f>
        <v/>
      </c>
      <c r="DG7" s="180">
        <f>Assumptions!$E$40</f>
        <v/>
      </c>
      <c r="DH7" s="180">
        <f>Assumptions!$E$40</f>
        <v/>
      </c>
      <c r="DI7" s="180">
        <f>Assumptions!$E$40</f>
        <v/>
      </c>
      <c r="DJ7" s="180">
        <f>Assumptions!$E$40</f>
        <v/>
      </c>
      <c r="DK7" s="180">
        <f>Assumptions!$E$40</f>
        <v/>
      </c>
      <c r="DL7" s="180">
        <f>Assumptions!$E$40</f>
        <v/>
      </c>
      <c r="DM7" s="180">
        <f>Assumptions!$E$40</f>
        <v/>
      </c>
      <c r="DN7" s="180">
        <f>Assumptions!$E$40</f>
        <v/>
      </c>
      <c r="DO7" s="180">
        <f>Assumptions!$E$40</f>
        <v/>
      </c>
      <c r="DP7" s="180">
        <f>Assumptions!$E$40</f>
        <v/>
      </c>
      <c r="DQ7" s="180">
        <f>Assumptions!$E$40</f>
        <v/>
      </c>
      <c r="DR7" s="180">
        <f>Assumptions!$E$40</f>
        <v/>
      </c>
      <c r="DS7" s="180">
        <f>Simulation!$E$127</f>
        <v/>
      </c>
      <c r="DT7" s="180">
        <f>Simulation!$E$128</f>
        <v/>
      </c>
      <c r="DU7" s="180">
        <f>Simulation!$E$129</f>
        <v/>
      </c>
      <c r="DV7" s="180">
        <f>Simulation!$E$130</f>
        <v/>
      </c>
      <c r="DW7" s="180">
        <f>Simulation!$E$131</f>
        <v/>
      </c>
      <c r="DX7" s="180">
        <f>Simulation!$E$132</f>
        <v/>
      </c>
      <c r="DY7" s="180">
        <f>Simulation!$E$133</f>
        <v/>
      </c>
      <c r="DZ7" s="180">
        <f>Simulation!$E$134</f>
        <v/>
      </c>
      <c r="EA7" s="180">
        <f>Simulation!$E$135</f>
        <v/>
      </c>
      <c r="EB7" s="180">
        <f>Simulation!$E$136</f>
        <v/>
      </c>
      <c r="EC7" s="180">
        <f>Simulation!$E$137</f>
        <v/>
      </c>
      <c r="ED7" s="180">
        <f>Simulation!$E$138</f>
        <v/>
      </c>
      <c r="EE7" s="180">
        <f>Simulation!$E$139</f>
        <v/>
      </c>
      <c r="EF7" s="180">
        <f>Simulation!$E$140</f>
        <v/>
      </c>
      <c r="EG7" s="180">
        <f>Simulation!$E$141</f>
        <v/>
      </c>
      <c r="EH7" s="180">
        <f>Simulation!$E$142</f>
        <v/>
      </c>
      <c r="EI7" s="180">
        <f>Simulation!$E$143</f>
        <v/>
      </c>
      <c r="EJ7" s="180">
        <f>Simulation!$E$144</f>
        <v/>
      </c>
      <c r="EK7" s="180">
        <f>Simulation!$E$145</f>
        <v/>
      </c>
      <c r="EL7" s="180">
        <f>Simulation!$E$146</f>
        <v/>
      </c>
      <c r="EM7" s="180">
        <f>Simulation!$E$147</f>
        <v/>
      </c>
      <c r="EN7" s="180">
        <f>Simulation!$E$148</f>
        <v/>
      </c>
      <c r="EO7" s="180">
        <f>Simulation!$E$149</f>
        <v/>
      </c>
      <c r="EP7" s="180">
        <f>Simulation!$E$150</f>
        <v/>
      </c>
      <c r="EQ7" s="180">
        <f>Simulation!$E$151</f>
        <v/>
      </c>
      <c r="ER7" s="180">
        <f>Simulation!$E$152</f>
        <v/>
      </c>
      <c r="ES7" s="180">
        <f>Simulation!$E$153</f>
        <v/>
      </c>
      <c r="ET7" s="180">
        <f>Simulation!$E$154</f>
        <v/>
      </c>
      <c r="EU7" s="180">
        <f>Simulation!$E$155</f>
        <v/>
      </c>
      <c r="EV7" s="180">
        <f>Simulation!$E$156</f>
        <v/>
      </c>
      <c r="EW7" s="180">
        <f>Simulation!$E$157</f>
        <v/>
      </c>
      <c r="EX7" s="180">
        <f>Simulation!$E$158</f>
        <v/>
      </c>
      <c r="EY7" s="180">
        <f>Simulation!$E$159</f>
        <v/>
      </c>
      <c r="EZ7" s="180">
        <f>Simulation!$E$160</f>
        <v/>
      </c>
      <c r="FA7" s="180">
        <f>Simulation!$E$161</f>
        <v/>
      </c>
      <c r="FB7" s="180">
        <f>Simulation!$E$162</f>
        <v/>
      </c>
      <c r="FC7" s="180">
        <f>Simulation!$E$163</f>
        <v/>
      </c>
      <c r="FD7" s="180">
        <f>Simulation!$E$164</f>
        <v/>
      </c>
      <c r="FE7" s="180">
        <f>Simulation!$E$165</f>
        <v/>
      </c>
      <c r="FF7" s="180">
        <f>Simulation!$E$166</f>
        <v/>
      </c>
      <c r="FG7" s="180">
        <f>Simulation!$E$167</f>
        <v/>
      </c>
      <c r="FH7" s="180">
        <f>Simulation!$E$168</f>
        <v/>
      </c>
      <c r="FI7" s="180">
        <f>Simulation!$E$169</f>
        <v/>
      </c>
      <c r="FJ7" s="180">
        <f>Simulation!$E$170</f>
        <v/>
      </c>
      <c r="FK7" s="180">
        <f>Simulation!$E$171</f>
        <v/>
      </c>
      <c r="FL7" s="180">
        <f>Simulation!$E$172</f>
        <v/>
      </c>
      <c r="FM7" s="180">
        <f>Simulation!$E$173</f>
        <v/>
      </c>
      <c r="FN7" s="180">
        <f>Simulation!$E$174</f>
        <v/>
      </c>
      <c r="FO7" s="180">
        <f>Simulation!$E$175</f>
        <v/>
      </c>
      <c r="FP7" s="180">
        <f>Simulation!$E$176</f>
        <v/>
      </c>
      <c r="FQ7" s="180">
        <f>Simulation!$E$177</f>
        <v/>
      </c>
      <c r="FR7" s="180">
        <f>Simulation!$E$178</f>
        <v/>
      </c>
      <c r="FS7" s="180">
        <f>Simulation!$E$179</f>
        <v/>
      </c>
      <c r="FT7" s="180">
        <f>Simulation!$E$180</f>
        <v/>
      </c>
      <c r="FU7" s="180">
        <f>Simulation!$E$181</f>
        <v/>
      </c>
      <c r="FV7" s="180">
        <f>Simulation!$E$182</f>
        <v/>
      </c>
      <c r="FW7" s="180">
        <f>Simulation!$E$183</f>
        <v/>
      </c>
      <c r="FX7" s="180">
        <f>Simulation!$E$184</f>
        <v/>
      </c>
      <c r="FY7" s="180">
        <f>Simulation!$E$185</f>
        <v/>
      </c>
      <c r="FZ7" s="180">
        <f>Simulation!$E$186</f>
        <v/>
      </c>
      <c r="GA7" s="180">
        <f>Simulation!$E$187</f>
        <v/>
      </c>
      <c r="GB7" s="180">
        <f>Simulation!$E$188</f>
        <v/>
      </c>
      <c r="GC7" s="180">
        <f>Simulation!$E$189</f>
        <v/>
      </c>
      <c r="GD7" s="180">
        <f>Simulation!$E$190</f>
        <v/>
      </c>
      <c r="GE7" s="180">
        <f>Simulation!$E$191</f>
        <v/>
      </c>
      <c r="GF7" s="180">
        <f>Simulation!$E$192</f>
        <v/>
      </c>
      <c r="GG7" s="180">
        <f>Simulation!$E$193</f>
        <v/>
      </c>
      <c r="GH7" s="180">
        <f>Simulation!$E$194</f>
        <v/>
      </c>
      <c r="GI7" s="180">
        <f>Simulation!$E$195</f>
        <v/>
      </c>
      <c r="GJ7" s="180">
        <f>Simulation!$E$196</f>
        <v/>
      </c>
      <c r="GK7" s="180">
        <f>Simulation!$E$197</f>
        <v/>
      </c>
      <c r="GL7" s="180">
        <f>Simulation!$E$198</f>
        <v/>
      </c>
      <c r="GM7" s="180">
        <f>Simulation!$E$199</f>
        <v/>
      </c>
      <c r="GN7" s="180">
        <f>Simulation!$E$200</f>
        <v/>
      </c>
      <c r="GO7" s="180">
        <f>Simulation!$E$201</f>
        <v/>
      </c>
      <c r="GP7" s="180">
        <f>Simulation!$E$202</f>
        <v/>
      </c>
      <c r="GQ7" s="180">
        <f>Simulation!$E$203</f>
        <v/>
      </c>
      <c r="GR7" s="180">
        <f>Simulation!$E$204</f>
        <v/>
      </c>
      <c r="GS7" s="180">
        <f>Simulation!$E$205</f>
        <v/>
      </c>
      <c r="GT7" s="180">
        <f>Simulation!$E$206</f>
        <v/>
      </c>
      <c r="GU7" s="180">
        <f>Simulation!$E$207</f>
        <v/>
      </c>
      <c r="GV7" s="180">
        <f>Simulation!$E$208</f>
        <v/>
      </c>
      <c r="GW7" s="180">
        <f>Simulation!$E$209</f>
        <v/>
      </c>
      <c r="GX7" s="180">
        <f>Simulation!$E$210</f>
        <v/>
      </c>
      <c r="GY7" s="180">
        <f>Simulation!$E$211</f>
        <v/>
      </c>
      <c r="GZ7" s="180">
        <f>Simulation!$E$212</f>
        <v/>
      </c>
      <c r="HA7" s="180">
        <f>Simulation!$E$213</f>
        <v/>
      </c>
      <c r="HB7" s="180">
        <f>Simulation!$E$214</f>
        <v/>
      </c>
      <c r="HC7" s="180">
        <f>Simulation!$E$215</f>
        <v/>
      </c>
      <c r="HD7" s="180">
        <f>Simulation!$E$216</f>
        <v/>
      </c>
      <c r="HE7" s="180">
        <f>Simulation!$E$217</f>
        <v/>
      </c>
      <c r="HF7" s="180">
        <f>Simulation!$E$218</f>
        <v/>
      </c>
      <c r="HG7" s="180">
        <f>Simulation!$E$219</f>
        <v/>
      </c>
      <c r="HH7" s="180">
        <f>Simulation!$E$220</f>
        <v/>
      </c>
      <c r="HI7" s="180">
        <f>Simulation!$E$221</f>
        <v/>
      </c>
      <c r="HJ7" s="180">
        <f>Simulation!$E$222</f>
        <v/>
      </c>
      <c r="HK7" s="180">
        <f>Simulation!$E$223</f>
        <v/>
      </c>
      <c r="HL7" s="180">
        <f>Simulation!$E$224</f>
        <v/>
      </c>
      <c r="HM7" s="180">
        <f>Simulation!$E$225</f>
        <v/>
      </c>
      <c r="HN7" s="180">
        <f>Simulation!$E$226</f>
        <v/>
      </c>
      <c r="HO7" s="180">
        <f>Simulation!$E$227</f>
        <v/>
      </c>
      <c r="HP7" s="180">
        <f>Simulation!$E$228</f>
        <v/>
      </c>
      <c r="HQ7" s="180">
        <f>Simulation!$E$229</f>
        <v/>
      </c>
      <c r="HR7" s="180">
        <f>Simulation!$E$230</f>
        <v/>
      </c>
      <c r="HS7" s="180">
        <f>Simulation!$E$231</f>
        <v/>
      </c>
      <c r="HT7" s="180">
        <f>Simulation!$E$232</f>
        <v/>
      </c>
      <c r="HU7" s="180">
        <f>Simulation!$E$233</f>
        <v/>
      </c>
      <c r="HV7" s="180">
        <f>Simulation!$E$234</f>
        <v/>
      </c>
      <c r="HW7" s="180">
        <f>Simulation!$E$235</f>
        <v/>
      </c>
      <c r="HX7" s="180">
        <f>Simulation!$E$236</f>
        <v/>
      </c>
      <c r="HY7" s="180">
        <f>Simulation!$E$237</f>
        <v/>
      </c>
      <c r="HZ7" s="180">
        <f>Simulation!$E$238</f>
        <v/>
      </c>
      <c r="IA7" s="180">
        <f>Simulation!$E$239</f>
        <v/>
      </c>
      <c r="IB7" s="180">
        <f>Simulation!$E$240</f>
        <v/>
      </c>
      <c r="IC7" s="180">
        <f>Simulation!$E$241</f>
        <v/>
      </c>
      <c r="ID7" s="180">
        <f>Simulation!$E$242</f>
        <v/>
      </c>
      <c r="IE7" s="180">
        <f>Simulation!$E$243</f>
        <v/>
      </c>
      <c r="IF7" s="180">
        <f>Simulation!$E$244</f>
        <v/>
      </c>
      <c r="IG7" s="180">
        <f>Simulation!$E$245</f>
        <v/>
      </c>
      <c r="IH7" s="180">
        <f>Simulation!$E$246</f>
        <v/>
      </c>
      <c r="II7" s="180">
        <f>Simulation!$E$247</f>
        <v/>
      </c>
      <c r="IJ7" s="180">
        <f>Simulation!$E$248</f>
        <v/>
      </c>
      <c r="IK7" s="180">
        <f>Simulation!$E$249</f>
        <v/>
      </c>
      <c r="IL7" s="180">
        <f>Simulation!$E$250</f>
        <v/>
      </c>
      <c r="IM7" s="180">
        <f>Simulation!$E$251</f>
        <v/>
      </c>
      <c r="IN7" s="180">
        <f>Simulation!$E$252</f>
        <v/>
      </c>
      <c r="IO7" s="180">
        <f>Simulation!$E$253</f>
        <v/>
      </c>
      <c r="IP7" s="180">
        <f>Simulation!$E$254</f>
        <v/>
      </c>
      <c r="IQ7" s="180">
        <f>Simulation!$E$255</f>
        <v/>
      </c>
      <c r="IR7" s="180">
        <f>Simulation!$E$256</f>
        <v/>
      </c>
      <c r="IS7" s="180">
        <f>Simulation!$E$257</f>
        <v/>
      </c>
      <c r="IT7" s="180">
        <f>Simulation!$E$258</f>
        <v/>
      </c>
      <c r="IU7" s="180">
        <f>Simulation!$E$259</f>
        <v/>
      </c>
      <c r="IV7" s="180">
        <f>Simulation!$E$260</f>
        <v/>
      </c>
      <c r="IW7" s="180">
        <f>Simulation!$E$261</f>
        <v/>
      </c>
      <c r="IX7" s="180">
        <f>Simulation!$E$262</f>
        <v/>
      </c>
      <c r="IY7" s="180">
        <f>Simulation!$E$263</f>
        <v/>
      </c>
      <c r="IZ7" s="180">
        <f>Simulation!$E$264</f>
        <v/>
      </c>
      <c r="JA7" s="180">
        <f>Simulation!$E$265</f>
        <v/>
      </c>
      <c r="JB7" s="180">
        <f>Simulation!$E$266</f>
        <v/>
      </c>
      <c r="JC7" s="180">
        <f>Simulation!$E$267</f>
        <v/>
      </c>
      <c r="JD7" s="180">
        <f>Simulation!$E$268</f>
        <v/>
      </c>
      <c r="JE7" s="180">
        <f>Simulation!$E$269</f>
        <v/>
      </c>
      <c r="JF7" s="180">
        <f>Simulation!$E$270</f>
        <v/>
      </c>
      <c r="JG7" s="180">
        <f>Simulation!$E$271</f>
        <v/>
      </c>
      <c r="JH7" s="180">
        <f>Simulation!$E$272</f>
        <v/>
      </c>
      <c r="JI7" s="180">
        <f>Simulation!$E$273</f>
        <v/>
      </c>
      <c r="JJ7" s="180">
        <f>Simulation!$E$274</f>
        <v/>
      </c>
      <c r="JK7" s="180">
        <f>Simulation!$E$275</f>
        <v/>
      </c>
      <c r="JL7" s="180">
        <f>Simulation!$E$276</f>
        <v/>
      </c>
      <c r="JM7" s="180">
        <f>Simulation!$E$277</f>
        <v/>
      </c>
      <c r="JN7" s="180">
        <f>Simulation!$E$278</f>
        <v/>
      </c>
      <c r="JO7" s="180">
        <f>Simulation!$E$279</f>
        <v/>
      </c>
      <c r="JP7" s="180">
        <f>Simulation!$E$280</f>
        <v/>
      </c>
      <c r="JQ7" s="180">
        <f>Simulation!$E$281</f>
        <v/>
      </c>
      <c r="JR7" s="180">
        <f>Simulation!$E$282</f>
        <v/>
      </c>
      <c r="JS7" s="180">
        <f>Simulation!$E$283</f>
        <v/>
      </c>
      <c r="JT7" s="180">
        <f>Simulation!$E$284</f>
        <v/>
      </c>
      <c r="JU7" s="180">
        <f>Simulation!$E$285</f>
        <v/>
      </c>
      <c r="JV7" s="180">
        <f>Simulation!$E$286</f>
        <v/>
      </c>
      <c r="JW7" s="180">
        <f>Simulation!$E$287</f>
        <v/>
      </c>
      <c r="JX7" s="180">
        <f>Simulation!$E$288</f>
        <v/>
      </c>
      <c r="JY7" s="180">
        <f>Simulation!$E$289</f>
        <v/>
      </c>
      <c r="JZ7" s="180">
        <f>Simulation!$E$290</f>
        <v/>
      </c>
      <c r="KA7" s="180">
        <f>Simulation!$E$291</f>
        <v/>
      </c>
      <c r="KB7" s="180">
        <f>Simulation!$E$292</f>
        <v/>
      </c>
      <c r="KC7" s="180">
        <f>Simulation!$E$293</f>
        <v/>
      </c>
      <c r="KD7" s="180">
        <f>Simulation!$E$294</f>
        <v/>
      </c>
      <c r="KE7" s="180">
        <f>Simulation!$E$295</f>
        <v/>
      </c>
      <c r="KF7" s="180">
        <f>Simulation!$E$296</f>
        <v/>
      </c>
      <c r="KG7" s="180">
        <f>Simulation!$E$297</f>
        <v/>
      </c>
      <c r="KH7" s="180">
        <f>Simulation!$E$298</f>
        <v/>
      </c>
      <c r="KI7" s="180">
        <f>Simulation!$E$299</f>
        <v/>
      </c>
      <c r="KJ7" s="180">
        <f>Simulation!$E$300</f>
        <v/>
      </c>
      <c r="KK7" s="180">
        <f>Simulation!$E$301</f>
        <v/>
      </c>
      <c r="KL7" s="180">
        <f>Simulation!$E$302</f>
        <v/>
      </c>
      <c r="KM7" s="180">
        <f>Simulation!$E$303</f>
        <v/>
      </c>
      <c r="KN7" s="180">
        <f>Simulation!$E$304</f>
        <v/>
      </c>
      <c r="KO7" s="180">
        <f>Simulation!$E$305</f>
        <v/>
      </c>
      <c r="KP7" s="180">
        <f>Simulation!$E$306</f>
        <v/>
      </c>
    </row>
    <row r="8" ht="16" customHeight="1" s="133">
      <c r="A8" s="181" t="inlineStr">
        <is>
          <t>Revenue (EURk)</t>
        </is>
      </c>
      <c r="B8" s="182" t="inlineStr">
        <is>
          <t>EURk</t>
        </is>
      </c>
      <c r="C8" s="183">
        <f>C6*C7/1000</f>
        <v/>
      </c>
      <c r="D8" s="183">
        <f>D6*D7/1000</f>
        <v/>
      </c>
      <c r="E8" s="183">
        <f>E6*E7/1000</f>
        <v/>
      </c>
      <c r="F8" s="183">
        <f>F6*F7/1000</f>
        <v/>
      </c>
      <c r="G8" s="183">
        <f>G6*G7/1000</f>
        <v/>
      </c>
      <c r="H8" s="183">
        <f>H6*H7/1000</f>
        <v/>
      </c>
      <c r="I8" s="183">
        <f>I6*I7/1000</f>
        <v/>
      </c>
      <c r="J8" s="183">
        <f>J6*J7/1000</f>
        <v/>
      </c>
      <c r="K8" s="183">
        <f>K6*K7/1000</f>
        <v/>
      </c>
      <c r="L8" s="183">
        <f>L6*L7/1000</f>
        <v/>
      </c>
      <c r="M8" s="183">
        <f>M6*M7/1000</f>
        <v/>
      </c>
      <c r="N8" s="183">
        <f>N6*N7/1000</f>
        <v/>
      </c>
      <c r="O8" s="183">
        <f>O6*O7/1000</f>
        <v/>
      </c>
      <c r="P8" s="183">
        <f>P6*P7/1000</f>
        <v/>
      </c>
      <c r="Q8" s="183">
        <f>Q6*Q7/1000</f>
        <v/>
      </c>
      <c r="R8" s="183">
        <f>R6*R7/1000</f>
        <v/>
      </c>
      <c r="S8" s="183">
        <f>S6*S7/1000</f>
        <v/>
      </c>
      <c r="T8" s="183">
        <f>T6*T7/1000</f>
        <v/>
      </c>
      <c r="U8" s="183">
        <f>U6*U7/1000</f>
        <v/>
      </c>
      <c r="V8" s="183">
        <f>V6*V7/1000</f>
        <v/>
      </c>
      <c r="W8" s="183">
        <f>W6*W7/1000</f>
        <v/>
      </c>
      <c r="X8" s="183">
        <f>X6*X7/1000</f>
        <v/>
      </c>
      <c r="Y8" s="183">
        <f>Y6*Y7/1000</f>
        <v/>
      </c>
      <c r="Z8" s="183">
        <f>Z6*Z7/1000</f>
        <v/>
      </c>
      <c r="AA8" s="183">
        <f>AA6*AA7/1000</f>
        <v/>
      </c>
      <c r="AB8" s="183">
        <f>AB6*AB7/1000</f>
        <v/>
      </c>
      <c r="AC8" s="183">
        <f>AC6*AC7/1000</f>
        <v/>
      </c>
      <c r="AD8" s="183">
        <f>AD6*AD7/1000</f>
        <v/>
      </c>
      <c r="AE8" s="183">
        <f>AE6*AE7/1000</f>
        <v/>
      </c>
      <c r="AF8" s="183">
        <f>AF6*AF7/1000</f>
        <v/>
      </c>
      <c r="AG8" s="183">
        <f>AG6*AG7/1000</f>
        <v/>
      </c>
      <c r="AH8" s="183">
        <f>AH6*AH7/1000</f>
        <v/>
      </c>
      <c r="AI8" s="183">
        <f>AI6*AI7/1000</f>
        <v/>
      </c>
      <c r="AJ8" s="183">
        <f>AJ6*AJ7/1000</f>
        <v/>
      </c>
      <c r="AK8" s="183">
        <f>AK6*AK7/1000</f>
        <v/>
      </c>
      <c r="AL8" s="183">
        <f>AL6*AL7/1000</f>
        <v/>
      </c>
      <c r="AM8" s="183">
        <f>AM6*AM7/1000</f>
        <v/>
      </c>
      <c r="AN8" s="183">
        <f>AN6*AN7/1000</f>
        <v/>
      </c>
      <c r="AO8" s="183">
        <f>AO6*AO7/1000</f>
        <v/>
      </c>
      <c r="AP8" s="183">
        <f>AP6*AP7/1000</f>
        <v/>
      </c>
      <c r="AQ8" s="183">
        <f>AQ6*AQ7/1000</f>
        <v/>
      </c>
      <c r="AR8" s="183">
        <f>AR6*AR7/1000</f>
        <v/>
      </c>
      <c r="AS8" s="183">
        <f>AS6*AS7/1000</f>
        <v/>
      </c>
      <c r="AT8" s="183">
        <f>AT6*AT7/1000</f>
        <v/>
      </c>
      <c r="AU8" s="183">
        <f>AU6*AU7/1000</f>
        <v/>
      </c>
      <c r="AV8" s="183">
        <f>AV6*AV7/1000</f>
        <v/>
      </c>
      <c r="AW8" s="183">
        <f>AW6*AW7/1000</f>
        <v/>
      </c>
      <c r="AX8" s="183">
        <f>AX6*AX7/1000</f>
        <v/>
      </c>
      <c r="AY8" s="183">
        <f>AY6*AY7/1000</f>
        <v/>
      </c>
      <c r="AZ8" s="183">
        <f>AZ6*AZ7/1000</f>
        <v/>
      </c>
      <c r="BA8" s="183">
        <f>BA6*BA7/1000</f>
        <v/>
      </c>
      <c r="BB8" s="183">
        <f>BB6*BB7/1000</f>
        <v/>
      </c>
      <c r="BC8" s="183">
        <f>BC6*BC7/1000</f>
        <v/>
      </c>
      <c r="BD8" s="183">
        <f>BD6*BD7/1000</f>
        <v/>
      </c>
      <c r="BE8" s="183">
        <f>BE6*BE7/1000</f>
        <v/>
      </c>
      <c r="BF8" s="183">
        <f>BF6*BF7/1000</f>
        <v/>
      </c>
      <c r="BG8" s="183">
        <f>BG6*BG7/1000</f>
        <v/>
      </c>
      <c r="BH8" s="183">
        <f>BH6*BH7/1000</f>
        <v/>
      </c>
      <c r="BI8" s="183">
        <f>BI6*BI7/1000</f>
        <v/>
      </c>
      <c r="BJ8" s="183">
        <f>BJ6*BJ7/1000</f>
        <v/>
      </c>
      <c r="BK8" s="183">
        <f>BK6*BK7/1000</f>
        <v/>
      </c>
      <c r="BL8" s="183">
        <f>BL6*BL7/1000</f>
        <v/>
      </c>
      <c r="BM8" s="183">
        <f>BM6*BM7/1000</f>
        <v/>
      </c>
      <c r="BN8" s="183">
        <f>BN6*BN7/1000</f>
        <v/>
      </c>
      <c r="BO8" s="183">
        <f>BO6*BO7/1000</f>
        <v/>
      </c>
      <c r="BP8" s="183">
        <f>BP6*BP7/1000</f>
        <v/>
      </c>
      <c r="BQ8" s="183">
        <f>BQ6*BQ7/1000</f>
        <v/>
      </c>
      <c r="BR8" s="183">
        <f>BR6*BR7/1000</f>
        <v/>
      </c>
      <c r="BS8" s="183">
        <f>BS6*BS7/1000</f>
        <v/>
      </c>
      <c r="BT8" s="183">
        <f>BT6*BT7/1000</f>
        <v/>
      </c>
      <c r="BU8" s="183">
        <f>BU6*BU7/1000</f>
        <v/>
      </c>
      <c r="BV8" s="183">
        <f>BV6*BV7/1000</f>
        <v/>
      </c>
      <c r="BW8" s="183">
        <f>BW6*BW7/1000</f>
        <v/>
      </c>
      <c r="BX8" s="183">
        <f>BX6*BX7/1000</f>
        <v/>
      </c>
      <c r="BY8" s="183">
        <f>BY6*BY7/1000</f>
        <v/>
      </c>
      <c r="BZ8" s="183">
        <f>BZ6*BZ7/1000</f>
        <v/>
      </c>
      <c r="CA8" s="183">
        <f>CA6*CA7/1000</f>
        <v/>
      </c>
      <c r="CB8" s="183">
        <f>CB6*CB7/1000</f>
        <v/>
      </c>
      <c r="CC8" s="183">
        <f>CC6*CC7/1000</f>
        <v/>
      </c>
      <c r="CD8" s="183">
        <f>CD6*CD7/1000</f>
        <v/>
      </c>
      <c r="CE8" s="183">
        <f>CE6*CE7/1000</f>
        <v/>
      </c>
      <c r="CF8" s="183">
        <f>CF6*CF7/1000</f>
        <v/>
      </c>
      <c r="CG8" s="183">
        <f>CG6*CG7/1000</f>
        <v/>
      </c>
      <c r="CH8" s="183">
        <f>CH6*CH7/1000</f>
        <v/>
      </c>
      <c r="CI8" s="183">
        <f>CI6*CI7/1000</f>
        <v/>
      </c>
      <c r="CJ8" s="183">
        <f>CJ6*CJ7/1000</f>
        <v/>
      </c>
      <c r="CK8" s="183">
        <f>CK6*CK7/1000</f>
        <v/>
      </c>
      <c r="CL8" s="183">
        <f>CL6*CL7/1000</f>
        <v/>
      </c>
      <c r="CM8" s="183">
        <f>CM6*CM7/1000</f>
        <v/>
      </c>
      <c r="CN8" s="183">
        <f>CN6*CN7/1000</f>
        <v/>
      </c>
      <c r="CO8" s="183">
        <f>CO6*CO7/1000</f>
        <v/>
      </c>
      <c r="CP8" s="183">
        <f>CP6*CP7/1000</f>
        <v/>
      </c>
      <c r="CQ8" s="183">
        <f>CQ6*CQ7/1000</f>
        <v/>
      </c>
      <c r="CR8" s="183">
        <f>CR6*CR7/1000</f>
        <v/>
      </c>
      <c r="CS8" s="183">
        <f>CS6*CS7/1000</f>
        <v/>
      </c>
      <c r="CT8" s="183">
        <f>CT6*CT7/1000</f>
        <v/>
      </c>
      <c r="CU8" s="183">
        <f>CU6*CU7/1000</f>
        <v/>
      </c>
      <c r="CV8" s="183">
        <f>CV6*CV7/1000</f>
        <v/>
      </c>
      <c r="CW8" s="183">
        <f>CW6*CW7/1000</f>
        <v/>
      </c>
      <c r="CX8" s="183">
        <f>CX6*CX7/1000</f>
        <v/>
      </c>
      <c r="CY8" s="183">
        <f>CY6*CY7/1000</f>
        <v/>
      </c>
      <c r="CZ8" s="183">
        <f>CZ6*CZ7/1000</f>
        <v/>
      </c>
      <c r="DA8" s="183">
        <f>DA6*DA7/1000</f>
        <v/>
      </c>
      <c r="DB8" s="183">
        <f>DB6*DB7/1000</f>
        <v/>
      </c>
      <c r="DC8" s="183">
        <f>DC6*DC7/1000</f>
        <v/>
      </c>
      <c r="DD8" s="183">
        <f>DD6*DD7/1000</f>
        <v/>
      </c>
      <c r="DE8" s="183">
        <f>DE6*DE7/1000</f>
        <v/>
      </c>
      <c r="DF8" s="183">
        <f>DF6*DF7/1000</f>
        <v/>
      </c>
      <c r="DG8" s="183">
        <f>DG6*DG7/1000</f>
        <v/>
      </c>
      <c r="DH8" s="183">
        <f>DH6*DH7/1000</f>
        <v/>
      </c>
      <c r="DI8" s="183">
        <f>DI6*DI7/1000</f>
        <v/>
      </c>
      <c r="DJ8" s="183">
        <f>DJ6*DJ7/1000</f>
        <v/>
      </c>
      <c r="DK8" s="183">
        <f>DK6*DK7/1000</f>
        <v/>
      </c>
      <c r="DL8" s="183">
        <f>DL6*DL7/1000</f>
        <v/>
      </c>
      <c r="DM8" s="183">
        <f>DM6*DM7/1000</f>
        <v/>
      </c>
      <c r="DN8" s="183">
        <f>DN6*DN7/1000</f>
        <v/>
      </c>
      <c r="DO8" s="183">
        <f>DO6*DO7/1000</f>
        <v/>
      </c>
      <c r="DP8" s="183">
        <f>DP6*DP7/1000</f>
        <v/>
      </c>
      <c r="DQ8" s="183">
        <f>DQ6*DQ7/1000</f>
        <v/>
      </c>
      <c r="DR8" s="183">
        <f>DR6*DR7/1000</f>
        <v/>
      </c>
      <c r="DS8" s="183">
        <f>DS6*DS7/1000</f>
        <v/>
      </c>
      <c r="DT8" s="183">
        <f>DT6*DT7/1000</f>
        <v/>
      </c>
      <c r="DU8" s="183">
        <f>DU6*DU7/1000</f>
        <v/>
      </c>
      <c r="DV8" s="183">
        <f>DV6*DV7/1000</f>
        <v/>
      </c>
      <c r="DW8" s="183">
        <f>DW6*DW7/1000</f>
        <v/>
      </c>
      <c r="DX8" s="183">
        <f>DX6*DX7/1000</f>
        <v/>
      </c>
      <c r="DY8" s="183">
        <f>DY6*DY7/1000</f>
        <v/>
      </c>
      <c r="DZ8" s="183">
        <f>DZ6*DZ7/1000</f>
        <v/>
      </c>
      <c r="EA8" s="183">
        <f>EA6*EA7/1000</f>
        <v/>
      </c>
      <c r="EB8" s="183">
        <f>EB6*EB7/1000</f>
        <v/>
      </c>
      <c r="EC8" s="183">
        <f>EC6*EC7/1000</f>
        <v/>
      </c>
      <c r="ED8" s="183">
        <f>ED6*ED7/1000</f>
        <v/>
      </c>
      <c r="EE8" s="183">
        <f>EE6*EE7/1000</f>
        <v/>
      </c>
      <c r="EF8" s="183">
        <f>EF6*EF7/1000</f>
        <v/>
      </c>
      <c r="EG8" s="183">
        <f>EG6*EG7/1000</f>
        <v/>
      </c>
      <c r="EH8" s="183">
        <f>EH6*EH7/1000</f>
        <v/>
      </c>
      <c r="EI8" s="183">
        <f>EI6*EI7/1000</f>
        <v/>
      </c>
      <c r="EJ8" s="183">
        <f>EJ6*EJ7/1000</f>
        <v/>
      </c>
      <c r="EK8" s="183">
        <f>EK6*EK7/1000</f>
        <v/>
      </c>
      <c r="EL8" s="183">
        <f>EL6*EL7/1000</f>
        <v/>
      </c>
      <c r="EM8" s="183">
        <f>EM6*EM7/1000</f>
        <v/>
      </c>
      <c r="EN8" s="183">
        <f>EN6*EN7/1000</f>
        <v/>
      </c>
      <c r="EO8" s="183">
        <f>EO6*EO7/1000</f>
        <v/>
      </c>
      <c r="EP8" s="183">
        <f>EP6*EP7/1000</f>
        <v/>
      </c>
      <c r="EQ8" s="183">
        <f>EQ6*EQ7/1000</f>
        <v/>
      </c>
      <c r="ER8" s="183">
        <f>ER6*ER7/1000</f>
        <v/>
      </c>
      <c r="ES8" s="183">
        <f>ES6*ES7/1000</f>
        <v/>
      </c>
      <c r="ET8" s="183">
        <f>ET6*ET7/1000</f>
        <v/>
      </c>
      <c r="EU8" s="183">
        <f>EU6*EU7/1000</f>
        <v/>
      </c>
      <c r="EV8" s="183">
        <f>EV6*EV7/1000</f>
        <v/>
      </c>
      <c r="EW8" s="183">
        <f>EW6*EW7/1000</f>
        <v/>
      </c>
      <c r="EX8" s="183">
        <f>EX6*EX7/1000</f>
        <v/>
      </c>
      <c r="EY8" s="183">
        <f>EY6*EY7/1000</f>
        <v/>
      </c>
      <c r="EZ8" s="183">
        <f>EZ6*EZ7/1000</f>
        <v/>
      </c>
      <c r="FA8" s="183">
        <f>FA6*FA7/1000</f>
        <v/>
      </c>
      <c r="FB8" s="183">
        <f>FB6*FB7/1000</f>
        <v/>
      </c>
      <c r="FC8" s="183">
        <f>FC6*FC7/1000</f>
        <v/>
      </c>
      <c r="FD8" s="183">
        <f>FD6*FD7/1000</f>
        <v/>
      </c>
      <c r="FE8" s="183">
        <f>FE6*FE7/1000</f>
        <v/>
      </c>
      <c r="FF8" s="183">
        <f>FF6*FF7/1000</f>
        <v/>
      </c>
      <c r="FG8" s="183">
        <f>FG6*FG7/1000</f>
        <v/>
      </c>
      <c r="FH8" s="183">
        <f>FH6*FH7/1000</f>
        <v/>
      </c>
      <c r="FI8" s="183">
        <f>FI6*FI7/1000</f>
        <v/>
      </c>
      <c r="FJ8" s="183">
        <f>FJ6*FJ7/1000</f>
        <v/>
      </c>
      <c r="FK8" s="183">
        <f>FK6*FK7/1000</f>
        <v/>
      </c>
      <c r="FL8" s="183">
        <f>FL6*FL7/1000</f>
        <v/>
      </c>
      <c r="FM8" s="183">
        <f>FM6*FM7/1000</f>
        <v/>
      </c>
      <c r="FN8" s="183">
        <f>FN6*FN7/1000</f>
        <v/>
      </c>
      <c r="FO8" s="183">
        <f>FO6*FO7/1000</f>
        <v/>
      </c>
      <c r="FP8" s="183">
        <f>FP6*FP7/1000</f>
        <v/>
      </c>
      <c r="FQ8" s="183">
        <f>FQ6*FQ7/1000</f>
        <v/>
      </c>
      <c r="FR8" s="183">
        <f>FR6*FR7/1000</f>
        <v/>
      </c>
      <c r="FS8" s="183">
        <f>FS6*FS7/1000</f>
        <v/>
      </c>
      <c r="FT8" s="183">
        <f>FT6*FT7/1000</f>
        <v/>
      </c>
      <c r="FU8" s="183">
        <f>FU6*FU7/1000</f>
        <v/>
      </c>
      <c r="FV8" s="183">
        <f>FV6*FV7/1000</f>
        <v/>
      </c>
      <c r="FW8" s="183">
        <f>FW6*FW7/1000</f>
        <v/>
      </c>
      <c r="FX8" s="183">
        <f>FX6*FX7/1000</f>
        <v/>
      </c>
      <c r="FY8" s="183">
        <f>FY6*FY7/1000</f>
        <v/>
      </c>
      <c r="FZ8" s="183">
        <f>FZ6*FZ7/1000</f>
        <v/>
      </c>
      <c r="GA8" s="183">
        <f>GA6*GA7/1000</f>
        <v/>
      </c>
      <c r="GB8" s="183">
        <f>GB6*GB7/1000</f>
        <v/>
      </c>
      <c r="GC8" s="183">
        <f>GC6*GC7/1000</f>
        <v/>
      </c>
      <c r="GD8" s="183">
        <f>GD6*GD7/1000</f>
        <v/>
      </c>
      <c r="GE8" s="183">
        <f>GE6*GE7/1000</f>
        <v/>
      </c>
      <c r="GF8" s="183">
        <f>GF6*GF7/1000</f>
        <v/>
      </c>
      <c r="GG8" s="183">
        <f>GG6*GG7/1000</f>
        <v/>
      </c>
      <c r="GH8" s="183">
        <f>GH6*GH7/1000</f>
        <v/>
      </c>
      <c r="GI8" s="183">
        <f>GI6*GI7/1000</f>
        <v/>
      </c>
      <c r="GJ8" s="183">
        <f>GJ6*GJ7/1000</f>
        <v/>
      </c>
      <c r="GK8" s="183">
        <f>GK6*GK7/1000</f>
        <v/>
      </c>
      <c r="GL8" s="183">
        <f>GL6*GL7/1000</f>
        <v/>
      </c>
      <c r="GM8" s="183">
        <f>GM6*GM7/1000</f>
        <v/>
      </c>
      <c r="GN8" s="183">
        <f>GN6*GN7/1000</f>
        <v/>
      </c>
      <c r="GO8" s="183">
        <f>GO6*GO7/1000</f>
        <v/>
      </c>
      <c r="GP8" s="183">
        <f>GP6*GP7/1000</f>
        <v/>
      </c>
      <c r="GQ8" s="183">
        <f>GQ6*GQ7/1000</f>
        <v/>
      </c>
      <c r="GR8" s="183">
        <f>GR6*GR7/1000</f>
        <v/>
      </c>
      <c r="GS8" s="183">
        <f>GS6*GS7/1000</f>
        <v/>
      </c>
      <c r="GT8" s="183">
        <f>GT6*GT7/1000</f>
        <v/>
      </c>
      <c r="GU8" s="183">
        <f>GU6*GU7/1000</f>
        <v/>
      </c>
      <c r="GV8" s="183">
        <f>GV6*GV7/1000</f>
        <v/>
      </c>
      <c r="GW8" s="183">
        <f>GW6*GW7/1000</f>
        <v/>
      </c>
      <c r="GX8" s="183">
        <f>GX6*GX7/1000</f>
        <v/>
      </c>
      <c r="GY8" s="183">
        <f>GY6*GY7/1000</f>
        <v/>
      </c>
      <c r="GZ8" s="183">
        <f>GZ6*GZ7/1000</f>
        <v/>
      </c>
      <c r="HA8" s="183">
        <f>HA6*HA7/1000</f>
        <v/>
      </c>
      <c r="HB8" s="183">
        <f>HB6*HB7/1000</f>
        <v/>
      </c>
      <c r="HC8" s="183">
        <f>HC6*HC7/1000</f>
        <v/>
      </c>
      <c r="HD8" s="183">
        <f>HD6*HD7/1000</f>
        <v/>
      </c>
      <c r="HE8" s="183">
        <f>HE6*HE7/1000</f>
        <v/>
      </c>
      <c r="HF8" s="183">
        <f>HF6*HF7/1000</f>
        <v/>
      </c>
      <c r="HG8" s="183">
        <f>HG6*HG7/1000</f>
        <v/>
      </c>
      <c r="HH8" s="183">
        <f>HH6*HH7/1000</f>
        <v/>
      </c>
      <c r="HI8" s="183">
        <f>HI6*HI7/1000</f>
        <v/>
      </c>
      <c r="HJ8" s="183">
        <f>HJ6*HJ7/1000</f>
        <v/>
      </c>
      <c r="HK8" s="183">
        <f>HK6*HK7/1000</f>
        <v/>
      </c>
      <c r="HL8" s="183">
        <f>HL6*HL7/1000</f>
        <v/>
      </c>
      <c r="HM8" s="183">
        <f>HM6*HM7/1000</f>
        <v/>
      </c>
      <c r="HN8" s="183">
        <f>HN6*HN7/1000</f>
        <v/>
      </c>
      <c r="HO8" s="183">
        <f>HO6*HO7/1000</f>
        <v/>
      </c>
      <c r="HP8" s="183">
        <f>HP6*HP7/1000</f>
        <v/>
      </c>
      <c r="HQ8" s="183">
        <f>HQ6*HQ7/1000</f>
        <v/>
      </c>
      <c r="HR8" s="183">
        <f>HR6*HR7/1000</f>
        <v/>
      </c>
      <c r="HS8" s="183">
        <f>HS6*HS7/1000</f>
        <v/>
      </c>
      <c r="HT8" s="183">
        <f>HT6*HT7/1000</f>
        <v/>
      </c>
      <c r="HU8" s="183">
        <f>HU6*HU7/1000</f>
        <v/>
      </c>
      <c r="HV8" s="183">
        <f>HV6*HV7/1000</f>
        <v/>
      </c>
      <c r="HW8" s="183">
        <f>HW6*HW7/1000</f>
        <v/>
      </c>
      <c r="HX8" s="183">
        <f>HX6*HX7/1000</f>
        <v/>
      </c>
      <c r="HY8" s="183">
        <f>HY6*HY7/1000</f>
        <v/>
      </c>
      <c r="HZ8" s="183">
        <f>HZ6*HZ7/1000</f>
        <v/>
      </c>
      <c r="IA8" s="183">
        <f>IA6*IA7/1000</f>
        <v/>
      </c>
      <c r="IB8" s="183">
        <f>IB6*IB7/1000</f>
        <v/>
      </c>
      <c r="IC8" s="183">
        <f>IC6*IC7/1000</f>
        <v/>
      </c>
      <c r="ID8" s="183">
        <f>ID6*ID7/1000</f>
        <v/>
      </c>
      <c r="IE8" s="183">
        <f>IE6*IE7/1000</f>
        <v/>
      </c>
      <c r="IF8" s="183">
        <f>IF6*IF7/1000</f>
        <v/>
      </c>
      <c r="IG8" s="183">
        <f>IG6*IG7/1000</f>
        <v/>
      </c>
      <c r="IH8" s="183">
        <f>IH6*IH7/1000</f>
        <v/>
      </c>
      <c r="II8" s="183">
        <f>II6*II7/1000</f>
        <v/>
      </c>
      <c r="IJ8" s="183">
        <f>IJ6*IJ7/1000</f>
        <v/>
      </c>
      <c r="IK8" s="183">
        <f>IK6*IK7/1000</f>
        <v/>
      </c>
      <c r="IL8" s="183">
        <f>IL6*IL7/1000</f>
        <v/>
      </c>
      <c r="IM8" s="183">
        <f>IM6*IM7/1000</f>
        <v/>
      </c>
      <c r="IN8" s="183">
        <f>IN6*IN7/1000</f>
        <v/>
      </c>
      <c r="IO8" s="183">
        <f>IO6*IO7/1000</f>
        <v/>
      </c>
      <c r="IP8" s="183">
        <f>IP6*IP7/1000</f>
        <v/>
      </c>
      <c r="IQ8" s="183">
        <f>IQ6*IQ7/1000</f>
        <v/>
      </c>
      <c r="IR8" s="183">
        <f>IR6*IR7/1000</f>
        <v/>
      </c>
      <c r="IS8" s="183">
        <f>IS6*IS7/1000</f>
        <v/>
      </c>
      <c r="IT8" s="183">
        <f>IT6*IT7/1000</f>
        <v/>
      </c>
      <c r="IU8" s="183">
        <f>IU6*IU7/1000</f>
        <v/>
      </c>
      <c r="IV8" s="183">
        <f>IV6*IV7/1000</f>
        <v/>
      </c>
      <c r="IW8" s="183">
        <f>IW6*IW7/1000</f>
        <v/>
      </c>
      <c r="IX8" s="183">
        <f>IX6*IX7/1000</f>
        <v/>
      </c>
      <c r="IY8" s="183">
        <f>IY6*IY7/1000</f>
        <v/>
      </c>
      <c r="IZ8" s="183">
        <f>IZ6*IZ7/1000</f>
        <v/>
      </c>
      <c r="JA8" s="183">
        <f>JA6*JA7/1000</f>
        <v/>
      </c>
      <c r="JB8" s="183">
        <f>JB6*JB7/1000</f>
        <v/>
      </c>
      <c r="JC8" s="183">
        <f>JC6*JC7/1000</f>
        <v/>
      </c>
      <c r="JD8" s="183">
        <f>JD6*JD7/1000</f>
        <v/>
      </c>
      <c r="JE8" s="183">
        <f>JE6*JE7/1000</f>
        <v/>
      </c>
      <c r="JF8" s="183">
        <f>JF6*JF7/1000</f>
        <v/>
      </c>
      <c r="JG8" s="183">
        <f>JG6*JG7/1000</f>
        <v/>
      </c>
      <c r="JH8" s="183">
        <f>JH6*JH7/1000</f>
        <v/>
      </c>
      <c r="JI8" s="183">
        <f>JI6*JI7/1000</f>
        <v/>
      </c>
      <c r="JJ8" s="183">
        <f>JJ6*JJ7/1000</f>
        <v/>
      </c>
      <c r="JK8" s="183">
        <f>JK6*JK7/1000</f>
        <v/>
      </c>
      <c r="JL8" s="183">
        <f>JL6*JL7/1000</f>
        <v/>
      </c>
      <c r="JM8" s="183">
        <f>JM6*JM7/1000</f>
        <v/>
      </c>
      <c r="JN8" s="183">
        <f>JN6*JN7/1000</f>
        <v/>
      </c>
      <c r="JO8" s="183">
        <f>JO6*JO7/1000</f>
        <v/>
      </c>
      <c r="JP8" s="183">
        <f>JP6*JP7/1000</f>
        <v/>
      </c>
      <c r="JQ8" s="183">
        <f>JQ6*JQ7/1000</f>
        <v/>
      </c>
      <c r="JR8" s="183">
        <f>JR6*JR7/1000</f>
        <v/>
      </c>
      <c r="JS8" s="183">
        <f>JS6*JS7/1000</f>
        <v/>
      </c>
      <c r="JT8" s="183">
        <f>JT6*JT7/1000</f>
        <v/>
      </c>
      <c r="JU8" s="183">
        <f>JU6*JU7/1000</f>
        <v/>
      </c>
      <c r="JV8" s="183">
        <f>JV6*JV7/1000</f>
        <v/>
      </c>
      <c r="JW8" s="183">
        <f>JW6*JW7/1000</f>
        <v/>
      </c>
      <c r="JX8" s="183">
        <f>JX6*JX7/1000</f>
        <v/>
      </c>
      <c r="JY8" s="183">
        <f>JY6*JY7/1000</f>
        <v/>
      </c>
      <c r="JZ8" s="183">
        <f>JZ6*JZ7/1000</f>
        <v/>
      </c>
      <c r="KA8" s="183">
        <f>KA6*KA7/1000</f>
        <v/>
      </c>
      <c r="KB8" s="183">
        <f>KB6*KB7/1000</f>
        <v/>
      </c>
      <c r="KC8" s="183">
        <f>KC6*KC7/1000</f>
        <v/>
      </c>
      <c r="KD8" s="183">
        <f>KD6*KD7/1000</f>
        <v/>
      </c>
      <c r="KE8" s="183">
        <f>KE6*KE7/1000</f>
        <v/>
      </c>
      <c r="KF8" s="183">
        <f>KF6*KF7/1000</f>
        <v/>
      </c>
      <c r="KG8" s="183">
        <f>KG6*KG7/1000</f>
        <v/>
      </c>
      <c r="KH8" s="183">
        <f>KH6*KH7/1000</f>
        <v/>
      </c>
      <c r="KI8" s="183">
        <f>KI6*KI7/1000</f>
        <v/>
      </c>
      <c r="KJ8" s="183">
        <f>KJ6*KJ7/1000</f>
        <v/>
      </c>
      <c r="KK8" s="183">
        <f>KK6*KK7/1000</f>
        <v/>
      </c>
      <c r="KL8" s="183">
        <f>KL6*KL7/1000</f>
        <v/>
      </c>
      <c r="KM8" s="183">
        <f>KM6*KM7/1000</f>
        <v/>
      </c>
      <c r="KN8" s="183">
        <f>KN6*KN7/1000</f>
        <v/>
      </c>
      <c r="KO8" s="183">
        <f>KO6*KO7/1000</f>
        <v/>
      </c>
      <c r="KP8" s="183">
        <f>KP6*KP7/1000</f>
        <v/>
      </c>
    </row>
    <row r="9" ht="16" customHeight="1" s="133">
      <c r="A9" s="177" t="inlineStr">
        <is>
          <t>OPEX (EURk)</t>
        </is>
      </c>
      <c r="B9" s="178" t="inlineStr">
        <is>
          <t>EURk</t>
        </is>
      </c>
      <c r="C9" s="179">
        <f>-Assumptions!$E$35*(1+Assumptions!$E$36)^0/12</f>
        <v/>
      </c>
      <c r="D9" s="179">
        <f>-Assumptions!$E$35*(1+Assumptions!$E$36)^0/12</f>
        <v/>
      </c>
      <c r="E9" s="179">
        <f>-Assumptions!$E$35*(1+Assumptions!$E$36)^0/12</f>
        <v/>
      </c>
      <c r="F9" s="179">
        <f>-Assumptions!$E$35*(1+Assumptions!$E$36)^0/12</f>
        <v/>
      </c>
      <c r="G9" s="179">
        <f>-Assumptions!$E$35*(1+Assumptions!$E$36)^0/12</f>
        <v/>
      </c>
      <c r="H9" s="179">
        <f>-Assumptions!$E$35*(1+Assumptions!$E$36)^0/12</f>
        <v/>
      </c>
      <c r="I9" s="179">
        <f>-Assumptions!$E$35*(1+Assumptions!$E$36)^0/12</f>
        <v/>
      </c>
      <c r="J9" s="179">
        <f>-Assumptions!$E$35*(1+Assumptions!$E$36)^0/12</f>
        <v/>
      </c>
      <c r="K9" s="179">
        <f>-Assumptions!$E$35*(1+Assumptions!$E$36)^0/12</f>
        <v/>
      </c>
      <c r="L9" s="179">
        <f>-Assumptions!$E$35*(1+Assumptions!$E$36)^0/12</f>
        <v/>
      </c>
      <c r="M9" s="179">
        <f>-Assumptions!$E$35*(1+Assumptions!$E$36)^0/12</f>
        <v/>
      </c>
      <c r="N9" s="179">
        <f>-Assumptions!$E$35*(1+Assumptions!$E$36)^0/12</f>
        <v/>
      </c>
      <c r="O9" s="179">
        <f>-Assumptions!$E$35*(1+Assumptions!$E$36)^1/12</f>
        <v/>
      </c>
      <c r="P9" s="179">
        <f>-Assumptions!$E$35*(1+Assumptions!$E$36)^1/12</f>
        <v/>
      </c>
      <c r="Q9" s="179">
        <f>-Assumptions!$E$35*(1+Assumptions!$E$36)^1/12</f>
        <v/>
      </c>
      <c r="R9" s="179">
        <f>-Assumptions!$E$35*(1+Assumptions!$E$36)^1/12</f>
        <v/>
      </c>
      <c r="S9" s="179">
        <f>-Assumptions!$E$35*(1+Assumptions!$E$36)^1/12</f>
        <v/>
      </c>
      <c r="T9" s="179">
        <f>-Assumptions!$E$35*(1+Assumptions!$E$36)^1/12</f>
        <v/>
      </c>
      <c r="U9" s="179">
        <f>-Assumptions!$E$35*(1+Assumptions!$E$36)^1/12</f>
        <v/>
      </c>
      <c r="V9" s="179">
        <f>-Assumptions!$E$35*(1+Assumptions!$E$36)^1/12</f>
        <v/>
      </c>
      <c r="W9" s="179">
        <f>-Assumptions!$E$35*(1+Assumptions!$E$36)^1/12</f>
        <v/>
      </c>
      <c r="X9" s="179">
        <f>-Assumptions!$E$35*(1+Assumptions!$E$36)^1/12</f>
        <v/>
      </c>
      <c r="Y9" s="179">
        <f>-Assumptions!$E$35*(1+Assumptions!$E$36)^1/12</f>
        <v/>
      </c>
      <c r="Z9" s="179">
        <f>-Assumptions!$E$35*(1+Assumptions!$E$36)^1/12</f>
        <v/>
      </c>
      <c r="AA9" s="179">
        <f>-Assumptions!$E$35*(1+Assumptions!$E$36)^2/12</f>
        <v/>
      </c>
      <c r="AB9" s="179">
        <f>-Assumptions!$E$35*(1+Assumptions!$E$36)^2/12</f>
        <v/>
      </c>
      <c r="AC9" s="179">
        <f>-Assumptions!$E$35*(1+Assumptions!$E$36)^2/12</f>
        <v/>
      </c>
      <c r="AD9" s="179">
        <f>-Assumptions!$E$35*(1+Assumptions!$E$36)^2/12</f>
        <v/>
      </c>
      <c r="AE9" s="179">
        <f>-Assumptions!$E$35*(1+Assumptions!$E$36)^2/12</f>
        <v/>
      </c>
      <c r="AF9" s="179">
        <f>-Assumptions!$E$35*(1+Assumptions!$E$36)^2/12</f>
        <v/>
      </c>
      <c r="AG9" s="179">
        <f>-Assumptions!$E$35*(1+Assumptions!$E$36)^2/12</f>
        <v/>
      </c>
      <c r="AH9" s="179">
        <f>-Assumptions!$E$35*(1+Assumptions!$E$36)^2/12</f>
        <v/>
      </c>
      <c r="AI9" s="179">
        <f>-Assumptions!$E$35*(1+Assumptions!$E$36)^2/12</f>
        <v/>
      </c>
      <c r="AJ9" s="179">
        <f>-Assumptions!$E$35*(1+Assumptions!$E$36)^2/12</f>
        <v/>
      </c>
      <c r="AK9" s="179">
        <f>-Assumptions!$E$35*(1+Assumptions!$E$36)^2/12</f>
        <v/>
      </c>
      <c r="AL9" s="179">
        <f>-Assumptions!$E$35*(1+Assumptions!$E$36)^2/12</f>
        <v/>
      </c>
      <c r="AM9" s="179">
        <f>-Assumptions!$E$35*(1+Assumptions!$E$36)^3/12</f>
        <v/>
      </c>
      <c r="AN9" s="179">
        <f>-Assumptions!$E$35*(1+Assumptions!$E$36)^3/12</f>
        <v/>
      </c>
      <c r="AO9" s="179">
        <f>-Assumptions!$E$35*(1+Assumptions!$E$36)^3/12</f>
        <v/>
      </c>
      <c r="AP9" s="179">
        <f>-Assumptions!$E$35*(1+Assumptions!$E$36)^3/12</f>
        <v/>
      </c>
      <c r="AQ9" s="179">
        <f>-Assumptions!$E$35*(1+Assumptions!$E$36)^3/12</f>
        <v/>
      </c>
      <c r="AR9" s="179">
        <f>-Assumptions!$E$35*(1+Assumptions!$E$36)^3/12</f>
        <v/>
      </c>
      <c r="AS9" s="179">
        <f>-Assumptions!$E$35*(1+Assumptions!$E$36)^3/12</f>
        <v/>
      </c>
      <c r="AT9" s="179">
        <f>-Assumptions!$E$35*(1+Assumptions!$E$36)^3/12</f>
        <v/>
      </c>
      <c r="AU9" s="179">
        <f>-Assumptions!$E$35*(1+Assumptions!$E$36)^3/12</f>
        <v/>
      </c>
      <c r="AV9" s="179">
        <f>-Assumptions!$E$35*(1+Assumptions!$E$36)^3/12</f>
        <v/>
      </c>
      <c r="AW9" s="179">
        <f>-Assumptions!$E$35*(1+Assumptions!$E$36)^3/12</f>
        <v/>
      </c>
      <c r="AX9" s="179">
        <f>-Assumptions!$E$35*(1+Assumptions!$E$36)^3/12</f>
        <v/>
      </c>
      <c r="AY9" s="179">
        <f>-Assumptions!$E$35*(1+Assumptions!$E$36)^4/12</f>
        <v/>
      </c>
      <c r="AZ9" s="179">
        <f>-Assumptions!$E$35*(1+Assumptions!$E$36)^4/12</f>
        <v/>
      </c>
      <c r="BA9" s="179">
        <f>-Assumptions!$E$35*(1+Assumptions!$E$36)^4/12</f>
        <v/>
      </c>
      <c r="BB9" s="179">
        <f>-Assumptions!$E$35*(1+Assumptions!$E$36)^4/12</f>
        <v/>
      </c>
      <c r="BC9" s="179">
        <f>-Assumptions!$E$35*(1+Assumptions!$E$36)^4/12</f>
        <v/>
      </c>
      <c r="BD9" s="179">
        <f>-Assumptions!$E$35*(1+Assumptions!$E$36)^4/12</f>
        <v/>
      </c>
      <c r="BE9" s="179">
        <f>-Assumptions!$E$35*(1+Assumptions!$E$36)^4/12</f>
        <v/>
      </c>
      <c r="BF9" s="179">
        <f>-Assumptions!$E$35*(1+Assumptions!$E$36)^4/12</f>
        <v/>
      </c>
      <c r="BG9" s="179">
        <f>-Assumptions!$E$35*(1+Assumptions!$E$36)^4/12</f>
        <v/>
      </c>
      <c r="BH9" s="179">
        <f>-Assumptions!$E$35*(1+Assumptions!$E$36)^4/12</f>
        <v/>
      </c>
      <c r="BI9" s="179">
        <f>-Assumptions!$E$35*(1+Assumptions!$E$36)^4/12</f>
        <v/>
      </c>
      <c r="BJ9" s="179">
        <f>-Assumptions!$E$35*(1+Assumptions!$E$36)^4/12</f>
        <v/>
      </c>
      <c r="BK9" s="179">
        <f>-Assumptions!$E$35*(1+Assumptions!$E$36)^5/12</f>
        <v/>
      </c>
      <c r="BL9" s="179">
        <f>-Assumptions!$E$35*(1+Assumptions!$E$36)^5/12</f>
        <v/>
      </c>
      <c r="BM9" s="179">
        <f>-Assumptions!$E$35*(1+Assumptions!$E$36)^5/12</f>
        <v/>
      </c>
      <c r="BN9" s="179">
        <f>-Assumptions!$E$35*(1+Assumptions!$E$36)^5/12</f>
        <v/>
      </c>
      <c r="BO9" s="179">
        <f>-Assumptions!$E$35*(1+Assumptions!$E$36)^5/12</f>
        <v/>
      </c>
      <c r="BP9" s="179">
        <f>-Assumptions!$E$35*(1+Assumptions!$E$36)^5/12</f>
        <v/>
      </c>
      <c r="BQ9" s="179">
        <f>-Assumptions!$E$35*(1+Assumptions!$E$36)^5/12</f>
        <v/>
      </c>
      <c r="BR9" s="179">
        <f>-Assumptions!$E$35*(1+Assumptions!$E$36)^5/12</f>
        <v/>
      </c>
      <c r="BS9" s="179">
        <f>-Assumptions!$E$35*(1+Assumptions!$E$36)^5/12</f>
        <v/>
      </c>
      <c r="BT9" s="179">
        <f>-Assumptions!$E$35*(1+Assumptions!$E$36)^5/12</f>
        <v/>
      </c>
      <c r="BU9" s="179">
        <f>-Assumptions!$E$35*(1+Assumptions!$E$36)^5/12</f>
        <v/>
      </c>
      <c r="BV9" s="179">
        <f>-Assumptions!$E$35*(1+Assumptions!$E$36)^5/12</f>
        <v/>
      </c>
      <c r="BW9" s="179">
        <f>-Assumptions!$E$35*(1+Assumptions!$E$36)^6/12</f>
        <v/>
      </c>
      <c r="BX9" s="179">
        <f>-Assumptions!$E$35*(1+Assumptions!$E$36)^6/12</f>
        <v/>
      </c>
      <c r="BY9" s="179">
        <f>-Assumptions!$E$35*(1+Assumptions!$E$36)^6/12</f>
        <v/>
      </c>
      <c r="BZ9" s="179">
        <f>-Assumptions!$E$35*(1+Assumptions!$E$36)^6/12</f>
        <v/>
      </c>
      <c r="CA9" s="179">
        <f>-Assumptions!$E$35*(1+Assumptions!$E$36)^6/12</f>
        <v/>
      </c>
      <c r="CB9" s="179">
        <f>-Assumptions!$E$35*(1+Assumptions!$E$36)^6/12</f>
        <v/>
      </c>
      <c r="CC9" s="179">
        <f>-Assumptions!$E$35*(1+Assumptions!$E$36)^6/12</f>
        <v/>
      </c>
      <c r="CD9" s="179">
        <f>-Assumptions!$E$35*(1+Assumptions!$E$36)^6/12</f>
        <v/>
      </c>
      <c r="CE9" s="179">
        <f>-Assumptions!$E$35*(1+Assumptions!$E$36)^6/12</f>
        <v/>
      </c>
      <c r="CF9" s="179">
        <f>-Assumptions!$E$35*(1+Assumptions!$E$36)^6/12</f>
        <v/>
      </c>
      <c r="CG9" s="179">
        <f>-Assumptions!$E$35*(1+Assumptions!$E$36)^6/12</f>
        <v/>
      </c>
      <c r="CH9" s="179">
        <f>-Assumptions!$E$35*(1+Assumptions!$E$36)^6/12</f>
        <v/>
      </c>
      <c r="CI9" s="179">
        <f>-Assumptions!$E$35*(1+Assumptions!$E$36)^7/12</f>
        <v/>
      </c>
      <c r="CJ9" s="179">
        <f>-Assumptions!$E$35*(1+Assumptions!$E$36)^7/12</f>
        <v/>
      </c>
      <c r="CK9" s="179">
        <f>-Assumptions!$E$35*(1+Assumptions!$E$36)^7/12</f>
        <v/>
      </c>
      <c r="CL9" s="179">
        <f>-Assumptions!$E$35*(1+Assumptions!$E$36)^7/12</f>
        <v/>
      </c>
      <c r="CM9" s="179">
        <f>-Assumptions!$E$35*(1+Assumptions!$E$36)^7/12</f>
        <v/>
      </c>
      <c r="CN9" s="179">
        <f>-Assumptions!$E$35*(1+Assumptions!$E$36)^7/12</f>
        <v/>
      </c>
      <c r="CO9" s="179">
        <f>-Assumptions!$E$35*(1+Assumptions!$E$36)^7/12</f>
        <v/>
      </c>
      <c r="CP9" s="179">
        <f>-Assumptions!$E$35*(1+Assumptions!$E$36)^7/12</f>
        <v/>
      </c>
      <c r="CQ9" s="179">
        <f>-Assumptions!$E$35*(1+Assumptions!$E$36)^7/12</f>
        <v/>
      </c>
      <c r="CR9" s="179">
        <f>-Assumptions!$E$35*(1+Assumptions!$E$36)^7/12</f>
        <v/>
      </c>
      <c r="CS9" s="179">
        <f>-Assumptions!$E$35*(1+Assumptions!$E$36)^7/12</f>
        <v/>
      </c>
      <c r="CT9" s="179">
        <f>-Assumptions!$E$35*(1+Assumptions!$E$36)^7/12</f>
        <v/>
      </c>
      <c r="CU9" s="179">
        <f>-Assumptions!$E$35*(1+Assumptions!$E$36)^8/12</f>
        <v/>
      </c>
      <c r="CV9" s="179">
        <f>-Assumptions!$E$35*(1+Assumptions!$E$36)^8/12</f>
        <v/>
      </c>
      <c r="CW9" s="179">
        <f>-Assumptions!$E$35*(1+Assumptions!$E$36)^8/12</f>
        <v/>
      </c>
      <c r="CX9" s="179">
        <f>-Assumptions!$E$35*(1+Assumptions!$E$36)^8/12</f>
        <v/>
      </c>
      <c r="CY9" s="179">
        <f>-Assumptions!$E$35*(1+Assumptions!$E$36)^8/12</f>
        <v/>
      </c>
      <c r="CZ9" s="179">
        <f>-Assumptions!$E$35*(1+Assumptions!$E$36)^8/12</f>
        <v/>
      </c>
      <c r="DA9" s="179">
        <f>-Assumptions!$E$35*(1+Assumptions!$E$36)^8/12</f>
        <v/>
      </c>
      <c r="DB9" s="179">
        <f>-Assumptions!$E$35*(1+Assumptions!$E$36)^8/12</f>
        <v/>
      </c>
      <c r="DC9" s="179">
        <f>-Assumptions!$E$35*(1+Assumptions!$E$36)^8/12</f>
        <v/>
      </c>
      <c r="DD9" s="179">
        <f>-Assumptions!$E$35*(1+Assumptions!$E$36)^8/12</f>
        <v/>
      </c>
      <c r="DE9" s="179">
        <f>-Assumptions!$E$35*(1+Assumptions!$E$36)^8/12</f>
        <v/>
      </c>
      <c r="DF9" s="179">
        <f>-Assumptions!$E$35*(1+Assumptions!$E$36)^8/12</f>
        <v/>
      </c>
      <c r="DG9" s="179">
        <f>-Assumptions!$E$35*(1+Assumptions!$E$36)^9/12</f>
        <v/>
      </c>
      <c r="DH9" s="179">
        <f>-Assumptions!$E$35*(1+Assumptions!$E$36)^9/12</f>
        <v/>
      </c>
      <c r="DI9" s="179">
        <f>-Assumptions!$E$35*(1+Assumptions!$E$36)^9/12</f>
        <v/>
      </c>
      <c r="DJ9" s="179">
        <f>-Assumptions!$E$35*(1+Assumptions!$E$36)^9/12</f>
        <v/>
      </c>
      <c r="DK9" s="179">
        <f>-Assumptions!$E$35*(1+Assumptions!$E$36)^9/12</f>
        <v/>
      </c>
      <c r="DL9" s="179">
        <f>-Assumptions!$E$35*(1+Assumptions!$E$36)^9/12</f>
        <v/>
      </c>
      <c r="DM9" s="179">
        <f>-Assumptions!$E$35*(1+Assumptions!$E$36)^9/12</f>
        <v/>
      </c>
      <c r="DN9" s="179">
        <f>-Assumptions!$E$35*(1+Assumptions!$E$36)^9/12</f>
        <v/>
      </c>
      <c r="DO9" s="179">
        <f>-Assumptions!$E$35*(1+Assumptions!$E$36)^9/12</f>
        <v/>
      </c>
      <c r="DP9" s="179">
        <f>-Assumptions!$E$35*(1+Assumptions!$E$36)^9/12</f>
        <v/>
      </c>
      <c r="DQ9" s="179">
        <f>-Assumptions!$E$35*(1+Assumptions!$E$36)^9/12</f>
        <v/>
      </c>
      <c r="DR9" s="179">
        <f>-Assumptions!$E$35*(1+Assumptions!$E$36)^9/12</f>
        <v/>
      </c>
      <c r="DS9" s="179">
        <f>-Assumptions!$E$35*(1+Assumptions!$E$36)^10/12</f>
        <v/>
      </c>
      <c r="DT9" s="179">
        <f>-Assumptions!$E$35*(1+Assumptions!$E$36)^10/12</f>
        <v/>
      </c>
      <c r="DU9" s="179">
        <f>-Assumptions!$E$35*(1+Assumptions!$E$36)^10/12</f>
        <v/>
      </c>
      <c r="DV9" s="179">
        <f>-Assumptions!$E$35*(1+Assumptions!$E$36)^10/12</f>
        <v/>
      </c>
      <c r="DW9" s="179">
        <f>-Assumptions!$E$35*(1+Assumptions!$E$36)^10/12</f>
        <v/>
      </c>
      <c r="DX9" s="179">
        <f>-Assumptions!$E$35*(1+Assumptions!$E$36)^10/12</f>
        <v/>
      </c>
      <c r="DY9" s="179">
        <f>-Assumptions!$E$35*(1+Assumptions!$E$36)^10/12</f>
        <v/>
      </c>
      <c r="DZ9" s="179">
        <f>-Assumptions!$E$35*(1+Assumptions!$E$36)^10/12</f>
        <v/>
      </c>
      <c r="EA9" s="179">
        <f>-Assumptions!$E$35*(1+Assumptions!$E$36)^10/12</f>
        <v/>
      </c>
      <c r="EB9" s="179">
        <f>-Assumptions!$E$35*(1+Assumptions!$E$36)^10/12</f>
        <v/>
      </c>
      <c r="EC9" s="179">
        <f>-Assumptions!$E$35*(1+Assumptions!$E$36)^10/12</f>
        <v/>
      </c>
      <c r="ED9" s="179">
        <f>-Assumptions!$E$35*(1+Assumptions!$E$36)^10/12</f>
        <v/>
      </c>
      <c r="EE9" s="179">
        <f>-Assumptions!$E$35*(1+Assumptions!$E$36)^11/12</f>
        <v/>
      </c>
      <c r="EF9" s="179">
        <f>-Assumptions!$E$35*(1+Assumptions!$E$36)^11/12</f>
        <v/>
      </c>
      <c r="EG9" s="179">
        <f>-Assumptions!$E$35*(1+Assumptions!$E$36)^11/12</f>
        <v/>
      </c>
      <c r="EH9" s="179">
        <f>-Assumptions!$E$35*(1+Assumptions!$E$36)^11/12</f>
        <v/>
      </c>
      <c r="EI9" s="179">
        <f>-Assumptions!$E$35*(1+Assumptions!$E$36)^11/12</f>
        <v/>
      </c>
      <c r="EJ9" s="179">
        <f>-Assumptions!$E$35*(1+Assumptions!$E$36)^11/12</f>
        <v/>
      </c>
      <c r="EK9" s="179">
        <f>-Assumptions!$E$35*(1+Assumptions!$E$36)^11/12</f>
        <v/>
      </c>
      <c r="EL9" s="179">
        <f>-Assumptions!$E$35*(1+Assumptions!$E$36)^11/12</f>
        <v/>
      </c>
      <c r="EM9" s="179">
        <f>-Assumptions!$E$35*(1+Assumptions!$E$36)^11/12</f>
        <v/>
      </c>
      <c r="EN9" s="179">
        <f>-Assumptions!$E$35*(1+Assumptions!$E$36)^11/12</f>
        <v/>
      </c>
      <c r="EO9" s="179">
        <f>-Assumptions!$E$35*(1+Assumptions!$E$36)^11/12</f>
        <v/>
      </c>
      <c r="EP9" s="179">
        <f>-Assumptions!$E$35*(1+Assumptions!$E$36)^11/12</f>
        <v/>
      </c>
      <c r="EQ9" s="179">
        <f>-Assumptions!$E$35*(1+Assumptions!$E$36)^12/12</f>
        <v/>
      </c>
      <c r="ER9" s="179">
        <f>-Assumptions!$E$35*(1+Assumptions!$E$36)^12/12</f>
        <v/>
      </c>
      <c r="ES9" s="179">
        <f>-Assumptions!$E$35*(1+Assumptions!$E$36)^12/12</f>
        <v/>
      </c>
      <c r="ET9" s="179">
        <f>-Assumptions!$E$35*(1+Assumptions!$E$36)^12/12</f>
        <v/>
      </c>
      <c r="EU9" s="179">
        <f>-Assumptions!$E$35*(1+Assumptions!$E$36)^12/12</f>
        <v/>
      </c>
      <c r="EV9" s="179">
        <f>-Assumptions!$E$35*(1+Assumptions!$E$36)^12/12</f>
        <v/>
      </c>
      <c r="EW9" s="179">
        <f>-Assumptions!$E$35*(1+Assumptions!$E$36)^12/12</f>
        <v/>
      </c>
      <c r="EX9" s="179">
        <f>-Assumptions!$E$35*(1+Assumptions!$E$36)^12/12</f>
        <v/>
      </c>
      <c r="EY9" s="179">
        <f>-Assumptions!$E$35*(1+Assumptions!$E$36)^12/12</f>
        <v/>
      </c>
      <c r="EZ9" s="179">
        <f>-Assumptions!$E$35*(1+Assumptions!$E$36)^12/12</f>
        <v/>
      </c>
      <c r="FA9" s="179">
        <f>-Assumptions!$E$35*(1+Assumptions!$E$36)^12/12</f>
        <v/>
      </c>
      <c r="FB9" s="179">
        <f>-Assumptions!$E$35*(1+Assumptions!$E$36)^12/12</f>
        <v/>
      </c>
      <c r="FC9" s="179">
        <f>-Assumptions!$E$35*(1+Assumptions!$E$36)^13/12</f>
        <v/>
      </c>
      <c r="FD9" s="179">
        <f>-Assumptions!$E$35*(1+Assumptions!$E$36)^13/12</f>
        <v/>
      </c>
      <c r="FE9" s="179">
        <f>-Assumptions!$E$35*(1+Assumptions!$E$36)^13/12</f>
        <v/>
      </c>
      <c r="FF9" s="179">
        <f>-Assumptions!$E$35*(1+Assumptions!$E$36)^13/12</f>
        <v/>
      </c>
      <c r="FG9" s="179">
        <f>-Assumptions!$E$35*(1+Assumptions!$E$36)^13/12</f>
        <v/>
      </c>
      <c r="FH9" s="179">
        <f>-Assumptions!$E$35*(1+Assumptions!$E$36)^13/12</f>
        <v/>
      </c>
      <c r="FI9" s="179">
        <f>-Assumptions!$E$35*(1+Assumptions!$E$36)^13/12</f>
        <v/>
      </c>
      <c r="FJ9" s="179">
        <f>-Assumptions!$E$35*(1+Assumptions!$E$36)^13/12</f>
        <v/>
      </c>
      <c r="FK9" s="179">
        <f>-Assumptions!$E$35*(1+Assumptions!$E$36)^13/12</f>
        <v/>
      </c>
      <c r="FL9" s="179">
        <f>-Assumptions!$E$35*(1+Assumptions!$E$36)^13/12</f>
        <v/>
      </c>
      <c r="FM9" s="179">
        <f>-Assumptions!$E$35*(1+Assumptions!$E$36)^13/12</f>
        <v/>
      </c>
      <c r="FN9" s="179">
        <f>-Assumptions!$E$35*(1+Assumptions!$E$36)^13/12</f>
        <v/>
      </c>
      <c r="FO9" s="179">
        <f>-Assumptions!$E$35*(1+Assumptions!$E$36)^14/12</f>
        <v/>
      </c>
      <c r="FP9" s="179">
        <f>-Assumptions!$E$35*(1+Assumptions!$E$36)^14/12</f>
        <v/>
      </c>
      <c r="FQ9" s="179">
        <f>-Assumptions!$E$35*(1+Assumptions!$E$36)^14/12</f>
        <v/>
      </c>
      <c r="FR9" s="179">
        <f>-Assumptions!$E$35*(1+Assumptions!$E$36)^14/12</f>
        <v/>
      </c>
      <c r="FS9" s="179">
        <f>-Assumptions!$E$35*(1+Assumptions!$E$36)^14/12</f>
        <v/>
      </c>
      <c r="FT9" s="179">
        <f>-Assumptions!$E$35*(1+Assumptions!$E$36)^14/12</f>
        <v/>
      </c>
      <c r="FU9" s="179">
        <f>-Assumptions!$E$35*(1+Assumptions!$E$36)^14/12</f>
        <v/>
      </c>
      <c r="FV9" s="179">
        <f>-Assumptions!$E$35*(1+Assumptions!$E$36)^14/12</f>
        <v/>
      </c>
      <c r="FW9" s="179">
        <f>-Assumptions!$E$35*(1+Assumptions!$E$36)^14/12</f>
        <v/>
      </c>
      <c r="FX9" s="179">
        <f>-Assumptions!$E$35*(1+Assumptions!$E$36)^14/12</f>
        <v/>
      </c>
      <c r="FY9" s="179">
        <f>-Assumptions!$E$35*(1+Assumptions!$E$36)^14/12</f>
        <v/>
      </c>
      <c r="FZ9" s="179">
        <f>-Assumptions!$E$35*(1+Assumptions!$E$36)^14/12</f>
        <v/>
      </c>
      <c r="GA9" s="179">
        <f>-Assumptions!$E$35*(1+Assumptions!$E$36)^15/12</f>
        <v/>
      </c>
      <c r="GB9" s="179">
        <f>-Assumptions!$E$35*(1+Assumptions!$E$36)^15/12</f>
        <v/>
      </c>
      <c r="GC9" s="179">
        <f>-Assumptions!$E$35*(1+Assumptions!$E$36)^15/12</f>
        <v/>
      </c>
      <c r="GD9" s="179">
        <f>-Assumptions!$E$35*(1+Assumptions!$E$36)^15/12</f>
        <v/>
      </c>
      <c r="GE9" s="179">
        <f>-Assumptions!$E$35*(1+Assumptions!$E$36)^15/12</f>
        <v/>
      </c>
      <c r="GF9" s="179">
        <f>-Assumptions!$E$35*(1+Assumptions!$E$36)^15/12</f>
        <v/>
      </c>
      <c r="GG9" s="179">
        <f>-Assumptions!$E$35*(1+Assumptions!$E$36)^15/12</f>
        <v/>
      </c>
      <c r="GH9" s="179">
        <f>-Assumptions!$E$35*(1+Assumptions!$E$36)^15/12</f>
        <v/>
      </c>
      <c r="GI9" s="179">
        <f>-Assumptions!$E$35*(1+Assumptions!$E$36)^15/12</f>
        <v/>
      </c>
      <c r="GJ9" s="179">
        <f>-Assumptions!$E$35*(1+Assumptions!$E$36)^15/12</f>
        <v/>
      </c>
      <c r="GK9" s="179">
        <f>-Assumptions!$E$35*(1+Assumptions!$E$36)^15/12</f>
        <v/>
      </c>
      <c r="GL9" s="179">
        <f>-Assumptions!$E$35*(1+Assumptions!$E$36)^15/12</f>
        <v/>
      </c>
      <c r="GM9" s="179">
        <f>-Assumptions!$E$35*(1+Assumptions!$E$36)^16/12</f>
        <v/>
      </c>
      <c r="GN9" s="179">
        <f>-Assumptions!$E$35*(1+Assumptions!$E$36)^16/12</f>
        <v/>
      </c>
      <c r="GO9" s="179">
        <f>-Assumptions!$E$35*(1+Assumptions!$E$36)^16/12</f>
        <v/>
      </c>
      <c r="GP9" s="179">
        <f>-Assumptions!$E$35*(1+Assumptions!$E$36)^16/12</f>
        <v/>
      </c>
      <c r="GQ9" s="179">
        <f>-Assumptions!$E$35*(1+Assumptions!$E$36)^16/12</f>
        <v/>
      </c>
      <c r="GR9" s="179">
        <f>-Assumptions!$E$35*(1+Assumptions!$E$36)^16/12</f>
        <v/>
      </c>
      <c r="GS9" s="179">
        <f>-Assumptions!$E$35*(1+Assumptions!$E$36)^16/12</f>
        <v/>
      </c>
      <c r="GT9" s="179">
        <f>-Assumptions!$E$35*(1+Assumptions!$E$36)^16/12</f>
        <v/>
      </c>
      <c r="GU9" s="179">
        <f>-Assumptions!$E$35*(1+Assumptions!$E$36)^16/12</f>
        <v/>
      </c>
      <c r="GV9" s="179">
        <f>-Assumptions!$E$35*(1+Assumptions!$E$36)^16/12</f>
        <v/>
      </c>
      <c r="GW9" s="179">
        <f>-Assumptions!$E$35*(1+Assumptions!$E$36)^16/12</f>
        <v/>
      </c>
      <c r="GX9" s="179">
        <f>-Assumptions!$E$35*(1+Assumptions!$E$36)^16/12</f>
        <v/>
      </c>
      <c r="GY9" s="179">
        <f>-Assumptions!$E$35*(1+Assumptions!$E$36)^17/12</f>
        <v/>
      </c>
      <c r="GZ9" s="179">
        <f>-Assumptions!$E$35*(1+Assumptions!$E$36)^17/12</f>
        <v/>
      </c>
      <c r="HA9" s="179">
        <f>-Assumptions!$E$35*(1+Assumptions!$E$36)^17/12</f>
        <v/>
      </c>
      <c r="HB9" s="179">
        <f>-Assumptions!$E$35*(1+Assumptions!$E$36)^17/12</f>
        <v/>
      </c>
      <c r="HC9" s="179">
        <f>-Assumptions!$E$35*(1+Assumptions!$E$36)^17/12</f>
        <v/>
      </c>
      <c r="HD9" s="179">
        <f>-Assumptions!$E$35*(1+Assumptions!$E$36)^17/12</f>
        <v/>
      </c>
      <c r="HE9" s="179">
        <f>-Assumptions!$E$35*(1+Assumptions!$E$36)^17/12</f>
        <v/>
      </c>
      <c r="HF9" s="179">
        <f>-Assumptions!$E$35*(1+Assumptions!$E$36)^17/12</f>
        <v/>
      </c>
      <c r="HG9" s="179">
        <f>-Assumptions!$E$35*(1+Assumptions!$E$36)^17/12</f>
        <v/>
      </c>
      <c r="HH9" s="179">
        <f>-Assumptions!$E$35*(1+Assumptions!$E$36)^17/12</f>
        <v/>
      </c>
      <c r="HI9" s="179">
        <f>-Assumptions!$E$35*(1+Assumptions!$E$36)^17/12</f>
        <v/>
      </c>
      <c r="HJ9" s="179">
        <f>-Assumptions!$E$35*(1+Assumptions!$E$36)^17/12</f>
        <v/>
      </c>
      <c r="HK9" s="179">
        <f>-Assumptions!$E$35*(1+Assumptions!$E$36)^18/12</f>
        <v/>
      </c>
      <c r="HL9" s="179">
        <f>-Assumptions!$E$35*(1+Assumptions!$E$36)^18/12</f>
        <v/>
      </c>
      <c r="HM9" s="179">
        <f>-Assumptions!$E$35*(1+Assumptions!$E$36)^18/12</f>
        <v/>
      </c>
      <c r="HN9" s="179">
        <f>-Assumptions!$E$35*(1+Assumptions!$E$36)^18/12</f>
        <v/>
      </c>
      <c r="HO9" s="179">
        <f>-Assumptions!$E$35*(1+Assumptions!$E$36)^18/12</f>
        <v/>
      </c>
      <c r="HP9" s="179">
        <f>-Assumptions!$E$35*(1+Assumptions!$E$36)^18/12</f>
        <v/>
      </c>
      <c r="HQ9" s="179">
        <f>-Assumptions!$E$35*(1+Assumptions!$E$36)^18/12</f>
        <v/>
      </c>
      <c r="HR9" s="179">
        <f>-Assumptions!$E$35*(1+Assumptions!$E$36)^18/12</f>
        <v/>
      </c>
      <c r="HS9" s="179">
        <f>-Assumptions!$E$35*(1+Assumptions!$E$36)^18/12</f>
        <v/>
      </c>
      <c r="HT9" s="179">
        <f>-Assumptions!$E$35*(1+Assumptions!$E$36)^18/12</f>
        <v/>
      </c>
      <c r="HU9" s="179">
        <f>-Assumptions!$E$35*(1+Assumptions!$E$36)^18/12</f>
        <v/>
      </c>
      <c r="HV9" s="179">
        <f>-Assumptions!$E$35*(1+Assumptions!$E$36)^18/12</f>
        <v/>
      </c>
      <c r="HW9" s="179">
        <f>-Assumptions!$E$35*(1+Assumptions!$E$36)^19/12</f>
        <v/>
      </c>
      <c r="HX9" s="179">
        <f>-Assumptions!$E$35*(1+Assumptions!$E$36)^19/12</f>
        <v/>
      </c>
      <c r="HY9" s="179">
        <f>-Assumptions!$E$35*(1+Assumptions!$E$36)^19/12</f>
        <v/>
      </c>
      <c r="HZ9" s="179">
        <f>-Assumptions!$E$35*(1+Assumptions!$E$36)^19/12</f>
        <v/>
      </c>
      <c r="IA9" s="179">
        <f>-Assumptions!$E$35*(1+Assumptions!$E$36)^19/12</f>
        <v/>
      </c>
      <c r="IB9" s="179">
        <f>-Assumptions!$E$35*(1+Assumptions!$E$36)^19/12</f>
        <v/>
      </c>
      <c r="IC9" s="179">
        <f>-Assumptions!$E$35*(1+Assumptions!$E$36)^19/12</f>
        <v/>
      </c>
      <c r="ID9" s="179">
        <f>-Assumptions!$E$35*(1+Assumptions!$E$36)^19/12</f>
        <v/>
      </c>
      <c r="IE9" s="179">
        <f>-Assumptions!$E$35*(1+Assumptions!$E$36)^19/12</f>
        <v/>
      </c>
      <c r="IF9" s="179">
        <f>-Assumptions!$E$35*(1+Assumptions!$E$36)^19/12</f>
        <v/>
      </c>
      <c r="IG9" s="179">
        <f>-Assumptions!$E$35*(1+Assumptions!$E$36)^19/12</f>
        <v/>
      </c>
      <c r="IH9" s="179">
        <f>-Assumptions!$E$35*(1+Assumptions!$E$36)^19/12</f>
        <v/>
      </c>
      <c r="II9" s="179">
        <f>-Assumptions!$E$35*(1+Assumptions!$E$36)^20/12</f>
        <v/>
      </c>
      <c r="IJ9" s="179">
        <f>-Assumptions!$E$35*(1+Assumptions!$E$36)^20/12</f>
        <v/>
      </c>
      <c r="IK9" s="179">
        <f>-Assumptions!$E$35*(1+Assumptions!$E$36)^20/12</f>
        <v/>
      </c>
      <c r="IL9" s="179">
        <f>-Assumptions!$E$35*(1+Assumptions!$E$36)^20/12</f>
        <v/>
      </c>
      <c r="IM9" s="179">
        <f>-Assumptions!$E$35*(1+Assumptions!$E$36)^20/12</f>
        <v/>
      </c>
      <c r="IN9" s="179">
        <f>-Assumptions!$E$35*(1+Assumptions!$E$36)^20/12</f>
        <v/>
      </c>
      <c r="IO9" s="179">
        <f>-Assumptions!$E$35*(1+Assumptions!$E$36)^20/12</f>
        <v/>
      </c>
      <c r="IP9" s="179">
        <f>-Assumptions!$E$35*(1+Assumptions!$E$36)^20/12</f>
        <v/>
      </c>
      <c r="IQ9" s="179">
        <f>-Assumptions!$E$35*(1+Assumptions!$E$36)^20/12</f>
        <v/>
      </c>
      <c r="IR9" s="179">
        <f>-Assumptions!$E$35*(1+Assumptions!$E$36)^20/12</f>
        <v/>
      </c>
      <c r="IS9" s="179">
        <f>-Assumptions!$E$35*(1+Assumptions!$E$36)^20/12</f>
        <v/>
      </c>
      <c r="IT9" s="179">
        <f>-Assumptions!$E$35*(1+Assumptions!$E$36)^20/12</f>
        <v/>
      </c>
      <c r="IU9" s="179">
        <f>-Assumptions!$E$35*(1+Assumptions!$E$36)^21/12</f>
        <v/>
      </c>
      <c r="IV9" s="179">
        <f>-Assumptions!$E$35*(1+Assumptions!$E$36)^21/12</f>
        <v/>
      </c>
      <c r="IW9" s="179">
        <f>-Assumptions!$E$35*(1+Assumptions!$E$36)^21/12</f>
        <v/>
      </c>
      <c r="IX9" s="179">
        <f>-Assumptions!$E$35*(1+Assumptions!$E$36)^21/12</f>
        <v/>
      </c>
      <c r="IY9" s="179">
        <f>-Assumptions!$E$35*(1+Assumptions!$E$36)^21/12</f>
        <v/>
      </c>
      <c r="IZ9" s="179">
        <f>-Assumptions!$E$35*(1+Assumptions!$E$36)^21/12</f>
        <v/>
      </c>
      <c r="JA9" s="179">
        <f>-Assumptions!$E$35*(1+Assumptions!$E$36)^21/12</f>
        <v/>
      </c>
      <c r="JB9" s="179">
        <f>-Assumptions!$E$35*(1+Assumptions!$E$36)^21/12</f>
        <v/>
      </c>
      <c r="JC9" s="179">
        <f>-Assumptions!$E$35*(1+Assumptions!$E$36)^21/12</f>
        <v/>
      </c>
      <c r="JD9" s="179">
        <f>-Assumptions!$E$35*(1+Assumptions!$E$36)^21/12</f>
        <v/>
      </c>
      <c r="JE9" s="179">
        <f>-Assumptions!$E$35*(1+Assumptions!$E$36)^21/12</f>
        <v/>
      </c>
      <c r="JF9" s="179">
        <f>-Assumptions!$E$35*(1+Assumptions!$E$36)^21/12</f>
        <v/>
      </c>
      <c r="JG9" s="179">
        <f>-Assumptions!$E$35*(1+Assumptions!$E$36)^22/12</f>
        <v/>
      </c>
      <c r="JH9" s="179">
        <f>-Assumptions!$E$35*(1+Assumptions!$E$36)^22/12</f>
        <v/>
      </c>
      <c r="JI9" s="179">
        <f>-Assumptions!$E$35*(1+Assumptions!$E$36)^22/12</f>
        <v/>
      </c>
      <c r="JJ9" s="179">
        <f>-Assumptions!$E$35*(1+Assumptions!$E$36)^22/12</f>
        <v/>
      </c>
      <c r="JK9" s="179">
        <f>-Assumptions!$E$35*(1+Assumptions!$E$36)^22/12</f>
        <v/>
      </c>
      <c r="JL9" s="179">
        <f>-Assumptions!$E$35*(1+Assumptions!$E$36)^22/12</f>
        <v/>
      </c>
      <c r="JM9" s="179">
        <f>-Assumptions!$E$35*(1+Assumptions!$E$36)^22/12</f>
        <v/>
      </c>
      <c r="JN9" s="179">
        <f>-Assumptions!$E$35*(1+Assumptions!$E$36)^22/12</f>
        <v/>
      </c>
      <c r="JO9" s="179">
        <f>-Assumptions!$E$35*(1+Assumptions!$E$36)^22/12</f>
        <v/>
      </c>
      <c r="JP9" s="179">
        <f>-Assumptions!$E$35*(1+Assumptions!$E$36)^22/12</f>
        <v/>
      </c>
      <c r="JQ9" s="179">
        <f>-Assumptions!$E$35*(1+Assumptions!$E$36)^22/12</f>
        <v/>
      </c>
      <c r="JR9" s="179">
        <f>-Assumptions!$E$35*(1+Assumptions!$E$36)^22/12</f>
        <v/>
      </c>
      <c r="JS9" s="179">
        <f>-Assumptions!$E$35*(1+Assumptions!$E$36)^23/12</f>
        <v/>
      </c>
      <c r="JT9" s="179">
        <f>-Assumptions!$E$35*(1+Assumptions!$E$36)^23/12</f>
        <v/>
      </c>
      <c r="JU9" s="179">
        <f>-Assumptions!$E$35*(1+Assumptions!$E$36)^23/12</f>
        <v/>
      </c>
      <c r="JV9" s="179">
        <f>-Assumptions!$E$35*(1+Assumptions!$E$36)^23/12</f>
        <v/>
      </c>
      <c r="JW9" s="179">
        <f>-Assumptions!$E$35*(1+Assumptions!$E$36)^23/12</f>
        <v/>
      </c>
      <c r="JX9" s="179">
        <f>-Assumptions!$E$35*(1+Assumptions!$E$36)^23/12</f>
        <v/>
      </c>
      <c r="JY9" s="179">
        <f>-Assumptions!$E$35*(1+Assumptions!$E$36)^23/12</f>
        <v/>
      </c>
      <c r="JZ9" s="179">
        <f>-Assumptions!$E$35*(1+Assumptions!$E$36)^23/12</f>
        <v/>
      </c>
      <c r="KA9" s="179">
        <f>-Assumptions!$E$35*(1+Assumptions!$E$36)^23/12</f>
        <v/>
      </c>
      <c r="KB9" s="179">
        <f>-Assumptions!$E$35*(1+Assumptions!$E$36)^23/12</f>
        <v/>
      </c>
      <c r="KC9" s="179">
        <f>-Assumptions!$E$35*(1+Assumptions!$E$36)^23/12</f>
        <v/>
      </c>
      <c r="KD9" s="179">
        <f>-Assumptions!$E$35*(1+Assumptions!$E$36)^23/12</f>
        <v/>
      </c>
      <c r="KE9" s="179">
        <f>-Assumptions!$E$35*(1+Assumptions!$E$36)^24/12</f>
        <v/>
      </c>
      <c r="KF9" s="179">
        <f>-Assumptions!$E$35*(1+Assumptions!$E$36)^24/12</f>
        <v/>
      </c>
      <c r="KG9" s="179">
        <f>-Assumptions!$E$35*(1+Assumptions!$E$36)^24/12</f>
        <v/>
      </c>
      <c r="KH9" s="179">
        <f>-Assumptions!$E$35*(1+Assumptions!$E$36)^24/12</f>
        <v/>
      </c>
      <c r="KI9" s="179">
        <f>-Assumptions!$E$35*(1+Assumptions!$E$36)^24/12</f>
        <v/>
      </c>
      <c r="KJ9" s="179">
        <f>-Assumptions!$E$35*(1+Assumptions!$E$36)^24/12</f>
        <v/>
      </c>
      <c r="KK9" s="179">
        <f>-Assumptions!$E$35*(1+Assumptions!$E$36)^24/12</f>
        <v/>
      </c>
      <c r="KL9" s="179">
        <f>-Assumptions!$E$35*(1+Assumptions!$E$36)^24/12</f>
        <v/>
      </c>
      <c r="KM9" s="179">
        <f>-Assumptions!$E$35*(1+Assumptions!$E$36)^24/12</f>
        <v/>
      </c>
      <c r="KN9" s="179">
        <f>-Assumptions!$E$35*(1+Assumptions!$E$36)^24/12</f>
        <v/>
      </c>
      <c r="KO9" s="179">
        <f>-Assumptions!$E$35*(1+Assumptions!$E$36)^24/12</f>
        <v/>
      </c>
      <c r="KP9" s="179">
        <f>-Assumptions!$E$35*(1+Assumptions!$E$36)^24/12</f>
        <v/>
      </c>
    </row>
    <row r="10" ht="16" customHeight="1" s="133">
      <c r="A10" s="181" t="inlineStr">
        <is>
          <t>EBITDA (EURk)</t>
        </is>
      </c>
      <c r="B10" s="182" t="inlineStr">
        <is>
          <t>EURk</t>
        </is>
      </c>
      <c r="C10" s="183">
        <f>C8+C9</f>
        <v/>
      </c>
      <c r="D10" s="183">
        <f>D8+D9</f>
        <v/>
      </c>
      <c r="E10" s="183">
        <f>E8+E9</f>
        <v/>
      </c>
      <c r="F10" s="183">
        <f>F8+F9</f>
        <v/>
      </c>
      <c r="G10" s="183">
        <f>G8+G9</f>
        <v/>
      </c>
      <c r="H10" s="183">
        <f>H8+H9</f>
        <v/>
      </c>
      <c r="I10" s="183">
        <f>I8+I9</f>
        <v/>
      </c>
      <c r="J10" s="183">
        <f>J8+J9</f>
        <v/>
      </c>
      <c r="K10" s="183">
        <f>K8+K9</f>
        <v/>
      </c>
      <c r="L10" s="183">
        <f>L8+L9</f>
        <v/>
      </c>
      <c r="M10" s="183">
        <f>M8+M9</f>
        <v/>
      </c>
      <c r="N10" s="183">
        <f>N8+N9</f>
        <v/>
      </c>
      <c r="O10" s="183">
        <f>O8+O9</f>
        <v/>
      </c>
      <c r="P10" s="183">
        <f>P8+P9</f>
        <v/>
      </c>
      <c r="Q10" s="183">
        <f>Q8+Q9</f>
        <v/>
      </c>
      <c r="R10" s="183">
        <f>R8+R9</f>
        <v/>
      </c>
      <c r="S10" s="183">
        <f>S8+S9</f>
        <v/>
      </c>
      <c r="T10" s="183">
        <f>T8+T9</f>
        <v/>
      </c>
      <c r="U10" s="183">
        <f>U8+U9</f>
        <v/>
      </c>
      <c r="V10" s="183">
        <f>V8+V9</f>
        <v/>
      </c>
      <c r="W10" s="183">
        <f>W8+W9</f>
        <v/>
      </c>
      <c r="X10" s="183">
        <f>X8+X9</f>
        <v/>
      </c>
      <c r="Y10" s="183">
        <f>Y8+Y9</f>
        <v/>
      </c>
      <c r="Z10" s="183">
        <f>Z8+Z9</f>
        <v/>
      </c>
      <c r="AA10" s="183">
        <f>AA8+AA9</f>
        <v/>
      </c>
      <c r="AB10" s="183">
        <f>AB8+AB9</f>
        <v/>
      </c>
      <c r="AC10" s="183">
        <f>AC8+AC9</f>
        <v/>
      </c>
      <c r="AD10" s="183">
        <f>AD8+AD9</f>
        <v/>
      </c>
      <c r="AE10" s="183">
        <f>AE8+AE9</f>
        <v/>
      </c>
      <c r="AF10" s="183">
        <f>AF8+AF9</f>
        <v/>
      </c>
      <c r="AG10" s="183">
        <f>AG8+AG9</f>
        <v/>
      </c>
      <c r="AH10" s="183">
        <f>AH8+AH9</f>
        <v/>
      </c>
      <c r="AI10" s="183">
        <f>AI8+AI9</f>
        <v/>
      </c>
      <c r="AJ10" s="183">
        <f>AJ8+AJ9</f>
        <v/>
      </c>
      <c r="AK10" s="183">
        <f>AK8+AK9</f>
        <v/>
      </c>
      <c r="AL10" s="183">
        <f>AL8+AL9</f>
        <v/>
      </c>
      <c r="AM10" s="183">
        <f>AM8+AM9</f>
        <v/>
      </c>
      <c r="AN10" s="183">
        <f>AN8+AN9</f>
        <v/>
      </c>
      <c r="AO10" s="183">
        <f>AO8+AO9</f>
        <v/>
      </c>
      <c r="AP10" s="183">
        <f>AP8+AP9</f>
        <v/>
      </c>
      <c r="AQ10" s="183">
        <f>AQ8+AQ9</f>
        <v/>
      </c>
      <c r="AR10" s="183">
        <f>AR8+AR9</f>
        <v/>
      </c>
      <c r="AS10" s="183">
        <f>AS8+AS9</f>
        <v/>
      </c>
      <c r="AT10" s="183">
        <f>AT8+AT9</f>
        <v/>
      </c>
      <c r="AU10" s="183">
        <f>AU8+AU9</f>
        <v/>
      </c>
      <c r="AV10" s="183">
        <f>AV8+AV9</f>
        <v/>
      </c>
      <c r="AW10" s="183">
        <f>AW8+AW9</f>
        <v/>
      </c>
      <c r="AX10" s="183">
        <f>AX8+AX9</f>
        <v/>
      </c>
      <c r="AY10" s="183">
        <f>AY8+AY9</f>
        <v/>
      </c>
      <c r="AZ10" s="183">
        <f>AZ8+AZ9</f>
        <v/>
      </c>
      <c r="BA10" s="183">
        <f>BA8+BA9</f>
        <v/>
      </c>
      <c r="BB10" s="183">
        <f>BB8+BB9</f>
        <v/>
      </c>
      <c r="BC10" s="183">
        <f>BC8+BC9</f>
        <v/>
      </c>
      <c r="BD10" s="183">
        <f>BD8+BD9</f>
        <v/>
      </c>
      <c r="BE10" s="183">
        <f>BE8+BE9</f>
        <v/>
      </c>
      <c r="BF10" s="183">
        <f>BF8+BF9</f>
        <v/>
      </c>
      <c r="BG10" s="183">
        <f>BG8+BG9</f>
        <v/>
      </c>
      <c r="BH10" s="183">
        <f>BH8+BH9</f>
        <v/>
      </c>
      <c r="BI10" s="183">
        <f>BI8+BI9</f>
        <v/>
      </c>
      <c r="BJ10" s="183">
        <f>BJ8+BJ9</f>
        <v/>
      </c>
      <c r="BK10" s="183">
        <f>BK8+BK9</f>
        <v/>
      </c>
      <c r="BL10" s="183">
        <f>BL8+BL9</f>
        <v/>
      </c>
      <c r="BM10" s="183">
        <f>BM8+BM9</f>
        <v/>
      </c>
      <c r="BN10" s="183">
        <f>BN8+BN9</f>
        <v/>
      </c>
      <c r="BO10" s="183">
        <f>BO8+BO9</f>
        <v/>
      </c>
      <c r="BP10" s="183">
        <f>BP8+BP9</f>
        <v/>
      </c>
      <c r="BQ10" s="183">
        <f>BQ8+BQ9</f>
        <v/>
      </c>
      <c r="BR10" s="183">
        <f>BR8+BR9</f>
        <v/>
      </c>
      <c r="BS10" s="183">
        <f>BS8+BS9</f>
        <v/>
      </c>
      <c r="BT10" s="183">
        <f>BT8+BT9</f>
        <v/>
      </c>
      <c r="BU10" s="183">
        <f>BU8+BU9</f>
        <v/>
      </c>
      <c r="BV10" s="183">
        <f>BV8+BV9</f>
        <v/>
      </c>
      <c r="BW10" s="183">
        <f>BW8+BW9</f>
        <v/>
      </c>
      <c r="BX10" s="183">
        <f>BX8+BX9</f>
        <v/>
      </c>
      <c r="BY10" s="183">
        <f>BY8+BY9</f>
        <v/>
      </c>
      <c r="BZ10" s="183">
        <f>BZ8+BZ9</f>
        <v/>
      </c>
      <c r="CA10" s="183">
        <f>CA8+CA9</f>
        <v/>
      </c>
      <c r="CB10" s="183">
        <f>CB8+CB9</f>
        <v/>
      </c>
      <c r="CC10" s="183">
        <f>CC8+CC9</f>
        <v/>
      </c>
      <c r="CD10" s="183">
        <f>CD8+CD9</f>
        <v/>
      </c>
      <c r="CE10" s="183">
        <f>CE8+CE9</f>
        <v/>
      </c>
      <c r="CF10" s="183">
        <f>CF8+CF9</f>
        <v/>
      </c>
      <c r="CG10" s="183">
        <f>CG8+CG9</f>
        <v/>
      </c>
      <c r="CH10" s="183">
        <f>CH8+CH9</f>
        <v/>
      </c>
      <c r="CI10" s="183">
        <f>CI8+CI9</f>
        <v/>
      </c>
      <c r="CJ10" s="183">
        <f>CJ8+CJ9</f>
        <v/>
      </c>
      <c r="CK10" s="183">
        <f>CK8+CK9</f>
        <v/>
      </c>
      <c r="CL10" s="183">
        <f>CL8+CL9</f>
        <v/>
      </c>
      <c r="CM10" s="183">
        <f>CM8+CM9</f>
        <v/>
      </c>
      <c r="CN10" s="183">
        <f>CN8+CN9</f>
        <v/>
      </c>
      <c r="CO10" s="183">
        <f>CO8+CO9</f>
        <v/>
      </c>
      <c r="CP10" s="183">
        <f>CP8+CP9</f>
        <v/>
      </c>
      <c r="CQ10" s="183">
        <f>CQ8+CQ9</f>
        <v/>
      </c>
      <c r="CR10" s="183">
        <f>CR8+CR9</f>
        <v/>
      </c>
      <c r="CS10" s="183">
        <f>CS8+CS9</f>
        <v/>
      </c>
      <c r="CT10" s="183">
        <f>CT8+CT9</f>
        <v/>
      </c>
      <c r="CU10" s="183">
        <f>CU8+CU9</f>
        <v/>
      </c>
      <c r="CV10" s="183">
        <f>CV8+CV9</f>
        <v/>
      </c>
      <c r="CW10" s="183">
        <f>CW8+CW9</f>
        <v/>
      </c>
      <c r="CX10" s="183">
        <f>CX8+CX9</f>
        <v/>
      </c>
      <c r="CY10" s="183">
        <f>CY8+CY9</f>
        <v/>
      </c>
      <c r="CZ10" s="183">
        <f>CZ8+CZ9</f>
        <v/>
      </c>
      <c r="DA10" s="183">
        <f>DA8+DA9</f>
        <v/>
      </c>
      <c r="DB10" s="183">
        <f>DB8+DB9</f>
        <v/>
      </c>
      <c r="DC10" s="183">
        <f>DC8+DC9</f>
        <v/>
      </c>
      <c r="DD10" s="183">
        <f>DD8+DD9</f>
        <v/>
      </c>
      <c r="DE10" s="183">
        <f>DE8+DE9</f>
        <v/>
      </c>
      <c r="DF10" s="183">
        <f>DF8+DF9</f>
        <v/>
      </c>
      <c r="DG10" s="183">
        <f>DG8+DG9</f>
        <v/>
      </c>
      <c r="DH10" s="183">
        <f>DH8+DH9</f>
        <v/>
      </c>
      <c r="DI10" s="183">
        <f>DI8+DI9</f>
        <v/>
      </c>
      <c r="DJ10" s="183">
        <f>DJ8+DJ9</f>
        <v/>
      </c>
      <c r="DK10" s="183">
        <f>DK8+DK9</f>
        <v/>
      </c>
      <c r="DL10" s="183">
        <f>DL8+DL9</f>
        <v/>
      </c>
      <c r="DM10" s="183">
        <f>DM8+DM9</f>
        <v/>
      </c>
      <c r="DN10" s="183">
        <f>DN8+DN9</f>
        <v/>
      </c>
      <c r="DO10" s="183">
        <f>DO8+DO9</f>
        <v/>
      </c>
      <c r="DP10" s="183">
        <f>DP8+DP9</f>
        <v/>
      </c>
      <c r="DQ10" s="183">
        <f>DQ8+DQ9</f>
        <v/>
      </c>
      <c r="DR10" s="183">
        <f>DR8+DR9</f>
        <v/>
      </c>
      <c r="DS10" s="183">
        <f>DS8+DS9</f>
        <v/>
      </c>
      <c r="DT10" s="183">
        <f>DT8+DT9</f>
        <v/>
      </c>
      <c r="DU10" s="183">
        <f>DU8+DU9</f>
        <v/>
      </c>
      <c r="DV10" s="183">
        <f>DV8+DV9</f>
        <v/>
      </c>
      <c r="DW10" s="183">
        <f>DW8+DW9</f>
        <v/>
      </c>
      <c r="DX10" s="183">
        <f>DX8+DX9</f>
        <v/>
      </c>
      <c r="DY10" s="183">
        <f>DY8+DY9</f>
        <v/>
      </c>
      <c r="DZ10" s="183">
        <f>DZ8+DZ9</f>
        <v/>
      </c>
      <c r="EA10" s="183">
        <f>EA8+EA9</f>
        <v/>
      </c>
      <c r="EB10" s="183">
        <f>EB8+EB9</f>
        <v/>
      </c>
      <c r="EC10" s="183">
        <f>EC8+EC9</f>
        <v/>
      </c>
      <c r="ED10" s="183">
        <f>ED8+ED9</f>
        <v/>
      </c>
      <c r="EE10" s="183">
        <f>EE8+EE9</f>
        <v/>
      </c>
      <c r="EF10" s="183">
        <f>EF8+EF9</f>
        <v/>
      </c>
      <c r="EG10" s="183">
        <f>EG8+EG9</f>
        <v/>
      </c>
      <c r="EH10" s="183">
        <f>EH8+EH9</f>
        <v/>
      </c>
      <c r="EI10" s="183">
        <f>EI8+EI9</f>
        <v/>
      </c>
      <c r="EJ10" s="183">
        <f>EJ8+EJ9</f>
        <v/>
      </c>
      <c r="EK10" s="183">
        <f>EK8+EK9</f>
        <v/>
      </c>
      <c r="EL10" s="183">
        <f>EL8+EL9</f>
        <v/>
      </c>
      <c r="EM10" s="183">
        <f>EM8+EM9</f>
        <v/>
      </c>
      <c r="EN10" s="183">
        <f>EN8+EN9</f>
        <v/>
      </c>
      <c r="EO10" s="183">
        <f>EO8+EO9</f>
        <v/>
      </c>
      <c r="EP10" s="183">
        <f>EP8+EP9</f>
        <v/>
      </c>
      <c r="EQ10" s="183">
        <f>EQ8+EQ9</f>
        <v/>
      </c>
      <c r="ER10" s="183">
        <f>ER8+ER9</f>
        <v/>
      </c>
      <c r="ES10" s="183">
        <f>ES8+ES9</f>
        <v/>
      </c>
      <c r="ET10" s="183">
        <f>ET8+ET9</f>
        <v/>
      </c>
      <c r="EU10" s="183">
        <f>EU8+EU9</f>
        <v/>
      </c>
      <c r="EV10" s="183">
        <f>EV8+EV9</f>
        <v/>
      </c>
      <c r="EW10" s="183">
        <f>EW8+EW9</f>
        <v/>
      </c>
      <c r="EX10" s="183">
        <f>EX8+EX9</f>
        <v/>
      </c>
      <c r="EY10" s="183">
        <f>EY8+EY9</f>
        <v/>
      </c>
      <c r="EZ10" s="183">
        <f>EZ8+EZ9</f>
        <v/>
      </c>
      <c r="FA10" s="183">
        <f>FA8+FA9</f>
        <v/>
      </c>
      <c r="FB10" s="183">
        <f>FB8+FB9</f>
        <v/>
      </c>
      <c r="FC10" s="183">
        <f>FC8+FC9</f>
        <v/>
      </c>
      <c r="FD10" s="183">
        <f>FD8+FD9</f>
        <v/>
      </c>
      <c r="FE10" s="183">
        <f>FE8+FE9</f>
        <v/>
      </c>
      <c r="FF10" s="183">
        <f>FF8+FF9</f>
        <v/>
      </c>
      <c r="FG10" s="183">
        <f>FG8+FG9</f>
        <v/>
      </c>
      <c r="FH10" s="183">
        <f>FH8+FH9</f>
        <v/>
      </c>
      <c r="FI10" s="183">
        <f>FI8+FI9</f>
        <v/>
      </c>
      <c r="FJ10" s="183">
        <f>FJ8+FJ9</f>
        <v/>
      </c>
      <c r="FK10" s="183">
        <f>FK8+FK9</f>
        <v/>
      </c>
      <c r="FL10" s="183">
        <f>FL8+FL9</f>
        <v/>
      </c>
      <c r="FM10" s="183">
        <f>FM8+FM9</f>
        <v/>
      </c>
      <c r="FN10" s="183">
        <f>FN8+FN9</f>
        <v/>
      </c>
      <c r="FO10" s="183">
        <f>FO8+FO9</f>
        <v/>
      </c>
      <c r="FP10" s="183">
        <f>FP8+FP9</f>
        <v/>
      </c>
      <c r="FQ10" s="183">
        <f>FQ8+FQ9</f>
        <v/>
      </c>
      <c r="FR10" s="183">
        <f>FR8+FR9</f>
        <v/>
      </c>
      <c r="FS10" s="183">
        <f>FS8+FS9</f>
        <v/>
      </c>
      <c r="FT10" s="183">
        <f>FT8+FT9</f>
        <v/>
      </c>
      <c r="FU10" s="183">
        <f>FU8+FU9</f>
        <v/>
      </c>
      <c r="FV10" s="183">
        <f>FV8+FV9</f>
        <v/>
      </c>
      <c r="FW10" s="183">
        <f>FW8+FW9</f>
        <v/>
      </c>
      <c r="FX10" s="183">
        <f>FX8+FX9</f>
        <v/>
      </c>
      <c r="FY10" s="183">
        <f>FY8+FY9</f>
        <v/>
      </c>
      <c r="FZ10" s="183">
        <f>FZ8+FZ9</f>
        <v/>
      </c>
      <c r="GA10" s="183">
        <f>GA8+GA9</f>
        <v/>
      </c>
      <c r="GB10" s="183">
        <f>GB8+GB9</f>
        <v/>
      </c>
      <c r="GC10" s="183">
        <f>GC8+GC9</f>
        <v/>
      </c>
      <c r="GD10" s="183">
        <f>GD8+GD9</f>
        <v/>
      </c>
      <c r="GE10" s="183">
        <f>GE8+GE9</f>
        <v/>
      </c>
      <c r="GF10" s="183">
        <f>GF8+GF9</f>
        <v/>
      </c>
      <c r="GG10" s="183">
        <f>GG8+GG9</f>
        <v/>
      </c>
      <c r="GH10" s="183">
        <f>GH8+GH9</f>
        <v/>
      </c>
      <c r="GI10" s="183">
        <f>GI8+GI9</f>
        <v/>
      </c>
      <c r="GJ10" s="183">
        <f>GJ8+GJ9</f>
        <v/>
      </c>
      <c r="GK10" s="183">
        <f>GK8+GK9</f>
        <v/>
      </c>
      <c r="GL10" s="183">
        <f>GL8+GL9</f>
        <v/>
      </c>
      <c r="GM10" s="183">
        <f>GM8+GM9</f>
        <v/>
      </c>
      <c r="GN10" s="183">
        <f>GN8+GN9</f>
        <v/>
      </c>
      <c r="GO10" s="183">
        <f>GO8+GO9</f>
        <v/>
      </c>
      <c r="GP10" s="183">
        <f>GP8+GP9</f>
        <v/>
      </c>
      <c r="GQ10" s="183">
        <f>GQ8+GQ9</f>
        <v/>
      </c>
      <c r="GR10" s="183">
        <f>GR8+GR9</f>
        <v/>
      </c>
      <c r="GS10" s="183">
        <f>GS8+GS9</f>
        <v/>
      </c>
      <c r="GT10" s="183">
        <f>GT8+GT9</f>
        <v/>
      </c>
      <c r="GU10" s="183">
        <f>GU8+GU9</f>
        <v/>
      </c>
      <c r="GV10" s="183">
        <f>GV8+GV9</f>
        <v/>
      </c>
      <c r="GW10" s="183">
        <f>GW8+GW9</f>
        <v/>
      </c>
      <c r="GX10" s="183">
        <f>GX8+GX9</f>
        <v/>
      </c>
      <c r="GY10" s="183">
        <f>GY8+GY9</f>
        <v/>
      </c>
      <c r="GZ10" s="183">
        <f>GZ8+GZ9</f>
        <v/>
      </c>
      <c r="HA10" s="183">
        <f>HA8+HA9</f>
        <v/>
      </c>
      <c r="HB10" s="183">
        <f>HB8+HB9</f>
        <v/>
      </c>
      <c r="HC10" s="183">
        <f>HC8+HC9</f>
        <v/>
      </c>
      <c r="HD10" s="183">
        <f>HD8+HD9</f>
        <v/>
      </c>
      <c r="HE10" s="183">
        <f>HE8+HE9</f>
        <v/>
      </c>
      <c r="HF10" s="183">
        <f>HF8+HF9</f>
        <v/>
      </c>
      <c r="HG10" s="183">
        <f>HG8+HG9</f>
        <v/>
      </c>
      <c r="HH10" s="183">
        <f>HH8+HH9</f>
        <v/>
      </c>
      <c r="HI10" s="183">
        <f>HI8+HI9</f>
        <v/>
      </c>
      <c r="HJ10" s="183">
        <f>HJ8+HJ9</f>
        <v/>
      </c>
      <c r="HK10" s="183">
        <f>HK8+HK9</f>
        <v/>
      </c>
      <c r="HL10" s="183">
        <f>HL8+HL9</f>
        <v/>
      </c>
      <c r="HM10" s="183">
        <f>HM8+HM9</f>
        <v/>
      </c>
      <c r="HN10" s="183">
        <f>HN8+HN9</f>
        <v/>
      </c>
      <c r="HO10" s="183">
        <f>HO8+HO9</f>
        <v/>
      </c>
      <c r="HP10" s="183">
        <f>HP8+HP9</f>
        <v/>
      </c>
      <c r="HQ10" s="183">
        <f>HQ8+HQ9</f>
        <v/>
      </c>
      <c r="HR10" s="183">
        <f>HR8+HR9</f>
        <v/>
      </c>
      <c r="HS10" s="183">
        <f>HS8+HS9</f>
        <v/>
      </c>
      <c r="HT10" s="183">
        <f>HT8+HT9</f>
        <v/>
      </c>
      <c r="HU10" s="183">
        <f>HU8+HU9</f>
        <v/>
      </c>
      <c r="HV10" s="183">
        <f>HV8+HV9</f>
        <v/>
      </c>
      <c r="HW10" s="183">
        <f>HW8+HW9</f>
        <v/>
      </c>
      <c r="HX10" s="183">
        <f>HX8+HX9</f>
        <v/>
      </c>
      <c r="HY10" s="183">
        <f>HY8+HY9</f>
        <v/>
      </c>
      <c r="HZ10" s="183">
        <f>HZ8+HZ9</f>
        <v/>
      </c>
      <c r="IA10" s="183">
        <f>IA8+IA9</f>
        <v/>
      </c>
      <c r="IB10" s="183">
        <f>IB8+IB9</f>
        <v/>
      </c>
      <c r="IC10" s="183">
        <f>IC8+IC9</f>
        <v/>
      </c>
      <c r="ID10" s="183">
        <f>ID8+ID9</f>
        <v/>
      </c>
      <c r="IE10" s="183">
        <f>IE8+IE9</f>
        <v/>
      </c>
      <c r="IF10" s="183">
        <f>IF8+IF9</f>
        <v/>
      </c>
      <c r="IG10" s="183">
        <f>IG8+IG9</f>
        <v/>
      </c>
      <c r="IH10" s="183">
        <f>IH8+IH9</f>
        <v/>
      </c>
      <c r="II10" s="183">
        <f>II8+II9</f>
        <v/>
      </c>
      <c r="IJ10" s="183">
        <f>IJ8+IJ9</f>
        <v/>
      </c>
      <c r="IK10" s="183">
        <f>IK8+IK9</f>
        <v/>
      </c>
      <c r="IL10" s="183">
        <f>IL8+IL9</f>
        <v/>
      </c>
      <c r="IM10" s="183">
        <f>IM8+IM9</f>
        <v/>
      </c>
      <c r="IN10" s="183">
        <f>IN8+IN9</f>
        <v/>
      </c>
      <c r="IO10" s="183">
        <f>IO8+IO9</f>
        <v/>
      </c>
      <c r="IP10" s="183">
        <f>IP8+IP9</f>
        <v/>
      </c>
      <c r="IQ10" s="183">
        <f>IQ8+IQ9</f>
        <v/>
      </c>
      <c r="IR10" s="183">
        <f>IR8+IR9</f>
        <v/>
      </c>
      <c r="IS10" s="183">
        <f>IS8+IS9</f>
        <v/>
      </c>
      <c r="IT10" s="183">
        <f>IT8+IT9</f>
        <v/>
      </c>
      <c r="IU10" s="183">
        <f>IU8+IU9</f>
        <v/>
      </c>
      <c r="IV10" s="183">
        <f>IV8+IV9</f>
        <v/>
      </c>
      <c r="IW10" s="183">
        <f>IW8+IW9</f>
        <v/>
      </c>
      <c r="IX10" s="183">
        <f>IX8+IX9</f>
        <v/>
      </c>
      <c r="IY10" s="183">
        <f>IY8+IY9</f>
        <v/>
      </c>
      <c r="IZ10" s="183">
        <f>IZ8+IZ9</f>
        <v/>
      </c>
      <c r="JA10" s="183">
        <f>JA8+JA9</f>
        <v/>
      </c>
      <c r="JB10" s="183">
        <f>JB8+JB9</f>
        <v/>
      </c>
      <c r="JC10" s="183">
        <f>JC8+JC9</f>
        <v/>
      </c>
      <c r="JD10" s="183">
        <f>JD8+JD9</f>
        <v/>
      </c>
      <c r="JE10" s="183">
        <f>JE8+JE9</f>
        <v/>
      </c>
      <c r="JF10" s="183">
        <f>JF8+JF9</f>
        <v/>
      </c>
      <c r="JG10" s="183">
        <f>JG8+JG9</f>
        <v/>
      </c>
      <c r="JH10" s="183">
        <f>JH8+JH9</f>
        <v/>
      </c>
      <c r="JI10" s="183">
        <f>JI8+JI9</f>
        <v/>
      </c>
      <c r="JJ10" s="183">
        <f>JJ8+JJ9</f>
        <v/>
      </c>
      <c r="JK10" s="183">
        <f>JK8+JK9</f>
        <v/>
      </c>
      <c r="JL10" s="183">
        <f>JL8+JL9</f>
        <v/>
      </c>
      <c r="JM10" s="183">
        <f>JM8+JM9</f>
        <v/>
      </c>
      <c r="JN10" s="183">
        <f>JN8+JN9</f>
        <v/>
      </c>
      <c r="JO10" s="183">
        <f>JO8+JO9</f>
        <v/>
      </c>
      <c r="JP10" s="183">
        <f>JP8+JP9</f>
        <v/>
      </c>
      <c r="JQ10" s="183">
        <f>JQ8+JQ9</f>
        <v/>
      </c>
      <c r="JR10" s="183">
        <f>JR8+JR9</f>
        <v/>
      </c>
      <c r="JS10" s="183">
        <f>JS8+JS9</f>
        <v/>
      </c>
      <c r="JT10" s="183">
        <f>JT8+JT9</f>
        <v/>
      </c>
      <c r="JU10" s="183">
        <f>JU8+JU9</f>
        <v/>
      </c>
      <c r="JV10" s="183">
        <f>JV8+JV9</f>
        <v/>
      </c>
      <c r="JW10" s="183">
        <f>JW8+JW9</f>
        <v/>
      </c>
      <c r="JX10" s="183">
        <f>JX8+JX9</f>
        <v/>
      </c>
      <c r="JY10" s="183">
        <f>JY8+JY9</f>
        <v/>
      </c>
      <c r="JZ10" s="183">
        <f>JZ8+JZ9</f>
        <v/>
      </c>
      <c r="KA10" s="183">
        <f>KA8+KA9</f>
        <v/>
      </c>
      <c r="KB10" s="183">
        <f>KB8+KB9</f>
        <v/>
      </c>
      <c r="KC10" s="183">
        <f>KC8+KC9</f>
        <v/>
      </c>
      <c r="KD10" s="183">
        <f>KD8+KD9</f>
        <v/>
      </c>
      <c r="KE10" s="183">
        <f>KE8+KE9</f>
        <v/>
      </c>
      <c r="KF10" s="183">
        <f>KF8+KF9</f>
        <v/>
      </c>
      <c r="KG10" s="183">
        <f>KG8+KG9</f>
        <v/>
      </c>
      <c r="KH10" s="183">
        <f>KH8+KH9</f>
        <v/>
      </c>
      <c r="KI10" s="183">
        <f>KI8+KI9</f>
        <v/>
      </c>
      <c r="KJ10" s="183">
        <f>KJ8+KJ9</f>
        <v/>
      </c>
      <c r="KK10" s="183">
        <f>KK8+KK9</f>
        <v/>
      </c>
      <c r="KL10" s="183">
        <f>KL8+KL9</f>
        <v/>
      </c>
      <c r="KM10" s="183">
        <f>KM8+KM9</f>
        <v/>
      </c>
      <c r="KN10" s="183">
        <f>KN8+KN9</f>
        <v/>
      </c>
      <c r="KO10" s="183">
        <f>KO8+KO9</f>
        <v/>
      </c>
      <c r="KP10" s="183">
        <f>KP8+KP9</f>
        <v/>
      </c>
    </row>
    <row r="11" ht="16" customHeight="1" s="133">
      <c r="A11" s="177" t="inlineStr">
        <is>
          <t>Tax (EURk)</t>
        </is>
      </c>
      <c r="B11" s="178" t="inlineStr">
        <is>
          <t>EURk</t>
        </is>
      </c>
      <c r="C11" s="179">
        <f>IF(C10&gt;0,-C10*Assumptions!$E$47,0)</f>
        <v/>
      </c>
      <c r="D11" s="179">
        <f>IF(D10&gt;0,-D10*Assumptions!$E$47,0)</f>
        <v/>
      </c>
      <c r="E11" s="179">
        <f>IF(E10&gt;0,-E10*Assumptions!$E$47,0)</f>
        <v/>
      </c>
      <c r="F11" s="179">
        <f>IF(F10&gt;0,-F10*Assumptions!$E$47,0)</f>
        <v/>
      </c>
      <c r="G11" s="179">
        <f>IF(G10&gt;0,-G10*Assumptions!$E$47,0)</f>
        <v/>
      </c>
      <c r="H11" s="179">
        <f>IF(H10&gt;0,-H10*Assumptions!$E$47,0)</f>
        <v/>
      </c>
      <c r="I11" s="179">
        <f>IF(I10&gt;0,-I10*Assumptions!$E$47,0)</f>
        <v/>
      </c>
      <c r="J11" s="179">
        <f>IF(J10&gt;0,-J10*Assumptions!$E$47,0)</f>
        <v/>
      </c>
      <c r="K11" s="179">
        <f>IF(K10&gt;0,-K10*Assumptions!$E$47,0)</f>
        <v/>
      </c>
      <c r="L11" s="179">
        <f>IF(L10&gt;0,-L10*Assumptions!$E$47,0)</f>
        <v/>
      </c>
      <c r="M11" s="179">
        <f>IF(M10&gt;0,-M10*Assumptions!$E$47,0)</f>
        <v/>
      </c>
      <c r="N11" s="179">
        <f>IF(N10&gt;0,-N10*Assumptions!$E$47,0)</f>
        <v/>
      </c>
      <c r="O11" s="179">
        <f>IF(O10&gt;0,-O10*Assumptions!$E$47,0)</f>
        <v/>
      </c>
      <c r="P11" s="179">
        <f>IF(P10&gt;0,-P10*Assumptions!$E$47,0)</f>
        <v/>
      </c>
      <c r="Q11" s="179">
        <f>IF(Q10&gt;0,-Q10*Assumptions!$E$47,0)</f>
        <v/>
      </c>
      <c r="R11" s="179">
        <f>IF(R10&gt;0,-R10*Assumptions!$E$47,0)</f>
        <v/>
      </c>
      <c r="S11" s="179">
        <f>IF(S10&gt;0,-S10*Assumptions!$E$47,0)</f>
        <v/>
      </c>
      <c r="T11" s="179">
        <f>IF(T10&gt;0,-T10*Assumptions!$E$47,0)</f>
        <v/>
      </c>
      <c r="U11" s="179">
        <f>IF(U10&gt;0,-U10*Assumptions!$E$47,0)</f>
        <v/>
      </c>
      <c r="V11" s="179">
        <f>IF(V10&gt;0,-V10*Assumptions!$E$47,0)</f>
        <v/>
      </c>
      <c r="W11" s="179">
        <f>IF(W10&gt;0,-W10*Assumptions!$E$47,0)</f>
        <v/>
      </c>
      <c r="X11" s="179">
        <f>IF(X10&gt;0,-X10*Assumptions!$E$47,0)</f>
        <v/>
      </c>
      <c r="Y11" s="179">
        <f>IF(Y10&gt;0,-Y10*Assumptions!$E$47,0)</f>
        <v/>
      </c>
      <c r="Z11" s="179">
        <f>IF(Z10&gt;0,-Z10*Assumptions!$E$47,0)</f>
        <v/>
      </c>
      <c r="AA11" s="179">
        <f>IF(AA10&gt;0,-AA10*Assumptions!$E$47,0)</f>
        <v/>
      </c>
      <c r="AB11" s="179">
        <f>IF(AB10&gt;0,-AB10*Assumptions!$E$47,0)</f>
        <v/>
      </c>
      <c r="AC11" s="179">
        <f>IF(AC10&gt;0,-AC10*Assumptions!$E$47,0)</f>
        <v/>
      </c>
      <c r="AD11" s="179">
        <f>IF(AD10&gt;0,-AD10*Assumptions!$E$47,0)</f>
        <v/>
      </c>
      <c r="AE11" s="179">
        <f>IF(AE10&gt;0,-AE10*Assumptions!$E$47,0)</f>
        <v/>
      </c>
      <c r="AF11" s="179">
        <f>IF(AF10&gt;0,-AF10*Assumptions!$E$47,0)</f>
        <v/>
      </c>
      <c r="AG11" s="179">
        <f>IF(AG10&gt;0,-AG10*Assumptions!$E$47,0)</f>
        <v/>
      </c>
      <c r="AH11" s="179">
        <f>IF(AH10&gt;0,-AH10*Assumptions!$E$47,0)</f>
        <v/>
      </c>
      <c r="AI11" s="179">
        <f>IF(AI10&gt;0,-AI10*Assumptions!$E$47,0)</f>
        <v/>
      </c>
      <c r="AJ11" s="179">
        <f>IF(AJ10&gt;0,-AJ10*Assumptions!$E$47,0)</f>
        <v/>
      </c>
      <c r="AK11" s="179">
        <f>IF(AK10&gt;0,-AK10*Assumptions!$E$47,0)</f>
        <v/>
      </c>
      <c r="AL11" s="179">
        <f>IF(AL10&gt;0,-AL10*Assumptions!$E$47,0)</f>
        <v/>
      </c>
      <c r="AM11" s="179">
        <f>IF(AM10&gt;0,-AM10*Assumptions!$E$47,0)</f>
        <v/>
      </c>
      <c r="AN11" s="179">
        <f>IF(AN10&gt;0,-AN10*Assumptions!$E$47,0)</f>
        <v/>
      </c>
      <c r="AO11" s="179">
        <f>IF(AO10&gt;0,-AO10*Assumptions!$E$47,0)</f>
        <v/>
      </c>
      <c r="AP11" s="179">
        <f>IF(AP10&gt;0,-AP10*Assumptions!$E$47,0)</f>
        <v/>
      </c>
      <c r="AQ11" s="179">
        <f>IF(AQ10&gt;0,-AQ10*Assumptions!$E$47,0)</f>
        <v/>
      </c>
      <c r="AR11" s="179">
        <f>IF(AR10&gt;0,-AR10*Assumptions!$E$47,0)</f>
        <v/>
      </c>
      <c r="AS11" s="179">
        <f>IF(AS10&gt;0,-AS10*Assumptions!$E$47,0)</f>
        <v/>
      </c>
      <c r="AT11" s="179">
        <f>IF(AT10&gt;0,-AT10*Assumptions!$E$47,0)</f>
        <v/>
      </c>
      <c r="AU11" s="179">
        <f>IF(AU10&gt;0,-AU10*Assumptions!$E$47,0)</f>
        <v/>
      </c>
      <c r="AV11" s="179">
        <f>IF(AV10&gt;0,-AV10*Assumptions!$E$47,0)</f>
        <v/>
      </c>
      <c r="AW11" s="179">
        <f>IF(AW10&gt;0,-AW10*Assumptions!$E$47,0)</f>
        <v/>
      </c>
      <c r="AX11" s="179">
        <f>IF(AX10&gt;0,-AX10*Assumptions!$E$47,0)</f>
        <v/>
      </c>
      <c r="AY11" s="179">
        <f>IF(AY10&gt;0,-AY10*Assumptions!$E$47,0)</f>
        <v/>
      </c>
      <c r="AZ11" s="179">
        <f>IF(AZ10&gt;0,-AZ10*Assumptions!$E$47,0)</f>
        <v/>
      </c>
      <c r="BA11" s="179">
        <f>IF(BA10&gt;0,-BA10*Assumptions!$E$47,0)</f>
        <v/>
      </c>
      <c r="BB11" s="179">
        <f>IF(BB10&gt;0,-BB10*Assumptions!$E$47,0)</f>
        <v/>
      </c>
      <c r="BC11" s="179">
        <f>IF(BC10&gt;0,-BC10*Assumptions!$E$47,0)</f>
        <v/>
      </c>
      <c r="BD11" s="179">
        <f>IF(BD10&gt;0,-BD10*Assumptions!$E$47,0)</f>
        <v/>
      </c>
      <c r="BE11" s="179">
        <f>IF(BE10&gt;0,-BE10*Assumptions!$E$47,0)</f>
        <v/>
      </c>
      <c r="BF11" s="179">
        <f>IF(BF10&gt;0,-BF10*Assumptions!$E$47,0)</f>
        <v/>
      </c>
      <c r="BG11" s="179">
        <f>IF(BG10&gt;0,-BG10*Assumptions!$E$47,0)</f>
        <v/>
      </c>
      <c r="BH11" s="179">
        <f>IF(BH10&gt;0,-BH10*Assumptions!$E$47,0)</f>
        <v/>
      </c>
      <c r="BI11" s="179">
        <f>IF(BI10&gt;0,-BI10*Assumptions!$E$47,0)</f>
        <v/>
      </c>
      <c r="BJ11" s="179">
        <f>IF(BJ10&gt;0,-BJ10*Assumptions!$E$47,0)</f>
        <v/>
      </c>
      <c r="BK11" s="179">
        <f>IF(BK10&gt;0,-BK10*Assumptions!$E$47,0)</f>
        <v/>
      </c>
      <c r="BL11" s="179">
        <f>IF(BL10&gt;0,-BL10*Assumptions!$E$47,0)</f>
        <v/>
      </c>
      <c r="BM11" s="179">
        <f>IF(BM10&gt;0,-BM10*Assumptions!$E$47,0)</f>
        <v/>
      </c>
      <c r="BN11" s="179">
        <f>IF(BN10&gt;0,-BN10*Assumptions!$E$47,0)</f>
        <v/>
      </c>
      <c r="BO11" s="179">
        <f>IF(BO10&gt;0,-BO10*Assumptions!$E$47,0)</f>
        <v/>
      </c>
      <c r="BP11" s="179">
        <f>IF(BP10&gt;0,-BP10*Assumptions!$E$47,0)</f>
        <v/>
      </c>
      <c r="BQ11" s="179">
        <f>IF(BQ10&gt;0,-BQ10*Assumptions!$E$47,0)</f>
        <v/>
      </c>
      <c r="BR11" s="179">
        <f>IF(BR10&gt;0,-BR10*Assumptions!$E$47,0)</f>
        <v/>
      </c>
      <c r="BS11" s="179">
        <f>IF(BS10&gt;0,-BS10*Assumptions!$E$47,0)</f>
        <v/>
      </c>
      <c r="BT11" s="179">
        <f>IF(BT10&gt;0,-BT10*Assumptions!$E$47,0)</f>
        <v/>
      </c>
      <c r="BU11" s="179">
        <f>IF(BU10&gt;0,-BU10*Assumptions!$E$47,0)</f>
        <v/>
      </c>
      <c r="BV11" s="179">
        <f>IF(BV10&gt;0,-BV10*Assumptions!$E$47,0)</f>
        <v/>
      </c>
      <c r="BW11" s="179">
        <f>IF(BW10&gt;0,-BW10*Assumptions!$E$47,0)</f>
        <v/>
      </c>
      <c r="BX11" s="179">
        <f>IF(BX10&gt;0,-BX10*Assumptions!$E$47,0)</f>
        <v/>
      </c>
      <c r="BY11" s="179">
        <f>IF(BY10&gt;0,-BY10*Assumptions!$E$47,0)</f>
        <v/>
      </c>
      <c r="BZ11" s="179">
        <f>IF(BZ10&gt;0,-BZ10*Assumptions!$E$47,0)</f>
        <v/>
      </c>
      <c r="CA11" s="179">
        <f>IF(CA10&gt;0,-CA10*Assumptions!$E$47,0)</f>
        <v/>
      </c>
      <c r="CB11" s="179">
        <f>IF(CB10&gt;0,-CB10*Assumptions!$E$47,0)</f>
        <v/>
      </c>
      <c r="CC11" s="179">
        <f>IF(CC10&gt;0,-CC10*Assumptions!$E$47,0)</f>
        <v/>
      </c>
      <c r="CD11" s="179">
        <f>IF(CD10&gt;0,-CD10*Assumptions!$E$47,0)</f>
        <v/>
      </c>
      <c r="CE11" s="179">
        <f>IF(CE10&gt;0,-CE10*Assumptions!$E$47,0)</f>
        <v/>
      </c>
      <c r="CF11" s="179">
        <f>IF(CF10&gt;0,-CF10*Assumptions!$E$47,0)</f>
        <v/>
      </c>
      <c r="CG11" s="179">
        <f>IF(CG10&gt;0,-CG10*Assumptions!$E$47,0)</f>
        <v/>
      </c>
      <c r="CH11" s="179">
        <f>IF(CH10&gt;0,-CH10*Assumptions!$E$47,0)</f>
        <v/>
      </c>
      <c r="CI11" s="179">
        <f>IF(CI10&gt;0,-CI10*Assumptions!$E$47,0)</f>
        <v/>
      </c>
      <c r="CJ11" s="179">
        <f>IF(CJ10&gt;0,-CJ10*Assumptions!$E$47,0)</f>
        <v/>
      </c>
      <c r="CK11" s="179">
        <f>IF(CK10&gt;0,-CK10*Assumptions!$E$47,0)</f>
        <v/>
      </c>
      <c r="CL11" s="179">
        <f>IF(CL10&gt;0,-CL10*Assumptions!$E$47,0)</f>
        <v/>
      </c>
      <c r="CM11" s="179">
        <f>IF(CM10&gt;0,-CM10*Assumptions!$E$47,0)</f>
        <v/>
      </c>
      <c r="CN11" s="179">
        <f>IF(CN10&gt;0,-CN10*Assumptions!$E$47,0)</f>
        <v/>
      </c>
      <c r="CO11" s="179">
        <f>IF(CO10&gt;0,-CO10*Assumptions!$E$47,0)</f>
        <v/>
      </c>
      <c r="CP11" s="179">
        <f>IF(CP10&gt;0,-CP10*Assumptions!$E$47,0)</f>
        <v/>
      </c>
      <c r="CQ11" s="179">
        <f>IF(CQ10&gt;0,-CQ10*Assumptions!$E$47,0)</f>
        <v/>
      </c>
      <c r="CR11" s="179">
        <f>IF(CR10&gt;0,-CR10*Assumptions!$E$47,0)</f>
        <v/>
      </c>
      <c r="CS11" s="179">
        <f>IF(CS10&gt;0,-CS10*Assumptions!$E$47,0)</f>
        <v/>
      </c>
      <c r="CT11" s="179">
        <f>IF(CT10&gt;0,-CT10*Assumptions!$E$47,0)</f>
        <v/>
      </c>
      <c r="CU11" s="179">
        <f>IF(CU10&gt;0,-CU10*Assumptions!$E$47,0)</f>
        <v/>
      </c>
      <c r="CV11" s="179">
        <f>IF(CV10&gt;0,-CV10*Assumptions!$E$47,0)</f>
        <v/>
      </c>
      <c r="CW11" s="179">
        <f>IF(CW10&gt;0,-CW10*Assumptions!$E$47,0)</f>
        <v/>
      </c>
      <c r="CX11" s="179">
        <f>IF(CX10&gt;0,-CX10*Assumptions!$E$47,0)</f>
        <v/>
      </c>
      <c r="CY11" s="179">
        <f>IF(CY10&gt;0,-CY10*Assumptions!$E$47,0)</f>
        <v/>
      </c>
      <c r="CZ11" s="179">
        <f>IF(CZ10&gt;0,-CZ10*Assumptions!$E$47,0)</f>
        <v/>
      </c>
      <c r="DA11" s="179">
        <f>IF(DA10&gt;0,-DA10*Assumptions!$E$47,0)</f>
        <v/>
      </c>
      <c r="DB11" s="179">
        <f>IF(DB10&gt;0,-DB10*Assumptions!$E$47,0)</f>
        <v/>
      </c>
      <c r="DC11" s="179">
        <f>IF(DC10&gt;0,-DC10*Assumptions!$E$47,0)</f>
        <v/>
      </c>
      <c r="DD11" s="179">
        <f>IF(DD10&gt;0,-DD10*Assumptions!$E$47,0)</f>
        <v/>
      </c>
      <c r="DE11" s="179">
        <f>IF(DE10&gt;0,-DE10*Assumptions!$E$47,0)</f>
        <v/>
      </c>
      <c r="DF11" s="179">
        <f>IF(DF10&gt;0,-DF10*Assumptions!$E$47,0)</f>
        <v/>
      </c>
      <c r="DG11" s="179">
        <f>IF(DG10&gt;0,-DG10*Assumptions!$E$47,0)</f>
        <v/>
      </c>
      <c r="DH11" s="179">
        <f>IF(DH10&gt;0,-DH10*Assumptions!$E$47,0)</f>
        <v/>
      </c>
      <c r="DI11" s="179">
        <f>IF(DI10&gt;0,-DI10*Assumptions!$E$47,0)</f>
        <v/>
      </c>
      <c r="DJ11" s="179">
        <f>IF(DJ10&gt;0,-DJ10*Assumptions!$E$47,0)</f>
        <v/>
      </c>
      <c r="DK11" s="179">
        <f>IF(DK10&gt;0,-DK10*Assumptions!$E$47,0)</f>
        <v/>
      </c>
      <c r="DL11" s="179">
        <f>IF(DL10&gt;0,-DL10*Assumptions!$E$47,0)</f>
        <v/>
      </c>
      <c r="DM11" s="179">
        <f>IF(DM10&gt;0,-DM10*Assumptions!$E$47,0)</f>
        <v/>
      </c>
      <c r="DN11" s="179">
        <f>IF(DN10&gt;0,-DN10*Assumptions!$E$47,0)</f>
        <v/>
      </c>
      <c r="DO11" s="179">
        <f>IF(DO10&gt;0,-DO10*Assumptions!$E$47,0)</f>
        <v/>
      </c>
      <c r="DP11" s="179">
        <f>IF(DP10&gt;0,-DP10*Assumptions!$E$47,0)</f>
        <v/>
      </c>
      <c r="DQ11" s="179">
        <f>IF(DQ10&gt;0,-DQ10*Assumptions!$E$47,0)</f>
        <v/>
      </c>
      <c r="DR11" s="179">
        <f>IF(DR10&gt;0,-DR10*Assumptions!$E$47,0)</f>
        <v/>
      </c>
      <c r="DS11" s="179">
        <f>IF(DS10&gt;0,-DS10*Assumptions!$E$47,0)</f>
        <v/>
      </c>
      <c r="DT11" s="179">
        <f>IF(DT10&gt;0,-DT10*Assumptions!$E$47,0)</f>
        <v/>
      </c>
      <c r="DU11" s="179">
        <f>IF(DU10&gt;0,-DU10*Assumptions!$E$47,0)</f>
        <v/>
      </c>
      <c r="DV11" s="179">
        <f>IF(DV10&gt;0,-DV10*Assumptions!$E$47,0)</f>
        <v/>
      </c>
      <c r="DW11" s="179">
        <f>IF(DW10&gt;0,-DW10*Assumptions!$E$47,0)</f>
        <v/>
      </c>
      <c r="DX11" s="179">
        <f>IF(DX10&gt;0,-DX10*Assumptions!$E$47,0)</f>
        <v/>
      </c>
      <c r="DY11" s="179">
        <f>IF(DY10&gt;0,-DY10*Assumptions!$E$47,0)</f>
        <v/>
      </c>
      <c r="DZ11" s="179">
        <f>IF(DZ10&gt;0,-DZ10*Assumptions!$E$47,0)</f>
        <v/>
      </c>
      <c r="EA11" s="179">
        <f>IF(EA10&gt;0,-EA10*Assumptions!$E$47,0)</f>
        <v/>
      </c>
      <c r="EB11" s="179">
        <f>IF(EB10&gt;0,-EB10*Assumptions!$E$47,0)</f>
        <v/>
      </c>
      <c r="EC11" s="179">
        <f>IF(EC10&gt;0,-EC10*Assumptions!$E$47,0)</f>
        <v/>
      </c>
      <c r="ED11" s="179">
        <f>IF(ED10&gt;0,-ED10*Assumptions!$E$47,0)</f>
        <v/>
      </c>
      <c r="EE11" s="179">
        <f>IF(EE10&gt;0,-EE10*Assumptions!$E$47,0)</f>
        <v/>
      </c>
      <c r="EF11" s="179">
        <f>IF(EF10&gt;0,-EF10*Assumptions!$E$47,0)</f>
        <v/>
      </c>
      <c r="EG11" s="179">
        <f>IF(EG10&gt;0,-EG10*Assumptions!$E$47,0)</f>
        <v/>
      </c>
      <c r="EH11" s="179">
        <f>IF(EH10&gt;0,-EH10*Assumptions!$E$47,0)</f>
        <v/>
      </c>
      <c r="EI11" s="179">
        <f>IF(EI10&gt;0,-EI10*Assumptions!$E$47,0)</f>
        <v/>
      </c>
      <c r="EJ11" s="179">
        <f>IF(EJ10&gt;0,-EJ10*Assumptions!$E$47,0)</f>
        <v/>
      </c>
      <c r="EK11" s="179">
        <f>IF(EK10&gt;0,-EK10*Assumptions!$E$47,0)</f>
        <v/>
      </c>
      <c r="EL11" s="179">
        <f>IF(EL10&gt;0,-EL10*Assumptions!$E$47,0)</f>
        <v/>
      </c>
      <c r="EM11" s="179">
        <f>IF(EM10&gt;0,-EM10*Assumptions!$E$47,0)</f>
        <v/>
      </c>
      <c r="EN11" s="179">
        <f>IF(EN10&gt;0,-EN10*Assumptions!$E$47,0)</f>
        <v/>
      </c>
      <c r="EO11" s="179">
        <f>IF(EO10&gt;0,-EO10*Assumptions!$E$47,0)</f>
        <v/>
      </c>
      <c r="EP11" s="179">
        <f>IF(EP10&gt;0,-EP10*Assumptions!$E$47,0)</f>
        <v/>
      </c>
      <c r="EQ11" s="179">
        <f>IF(EQ10&gt;0,-EQ10*Assumptions!$E$47,0)</f>
        <v/>
      </c>
      <c r="ER11" s="179">
        <f>IF(ER10&gt;0,-ER10*Assumptions!$E$47,0)</f>
        <v/>
      </c>
      <c r="ES11" s="179">
        <f>IF(ES10&gt;0,-ES10*Assumptions!$E$47,0)</f>
        <v/>
      </c>
      <c r="ET11" s="179">
        <f>IF(ET10&gt;0,-ET10*Assumptions!$E$47,0)</f>
        <v/>
      </c>
      <c r="EU11" s="179">
        <f>IF(EU10&gt;0,-EU10*Assumptions!$E$47,0)</f>
        <v/>
      </c>
      <c r="EV11" s="179">
        <f>IF(EV10&gt;0,-EV10*Assumptions!$E$47,0)</f>
        <v/>
      </c>
      <c r="EW11" s="179">
        <f>IF(EW10&gt;0,-EW10*Assumptions!$E$47,0)</f>
        <v/>
      </c>
      <c r="EX11" s="179">
        <f>IF(EX10&gt;0,-EX10*Assumptions!$E$47,0)</f>
        <v/>
      </c>
      <c r="EY11" s="179">
        <f>IF(EY10&gt;0,-EY10*Assumptions!$E$47,0)</f>
        <v/>
      </c>
      <c r="EZ11" s="179">
        <f>IF(EZ10&gt;0,-EZ10*Assumptions!$E$47,0)</f>
        <v/>
      </c>
      <c r="FA11" s="179">
        <f>IF(FA10&gt;0,-FA10*Assumptions!$E$47,0)</f>
        <v/>
      </c>
      <c r="FB11" s="179">
        <f>IF(FB10&gt;0,-FB10*Assumptions!$E$47,0)</f>
        <v/>
      </c>
      <c r="FC11" s="179">
        <f>IF(FC10&gt;0,-FC10*Assumptions!$E$47,0)</f>
        <v/>
      </c>
      <c r="FD11" s="179">
        <f>IF(FD10&gt;0,-FD10*Assumptions!$E$47,0)</f>
        <v/>
      </c>
      <c r="FE11" s="179">
        <f>IF(FE10&gt;0,-FE10*Assumptions!$E$47,0)</f>
        <v/>
      </c>
      <c r="FF11" s="179">
        <f>IF(FF10&gt;0,-FF10*Assumptions!$E$47,0)</f>
        <v/>
      </c>
      <c r="FG11" s="179">
        <f>IF(FG10&gt;0,-FG10*Assumptions!$E$47,0)</f>
        <v/>
      </c>
      <c r="FH11" s="179">
        <f>IF(FH10&gt;0,-FH10*Assumptions!$E$47,0)</f>
        <v/>
      </c>
      <c r="FI11" s="179">
        <f>IF(FI10&gt;0,-FI10*Assumptions!$E$47,0)</f>
        <v/>
      </c>
      <c r="FJ11" s="179">
        <f>IF(FJ10&gt;0,-FJ10*Assumptions!$E$47,0)</f>
        <v/>
      </c>
      <c r="FK11" s="179">
        <f>IF(FK10&gt;0,-FK10*Assumptions!$E$47,0)</f>
        <v/>
      </c>
      <c r="FL11" s="179">
        <f>IF(FL10&gt;0,-FL10*Assumptions!$E$47,0)</f>
        <v/>
      </c>
      <c r="FM11" s="179">
        <f>IF(FM10&gt;0,-FM10*Assumptions!$E$47,0)</f>
        <v/>
      </c>
      <c r="FN11" s="179">
        <f>IF(FN10&gt;0,-FN10*Assumptions!$E$47,0)</f>
        <v/>
      </c>
      <c r="FO11" s="179">
        <f>IF(FO10&gt;0,-FO10*Assumptions!$E$47,0)</f>
        <v/>
      </c>
      <c r="FP11" s="179">
        <f>IF(FP10&gt;0,-FP10*Assumptions!$E$47,0)</f>
        <v/>
      </c>
      <c r="FQ11" s="179">
        <f>IF(FQ10&gt;0,-FQ10*Assumptions!$E$47,0)</f>
        <v/>
      </c>
      <c r="FR11" s="179">
        <f>IF(FR10&gt;0,-FR10*Assumptions!$E$47,0)</f>
        <v/>
      </c>
      <c r="FS11" s="179">
        <f>IF(FS10&gt;0,-FS10*Assumptions!$E$47,0)</f>
        <v/>
      </c>
      <c r="FT11" s="179">
        <f>IF(FT10&gt;0,-FT10*Assumptions!$E$47,0)</f>
        <v/>
      </c>
      <c r="FU11" s="179">
        <f>IF(FU10&gt;0,-FU10*Assumptions!$E$47,0)</f>
        <v/>
      </c>
      <c r="FV11" s="179">
        <f>IF(FV10&gt;0,-FV10*Assumptions!$E$47,0)</f>
        <v/>
      </c>
      <c r="FW11" s="179">
        <f>IF(FW10&gt;0,-FW10*Assumptions!$E$47,0)</f>
        <v/>
      </c>
      <c r="FX11" s="179">
        <f>IF(FX10&gt;0,-FX10*Assumptions!$E$47,0)</f>
        <v/>
      </c>
      <c r="FY11" s="179">
        <f>IF(FY10&gt;0,-FY10*Assumptions!$E$47,0)</f>
        <v/>
      </c>
      <c r="FZ11" s="179">
        <f>IF(FZ10&gt;0,-FZ10*Assumptions!$E$47,0)</f>
        <v/>
      </c>
      <c r="GA11" s="179">
        <f>IF(GA10&gt;0,-GA10*Assumptions!$E$47,0)</f>
        <v/>
      </c>
      <c r="GB11" s="179">
        <f>IF(GB10&gt;0,-GB10*Assumptions!$E$47,0)</f>
        <v/>
      </c>
      <c r="GC11" s="179">
        <f>IF(GC10&gt;0,-GC10*Assumptions!$E$47,0)</f>
        <v/>
      </c>
      <c r="GD11" s="179">
        <f>IF(GD10&gt;0,-GD10*Assumptions!$E$47,0)</f>
        <v/>
      </c>
      <c r="GE11" s="179">
        <f>IF(GE10&gt;0,-GE10*Assumptions!$E$47,0)</f>
        <v/>
      </c>
      <c r="GF11" s="179">
        <f>IF(GF10&gt;0,-GF10*Assumptions!$E$47,0)</f>
        <v/>
      </c>
      <c r="GG11" s="179">
        <f>IF(GG10&gt;0,-GG10*Assumptions!$E$47,0)</f>
        <v/>
      </c>
      <c r="GH11" s="179">
        <f>IF(GH10&gt;0,-GH10*Assumptions!$E$47,0)</f>
        <v/>
      </c>
      <c r="GI11" s="179">
        <f>IF(GI10&gt;0,-GI10*Assumptions!$E$47,0)</f>
        <v/>
      </c>
      <c r="GJ11" s="179">
        <f>IF(GJ10&gt;0,-GJ10*Assumptions!$E$47,0)</f>
        <v/>
      </c>
      <c r="GK11" s="179">
        <f>IF(GK10&gt;0,-GK10*Assumptions!$E$47,0)</f>
        <v/>
      </c>
      <c r="GL11" s="179">
        <f>IF(GL10&gt;0,-GL10*Assumptions!$E$47,0)</f>
        <v/>
      </c>
      <c r="GM11" s="179">
        <f>IF(GM10&gt;0,-GM10*Assumptions!$E$47,0)</f>
        <v/>
      </c>
      <c r="GN11" s="179">
        <f>IF(GN10&gt;0,-GN10*Assumptions!$E$47,0)</f>
        <v/>
      </c>
      <c r="GO11" s="179">
        <f>IF(GO10&gt;0,-GO10*Assumptions!$E$47,0)</f>
        <v/>
      </c>
      <c r="GP11" s="179">
        <f>IF(GP10&gt;0,-GP10*Assumptions!$E$47,0)</f>
        <v/>
      </c>
      <c r="GQ11" s="179">
        <f>IF(GQ10&gt;0,-GQ10*Assumptions!$E$47,0)</f>
        <v/>
      </c>
      <c r="GR11" s="179">
        <f>IF(GR10&gt;0,-GR10*Assumptions!$E$47,0)</f>
        <v/>
      </c>
      <c r="GS11" s="179">
        <f>IF(GS10&gt;0,-GS10*Assumptions!$E$47,0)</f>
        <v/>
      </c>
      <c r="GT11" s="179">
        <f>IF(GT10&gt;0,-GT10*Assumptions!$E$47,0)</f>
        <v/>
      </c>
      <c r="GU11" s="179">
        <f>IF(GU10&gt;0,-GU10*Assumptions!$E$47,0)</f>
        <v/>
      </c>
      <c r="GV11" s="179">
        <f>IF(GV10&gt;0,-GV10*Assumptions!$E$47,0)</f>
        <v/>
      </c>
      <c r="GW11" s="179">
        <f>IF(GW10&gt;0,-GW10*Assumptions!$E$47,0)</f>
        <v/>
      </c>
      <c r="GX11" s="179">
        <f>IF(GX10&gt;0,-GX10*Assumptions!$E$47,0)</f>
        <v/>
      </c>
      <c r="GY11" s="179">
        <f>IF(GY10&gt;0,-GY10*Assumptions!$E$47,0)</f>
        <v/>
      </c>
      <c r="GZ11" s="179">
        <f>IF(GZ10&gt;0,-GZ10*Assumptions!$E$47,0)</f>
        <v/>
      </c>
      <c r="HA11" s="179">
        <f>IF(HA10&gt;0,-HA10*Assumptions!$E$47,0)</f>
        <v/>
      </c>
      <c r="HB11" s="179">
        <f>IF(HB10&gt;0,-HB10*Assumptions!$E$47,0)</f>
        <v/>
      </c>
      <c r="HC11" s="179">
        <f>IF(HC10&gt;0,-HC10*Assumptions!$E$47,0)</f>
        <v/>
      </c>
      <c r="HD11" s="179">
        <f>IF(HD10&gt;0,-HD10*Assumptions!$E$47,0)</f>
        <v/>
      </c>
      <c r="HE11" s="179">
        <f>IF(HE10&gt;0,-HE10*Assumptions!$E$47,0)</f>
        <v/>
      </c>
      <c r="HF11" s="179">
        <f>IF(HF10&gt;0,-HF10*Assumptions!$E$47,0)</f>
        <v/>
      </c>
      <c r="HG11" s="179">
        <f>IF(HG10&gt;0,-HG10*Assumptions!$E$47,0)</f>
        <v/>
      </c>
      <c r="HH11" s="179">
        <f>IF(HH10&gt;0,-HH10*Assumptions!$E$47,0)</f>
        <v/>
      </c>
      <c r="HI11" s="179">
        <f>IF(HI10&gt;0,-HI10*Assumptions!$E$47,0)</f>
        <v/>
      </c>
      <c r="HJ11" s="179">
        <f>IF(HJ10&gt;0,-HJ10*Assumptions!$E$47,0)</f>
        <v/>
      </c>
      <c r="HK11" s="179">
        <f>IF(HK10&gt;0,-HK10*Assumptions!$E$47,0)</f>
        <v/>
      </c>
      <c r="HL11" s="179">
        <f>IF(HL10&gt;0,-HL10*Assumptions!$E$47,0)</f>
        <v/>
      </c>
      <c r="HM11" s="179">
        <f>IF(HM10&gt;0,-HM10*Assumptions!$E$47,0)</f>
        <v/>
      </c>
      <c r="HN11" s="179">
        <f>IF(HN10&gt;0,-HN10*Assumptions!$E$47,0)</f>
        <v/>
      </c>
      <c r="HO11" s="179">
        <f>IF(HO10&gt;0,-HO10*Assumptions!$E$47,0)</f>
        <v/>
      </c>
      <c r="HP11" s="179">
        <f>IF(HP10&gt;0,-HP10*Assumptions!$E$47,0)</f>
        <v/>
      </c>
      <c r="HQ11" s="179">
        <f>IF(HQ10&gt;0,-HQ10*Assumptions!$E$47,0)</f>
        <v/>
      </c>
      <c r="HR11" s="179">
        <f>IF(HR10&gt;0,-HR10*Assumptions!$E$47,0)</f>
        <v/>
      </c>
      <c r="HS11" s="179">
        <f>IF(HS10&gt;0,-HS10*Assumptions!$E$47,0)</f>
        <v/>
      </c>
      <c r="HT11" s="179">
        <f>IF(HT10&gt;0,-HT10*Assumptions!$E$47,0)</f>
        <v/>
      </c>
      <c r="HU11" s="179">
        <f>IF(HU10&gt;0,-HU10*Assumptions!$E$47,0)</f>
        <v/>
      </c>
      <c r="HV11" s="179">
        <f>IF(HV10&gt;0,-HV10*Assumptions!$E$47,0)</f>
        <v/>
      </c>
      <c r="HW11" s="179">
        <f>IF(HW10&gt;0,-HW10*Assumptions!$E$47,0)</f>
        <v/>
      </c>
      <c r="HX11" s="179">
        <f>IF(HX10&gt;0,-HX10*Assumptions!$E$47,0)</f>
        <v/>
      </c>
      <c r="HY11" s="179">
        <f>IF(HY10&gt;0,-HY10*Assumptions!$E$47,0)</f>
        <v/>
      </c>
      <c r="HZ11" s="179">
        <f>IF(HZ10&gt;0,-HZ10*Assumptions!$E$47,0)</f>
        <v/>
      </c>
      <c r="IA11" s="179">
        <f>IF(IA10&gt;0,-IA10*Assumptions!$E$47,0)</f>
        <v/>
      </c>
      <c r="IB11" s="179">
        <f>IF(IB10&gt;0,-IB10*Assumptions!$E$47,0)</f>
        <v/>
      </c>
      <c r="IC11" s="179">
        <f>IF(IC10&gt;0,-IC10*Assumptions!$E$47,0)</f>
        <v/>
      </c>
      <c r="ID11" s="179">
        <f>IF(ID10&gt;0,-ID10*Assumptions!$E$47,0)</f>
        <v/>
      </c>
      <c r="IE11" s="179">
        <f>IF(IE10&gt;0,-IE10*Assumptions!$E$47,0)</f>
        <v/>
      </c>
      <c r="IF11" s="179">
        <f>IF(IF10&gt;0,-IF10*Assumptions!$E$47,0)</f>
        <v/>
      </c>
      <c r="IG11" s="179">
        <f>IF(IG10&gt;0,-IG10*Assumptions!$E$47,0)</f>
        <v/>
      </c>
      <c r="IH11" s="179">
        <f>IF(IH10&gt;0,-IH10*Assumptions!$E$47,0)</f>
        <v/>
      </c>
      <c r="II11" s="179">
        <f>IF(II10&gt;0,-II10*Assumptions!$E$47,0)</f>
        <v/>
      </c>
      <c r="IJ11" s="179">
        <f>IF(IJ10&gt;0,-IJ10*Assumptions!$E$47,0)</f>
        <v/>
      </c>
      <c r="IK11" s="179">
        <f>IF(IK10&gt;0,-IK10*Assumptions!$E$47,0)</f>
        <v/>
      </c>
      <c r="IL11" s="179">
        <f>IF(IL10&gt;0,-IL10*Assumptions!$E$47,0)</f>
        <v/>
      </c>
      <c r="IM11" s="179">
        <f>IF(IM10&gt;0,-IM10*Assumptions!$E$47,0)</f>
        <v/>
      </c>
      <c r="IN11" s="179">
        <f>IF(IN10&gt;0,-IN10*Assumptions!$E$47,0)</f>
        <v/>
      </c>
      <c r="IO11" s="179">
        <f>IF(IO10&gt;0,-IO10*Assumptions!$E$47,0)</f>
        <v/>
      </c>
      <c r="IP11" s="179">
        <f>IF(IP10&gt;0,-IP10*Assumptions!$E$47,0)</f>
        <v/>
      </c>
      <c r="IQ11" s="179">
        <f>IF(IQ10&gt;0,-IQ10*Assumptions!$E$47,0)</f>
        <v/>
      </c>
      <c r="IR11" s="179">
        <f>IF(IR10&gt;0,-IR10*Assumptions!$E$47,0)</f>
        <v/>
      </c>
      <c r="IS11" s="179">
        <f>IF(IS10&gt;0,-IS10*Assumptions!$E$47,0)</f>
        <v/>
      </c>
      <c r="IT11" s="179">
        <f>IF(IT10&gt;0,-IT10*Assumptions!$E$47,0)</f>
        <v/>
      </c>
      <c r="IU11" s="179">
        <f>IF(IU10&gt;0,-IU10*Assumptions!$E$47,0)</f>
        <v/>
      </c>
      <c r="IV11" s="179">
        <f>IF(IV10&gt;0,-IV10*Assumptions!$E$47,0)</f>
        <v/>
      </c>
      <c r="IW11" s="179">
        <f>IF(IW10&gt;0,-IW10*Assumptions!$E$47,0)</f>
        <v/>
      </c>
      <c r="IX11" s="179">
        <f>IF(IX10&gt;0,-IX10*Assumptions!$E$47,0)</f>
        <v/>
      </c>
      <c r="IY11" s="179">
        <f>IF(IY10&gt;0,-IY10*Assumptions!$E$47,0)</f>
        <v/>
      </c>
      <c r="IZ11" s="179">
        <f>IF(IZ10&gt;0,-IZ10*Assumptions!$E$47,0)</f>
        <v/>
      </c>
      <c r="JA11" s="179">
        <f>IF(JA10&gt;0,-JA10*Assumptions!$E$47,0)</f>
        <v/>
      </c>
      <c r="JB11" s="179">
        <f>IF(JB10&gt;0,-JB10*Assumptions!$E$47,0)</f>
        <v/>
      </c>
      <c r="JC11" s="179">
        <f>IF(JC10&gt;0,-JC10*Assumptions!$E$47,0)</f>
        <v/>
      </c>
      <c r="JD11" s="179">
        <f>IF(JD10&gt;0,-JD10*Assumptions!$E$47,0)</f>
        <v/>
      </c>
      <c r="JE11" s="179">
        <f>IF(JE10&gt;0,-JE10*Assumptions!$E$47,0)</f>
        <v/>
      </c>
      <c r="JF11" s="179">
        <f>IF(JF10&gt;0,-JF10*Assumptions!$E$47,0)</f>
        <v/>
      </c>
      <c r="JG11" s="179">
        <f>IF(JG10&gt;0,-JG10*Assumptions!$E$47,0)</f>
        <v/>
      </c>
      <c r="JH11" s="179">
        <f>IF(JH10&gt;0,-JH10*Assumptions!$E$47,0)</f>
        <v/>
      </c>
      <c r="JI11" s="179">
        <f>IF(JI10&gt;0,-JI10*Assumptions!$E$47,0)</f>
        <v/>
      </c>
      <c r="JJ11" s="179">
        <f>IF(JJ10&gt;0,-JJ10*Assumptions!$E$47,0)</f>
        <v/>
      </c>
      <c r="JK11" s="179">
        <f>IF(JK10&gt;0,-JK10*Assumptions!$E$47,0)</f>
        <v/>
      </c>
      <c r="JL11" s="179">
        <f>IF(JL10&gt;0,-JL10*Assumptions!$E$47,0)</f>
        <v/>
      </c>
      <c r="JM11" s="179">
        <f>IF(JM10&gt;0,-JM10*Assumptions!$E$47,0)</f>
        <v/>
      </c>
      <c r="JN11" s="179">
        <f>IF(JN10&gt;0,-JN10*Assumptions!$E$47,0)</f>
        <v/>
      </c>
      <c r="JO11" s="179">
        <f>IF(JO10&gt;0,-JO10*Assumptions!$E$47,0)</f>
        <v/>
      </c>
      <c r="JP11" s="179">
        <f>IF(JP10&gt;0,-JP10*Assumptions!$E$47,0)</f>
        <v/>
      </c>
      <c r="JQ11" s="179">
        <f>IF(JQ10&gt;0,-JQ10*Assumptions!$E$47,0)</f>
        <v/>
      </c>
      <c r="JR11" s="179">
        <f>IF(JR10&gt;0,-JR10*Assumptions!$E$47,0)</f>
        <v/>
      </c>
      <c r="JS11" s="179">
        <f>IF(JS10&gt;0,-JS10*Assumptions!$E$47,0)</f>
        <v/>
      </c>
      <c r="JT11" s="179">
        <f>IF(JT10&gt;0,-JT10*Assumptions!$E$47,0)</f>
        <v/>
      </c>
      <c r="JU11" s="179">
        <f>IF(JU10&gt;0,-JU10*Assumptions!$E$47,0)</f>
        <v/>
      </c>
      <c r="JV11" s="179">
        <f>IF(JV10&gt;0,-JV10*Assumptions!$E$47,0)</f>
        <v/>
      </c>
      <c r="JW11" s="179">
        <f>IF(JW10&gt;0,-JW10*Assumptions!$E$47,0)</f>
        <v/>
      </c>
      <c r="JX11" s="179">
        <f>IF(JX10&gt;0,-JX10*Assumptions!$E$47,0)</f>
        <v/>
      </c>
      <c r="JY11" s="179">
        <f>IF(JY10&gt;0,-JY10*Assumptions!$E$47,0)</f>
        <v/>
      </c>
      <c r="JZ11" s="179">
        <f>IF(JZ10&gt;0,-JZ10*Assumptions!$E$47,0)</f>
        <v/>
      </c>
      <c r="KA11" s="179">
        <f>IF(KA10&gt;0,-KA10*Assumptions!$E$47,0)</f>
        <v/>
      </c>
      <c r="KB11" s="179">
        <f>IF(KB10&gt;0,-KB10*Assumptions!$E$47,0)</f>
        <v/>
      </c>
      <c r="KC11" s="179">
        <f>IF(KC10&gt;0,-KC10*Assumptions!$E$47,0)</f>
        <v/>
      </c>
      <c r="KD11" s="179">
        <f>IF(KD10&gt;0,-KD10*Assumptions!$E$47,0)</f>
        <v/>
      </c>
      <c r="KE11" s="179">
        <f>IF(KE10&gt;0,-KE10*Assumptions!$E$47,0)</f>
        <v/>
      </c>
      <c r="KF11" s="179">
        <f>IF(KF10&gt;0,-KF10*Assumptions!$E$47,0)</f>
        <v/>
      </c>
      <c r="KG11" s="179">
        <f>IF(KG10&gt;0,-KG10*Assumptions!$E$47,0)</f>
        <v/>
      </c>
      <c r="KH11" s="179">
        <f>IF(KH10&gt;0,-KH10*Assumptions!$E$47,0)</f>
        <v/>
      </c>
      <c r="KI11" s="179">
        <f>IF(KI10&gt;0,-KI10*Assumptions!$E$47,0)</f>
        <v/>
      </c>
      <c r="KJ11" s="179">
        <f>IF(KJ10&gt;0,-KJ10*Assumptions!$E$47,0)</f>
        <v/>
      </c>
      <c r="KK11" s="179">
        <f>IF(KK10&gt;0,-KK10*Assumptions!$E$47,0)</f>
        <v/>
      </c>
      <c r="KL11" s="179">
        <f>IF(KL10&gt;0,-KL10*Assumptions!$E$47,0)</f>
        <v/>
      </c>
      <c r="KM11" s="179">
        <f>IF(KM10&gt;0,-KM10*Assumptions!$E$47,0)</f>
        <v/>
      </c>
      <c r="KN11" s="179">
        <f>IF(KN10&gt;0,-KN10*Assumptions!$E$47,0)</f>
        <v/>
      </c>
      <c r="KO11" s="179">
        <f>IF(KO10&gt;0,-KO10*Assumptions!$E$47,0)</f>
        <v/>
      </c>
      <c r="KP11" s="179">
        <f>IF(KP10&gt;0,-KP10*Assumptions!$E$47,0)</f>
        <v/>
      </c>
    </row>
    <row r="12" ht="16" customHeight="1" s="133">
      <c r="A12" s="181" t="inlineStr">
        <is>
          <t>FCFF (EURk)</t>
        </is>
      </c>
      <c r="B12" s="182" t="inlineStr">
        <is>
          <t>EURk</t>
        </is>
      </c>
      <c r="C12" s="183">
        <f>C10+C11</f>
        <v/>
      </c>
      <c r="D12" s="183">
        <f>D10+D11</f>
        <v/>
      </c>
      <c r="E12" s="183">
        <f>E10+E11</f>
        <v/>
      </c>
      <c r="F12" s="183">
        <f>F10+F11</f>
        <v/>
      </c>
      <c r="G12" s="183">
        <f>G10+G11</f>
        <v/>
      </c>
      <c r="H12" s="183">
        <f>H10+H11</f>
        <v/>
      </c>
      <c r="I12" s="183">
        <f>I10+I11</f>
        <v/>
      </c>
      <c r="J12" s="183">
        <f>J10+J11</f>
        <v/>
      </c>
      <c r="K12" s="183">
        <f>K10+K11</f>
        <v/>
      </c>
      <c r="L12" s="183">
        <f>L10+L11</f>
        <v/>
      </c>
      <c r="M12" s="183">
        <f>M10+M11</f>
        <v/>
      </c>
      <c r="N12" s="183">
        <f>N10+N11</f>
        <v/>
      </c>
      <c r="O12" s="183">
        <f>O10+O11</f>
        <v/>
      </c>
      <c r="P12" s="183">
        <f>P10+P11</f>
        <v/>
      </c>
      <c r="Q12" s="183">
        <f>Q10+Q11</f>
        <v/>
      </c>
      <c r="R12" s="183">
        <f>R10+R11</f>
        <v/>
      </c>
      <c r="S12" s="183">
        <f>S10+S11</f>
        <v/>
      </c>
      <c r="T12" s="183">
        <f>T10+T11</f>
        <v/>
      </c>
      <c r="U12" s="183">
        <f>U10+U11</f>
        <v/>
      </c>
      <c r="V12" s="183">
        <f>V10+V11</f>
        <v/>
      </c>
      <c r="W12" s="183">
        <f>W10+W11</f>
        <v/>
      </c>
      <c r="X12" s="183">
        <f>X10+X11</f>
        <v/>
      </c>
      <c r="Y12" s="183">
        <f>Y10+Y11</f>
        <v/>
      </c>
      <c r="Z12" s="183">
        <f>Z10+Z11</f>
        <v/>
      </c>
      <c r="AA12" s="183">
        <f>AA10+AA11</f>
        <v/>
      </c>
      <c r="AB12" s="183">
        <f>AB10+AB11</f>
        <v/>
      </c>
      <c r="AC12" s="183">
        <f>AC10+AC11</f>
        <v/>
      </c>
      <c r="AD12" s="183">
        <f>AD10+AD11</f>
        <v/>
      </c>
      <c r="AE12" s="183">
        <f>AE10+AE11</f>
        <v/>
      </c>
      <c r="AF12" s="183">
        <f>AF10+AF11</f>
        <v/>
      </c>
      <c r="AG12" s="183">
        <f>AG10+AG11</f>
        <v/>
      </c>
      <c r="AH12" s="183">
        <f>AH10+AH11</f>
        <v/>
      </c>
      <c r="AI12" s="183">
        <f>AI10+AI11</f>
        <v/>
      </c>
      <c r="AJ12" s="183">
        <f>AJ10+AJ11</f>
        <v/>
      </c>
      <c r="AK12" s="183">
        <f>AK10+AK11</f>
        <v/>
      </c>
      <c r="AL12" s="183">
        <f>AL10+AL11</f>
        <v/>
      </c>
      <c r="AM12" s="183">
        <f>AM10+AM11</f>
        <v/>
      </c>
      <c r="AN12" s="183">
        <f>AN10+AN11</f>
        <v/>
      </c>
      <c r="AO12" s="183">
        <f>AO10+AO11</f>
        <v/>
      </c>
      <c r="AP12" s="183">
        <f>AP10+AP11</f>
        <v/>
      </c>
      <c r="AQ12" s="183">
        <f>AQ10+AQ11</f>
        <v/>
      </c>
      <c r="AR12" s="183">
        <f>AR10+AR11</f>
        <v/>
      </c>
      <c r="AS12" s="183">
        <f>AS10+AS11</f>
        <v/>
      </c>
      <c r="AT12" s="183">
        <f>AT10+AT11</f>
        <v/>
      </c>
      <c r="AU12" s="183">
        <f>AU10+AU11</f>
        <v/>
      </c>
      <c r="AV12" s="183">
        <f>AV10+AV11</f>
        <v/>
      </c>
      <c r="AW12" s="183">
        <f>AW10+AW11</f>
        <v/>
      </c>
      <c r="AX12" s="183">
        <f>AX10+AX11</f>
        <v/>
      </c>
      <c r="AY12" s="183">
        <f>AY10+AY11</f>
        <v/>
      </c>
      <c r="AZ12" s="183">
        <f>AZ10+AZ11</f>
        <v/>
      </c>
      <c r="BA12" s="183">
        <f>BA10+BA11</f>
        <v/>
      </c>
      <c r="BB12" s="183">
        <f>BB10+BB11</f>
        <v/>
      </c>
      <c r="BC12" s="183">
        <f>BC10+BC11</f>
        <v/>
      </c>
      <c r="BD12" s="183">
        <f>BD10+BD11</f>
        <v/>
      </c>
      <c r="BE12" s="183">
        <f>BE10+BE11</f>
        <v/>
      </c>
      <c r="BF12" s="183">
        <f>BF10+BF11</f>
        <v/>
      </c>
      <c r="BG12" s="183">
        <f>BG10+BG11</f>
        <v/>
      </c>
      <c r="BH12" s="183">
        <f>BH10+BH11</f>
        <v/>
      </c>
      <c r="BI12" s="183">
        <f>BI10+BI11</f>
        <v/>
      </c>
      <c r="BJ12" s="183">
        <f>BJ10+BJ11</f>
        <v/>
      </c>
      <c r="BK12" s="183">
        <f>BK10+BK11</f>
        <v/>
      </c>
      <c r="BL12" s="183">
        <f>BL10+BL11</f>
        <v/>
      </c>
      <c r="BM12" s="183">
        <f>BM10+BM11</f>
        <v/>
      </c>
      <c r="BN12" s="183">
        <f>BN10+BN11</f>
        <v/>
      </c>
      <c r="BO12" s="183">
        <f>BO10+BO11</f>
        <v/>
      </c>
      <c r="BP12" s="183">
        <f>BP10+BP11</f>
        <v/>
      </c>
      <c r="BQ12" s="183">
        <f>BQ10+BQ11</f>
        <v/>
      </c>
      <c r="BR12" s="183">
        <f>BR10+BR11</f>
        <v/>
      </c>
      <c r="BS12" s="183">
        <f>BS10+BS11</f>
        <v/>
      </c>
      <c r="BT12" s="183">
        <f>BT10+BT11</f>
        <v/>
      </c>
      <c r="BU12" s="183">
        <f>BU10+BU11</f>
        <v/>
      </c>
      <c r="BV12" s="183">
        <f>BV10+BV11</f>
        <v/>
      </c>
      <c r="BW12" s="183">
        <f>BW10+BW11</f>
        <v/>
      </c>
      <c r="BX12" s="183">
        <f>BX10+BX11</f>
        <v/>
      </c>
      <c r="BY12" s="183">
        <f>BY10+BY11</f>
        <v/>
      </c>
      <c r="BZ12" s="183">
        <f>BZ10+BZ11</f>
        <v/>
      </c>
      <c r="CA12" s="183">
        <f>CA10+CA11</f>
        <v/>
      </c>
      <c r="CB12" s="183">
        <f>CB10+CB11</f>
        <v/>
      </c>
      <c r="CC12" s="183">
        <f>CC10+CC11</f>
        <v/>
      </c>
      <c r="CD12" s="183">
        <f>CD10+CD11</f>
        <v/>
      </c>
      <c r="CE12" s="183">
        <f>CE10+CE11</f>
        <v/>
      </c>
      <c r="CF12" s="183">
        <f>CF10+CF11</f>
        <v/>
      </c>
      <c r="CG12" s="183">
        <f>CG10+CG11</f>
        <v/>
      </c>
      <c r="CH12" s="183">
        <f>CH10+CH11</f>
        <v/>
      </c>
      <c r="CI12" s="183">
        <f>CI10+CI11</f>
        <v/>
      </c>
      <c r="CJ12" s="183">
        <f>CJ10+CJ11</f>
        <v/>
      </c>
      <c r="CK12" s="183">
        <f>CK10+CK11</f>
        <v/>
      </c>
      <c r="CL12" s="183">
        <f>CL10+CL11</f>
        <v/>
      </c>
      <c r="CM12" s="183">
        <f>CM10+CM11</f>
        <v/>
      </c>
      <c r="CN12" s="183">
        <f>CN10+CN11</f>
        <v/>
      </c>
      <c r="CO12" s="183">
        <f>CO10+CO11</f>
        <v/>
      </c>
      <c r="CP12" s="183">
        <f>CP10+CP11</f>
        <v/>
      </c>
      <c r="CQ12" s="183">
        <f>CQ10+CQ11</f>
        <v/>
      </c>
      <c r="CR12" s="183">
        <f>CR10+CR11</f>
        <v/>
      </c>
      <c r="CS12" s="183">
        <f>CS10+CS11</f>
        <v/>
      </c>
      <c r="CT12" s="183">
        <f>CT10+CT11</f>
        <v/>
      </c>
      <c r="CU12" s="183">
        <f>CU10+CU11</f>
        <v/>
      </c>
      <c r="CV12" s="183">
        <f>CV10+CV11</f>
        <v/>
      </c>
      <c r="CW12" s="183">
        <f>CW10+CW11</f>
        <v/>
      </c>
      <c r="CX12" s="183">
        <f>CX10+CX11</f>
        <v/>
      </c>
      <c r="CY12" s="183">
        <f>CY10+CY11</f>
        <v/>
      </c>
      <c r="CZ12" s="183">
        <f>CZ10+CZ11</f>
        <v/>
      </c>
      <c r="DA12" s="183">
        <f>DA10+DA11</f>
        <v/>
      </c>
      <c r="DB12" s="183">
        <f>DB10+DB11</f>
        <v/>
      </c>
      <c r="DC12" s="183">
        <f>DC10+DC11</f>
        <v/>
      </c>
      <c r="DD12" s="183">
        <f>DD10+DD11</f>
        <v/>
      </c>
      <c r="DE12" s="183">
        <f>DE10+DE11</f>
        <v/>
      </c>
      <c r="DF12" s="183">
        <f>DF10+DF11</f>
        <v/>
      </c>
      <c r="DG12" s="183">
        <f>DG10+DG11</f>
        <v/>
      </c>
      <c r="DH12" s="183">
        <f>DH10+DH11</f>
        <v/>
      </c>
      <c r="DI12" s="183">
        <f>DI10+DI11</f>
        <v/>
      </c>
      <c r="DJ12" s="183">
        <f>DJ10+DJ11</f>
        <v/>
      </c>
      <c r="DK12" s="183">
        <f>DK10+DK11</f>
        <v/>
      </c>
      <c r="DL12" s="183">
        <f>DL10+DL11</f>
        <v/>
      </c>
      <c r="DM12" s="183">
        <f>DM10+DM11</f>
        <v/>
      </c>
      <c r="DN12" s="183">
        <f>DN10+DN11</f>
        <v/>
      </c>
      <c r="DO12" s="183">
        <f>DO10+DO11</f>
        <v/>
      </c>
      <c r="DP12" s="183">
        <f>DP10+DP11</f>
        <v/>
      </c>
      <c r="DQ12" s="183">
        <f>DQ10+DQ11</f>
        <v/>
      </c>
      <c r="DR12" s="183">
        <f>DR10+DR11</f>
        <v/>
      </c>
      <c r="DS12" s="183">
        <f>DS10+DS11</f>
        <v/>
      </c>
      <c r="DT12" s="183">
        <f>DT10+DT11</f>
        <v/>
      </c>
      <c r="DU12" s="183">
        <f>DU10+DU11</f>
        <v/>
      </c>
      <c r="DV12" s="183">
        <f>DV10+DV11</f>
        <v/>
      </c>
      <c r="DW12" s="183">
        <f>DW10+DW11</f>
        <v/>
      </c>
      <c r="DX12" s="183">
        <f>DX10+DX11</f>
        <v/>
      </c>
      <c r="DY12" s="183">
        <f>DY10+DY11</f>
        <v/>
      </c>
      <c r="DZ12" s="183">
        <f>DZ10+DZ11</f>
        <v/>
      </c>
      <c r="EA12" s="183">
        <f>EA10+EA11</f>
        <v/>
      </c>
      <c r="EB12" s="183">
        <f>EB10+EB11</f>
        <v/>
      </c>
      <c r="EC12" s="183">
        <f>EC10+EC11</f>
        <v/>
      </c>
      <c r="ED12" s="183">
        <f>ED10+ED11</f>
        <v/>
      </c>
      <c r="EE12" s="183">
        <f>EE10+EE11</f>
        <v/>
      </c>
      <c r="EF12" s="183">
        <f>EF10+EF11</f>
        <v/>
      </c>
      <c r="EG12" s="183">
        <f>EG10+EG11</f>
        <v/>
      </c>
      <c r="EH12" s="183">
        <f>EH10+EH11</f>
        <v/>
      </c>
      <c r="EI12" s="183">
        <f>EI10+EI11</f>
        <v/>
      </c>
      <c r="EJ12" s="183">
        <f>EJ10+EJ11</f>
        <v/>
      </c>
      <c r="EK12" s="183">
        <f>EK10+EK11</f>
        <v/>
      </c>
      <c r="EL12" s="183">
        <f>EL10+EL11</f>
        <v/>
      </c>
      <c r="EM12" s="183">
        <f>EM10+EM11</f>
        <v/>
      </c>
      <c r="EN12" s="183">
        <f>EN10+EN11</f>
        <v/>
      </c>
      <c r="EO12" s="183">
        <f>EO10+EO11</f>
        <v/>
      </c>
      <c r="EP12" s="183">
        <f>EP10+EP11</f>
        <v/>
      </c>
      <c r="EQ12" s="183">
        <f>EQ10+EQ11</f>
        <v/>
      </c>
      <c r="ER12" s="183">
        <f>ER10+ER11</f>
        <v/>
      </c>
      <c r="ES12" s="183">
        <f>ES10+ES11</f>
        <v/>
      </c>
      <c r="ET12" s="183">
        <f>ET10+ET11</f>
        <v/>
      </c>
      <c r="EU12" s="183">
        <f>EU10+EU11</f>
        <v/>
      </c>
      <c r="EV12" s="183">
        <f>EV10+EV11</f>
        <v/>
      </c>
      <c r="EW12" s="183">
        <f>EW10+EW11</f>
        <v/>
      </c>
      <c r="EX12" s="183">
        <f>EX10+EX11</f>
        <v/>
      </c>
      <c r="EY12" s="183">
        <f>EY10+EY11</f>
        <v/>
      </c>
      <c r="EZ12" s="183">
        <f>EZ10+EZ11</f>
        <v/>
      </c>
      <c r="FA12" s="183">
        <f>FA10+FA11</f>
        <v/>
      </c>
      <c r="FB12" s="183">
        <f>FB10+FB11</f>
        <v/>
      </c>
      <c r="FC12" s="183">
        <f>FC10+FC11</f>
        <v/>
      </c>
      <c r="FD12" s="183">
        <f>FD10+FD11</f>
        <v/>
      </c>
      <c r="FE12" s="183">
        <f>FE10+FE11</f>
        <v/>
      </c>
      <c r="FF12" s="183">
        <f>FF10+FF11</f>
        <v/>
      </c>
      <c r="FG12" s="183">
        <f>FG10+FG11</f>
        <v/>
      </c>
      <c r="FH12" s="183">
        <f>FH10+FH11</f>
        <v/>
      </c>
      <c r="FI12" s="183">
        <f>FI10+FI11</f>
        <v/>
      </c>
      <c r="FJ12" s="183">
        <f>FJ10+FJ11</f>
        <v/>
      </c>
      <c r="FK12" s="183">
        <f>FK10+FK11</f>
        <v/>
      </c>
      <c r="FL12" s="183">
        <f>FL10+FL11</f>
        <v/>
      </c>
      <c r="FM12" s="183">
        <f>FM10+FM11</f>
        <v/>
      </c>
      <c r="FN12" s="183">
        <f>FN10+FN11</f>
        <v/>
      </c>
      <c r="FO12" s="183">
        <f>FO10+FO11</f>
        <v/>
      </c>
      <c r="FP12" s="183">
        <f>FP10+FP11</f>
        <v/>
      </c>
      <c r="FQ12" s="183">
        <f>FQ10+FQ11</f>
        <v/>
      </c>
      <c r="FR12" s="183">
        <f>FR10+FR11</f>
        <v/>
      </c>
      <c r="FS12" s="183">
        <f>FS10+FS11</f>
        <v/>
      </c>
      <c r="FT12" s="183">
        <f>FT10+FT11</f>
        <v/>
      </c>
      <c r="FU12" s="183">
        <f>FU10+FU11</f>
        <v/>
      </c>
      <c r="FV12" s="183">
        <f>FV10+FV11</f>
        <v/>
      </c>
      <c r="FW12" s="183">
        <f>FW10+FW11</f>
        <v/>
      </c>
      <c r="FX12" s="183">
        <f>FX10+FX11</f>
        <v/>
      </c>
      <c r="FY12" s="183">
        <f>FY10+FY11</f>
        <v/>
      </c>
      <c r="FZ12" s="183">
        <f>FZ10+FZ11</f>
        <v/>
      </c>
      <c r="GA12" s="183">
        <f>GA10+GA11</f>
        <v/>
      </c>
      <c r="GB12" s="183">
        <f>GB10+GB11</f>
        <v/>
      </c>
      <c r="GC12" s="183">
        <f>GC10+GC11</f>
        <v/>
      </c>
      <c r="GD12" s="183">
        <f>GD10+GD11</f>
        <v/>
      </c>
      <c r="GE12" s="183">
        <f>GE10+GE11</f>
        <v/>
      </c>
      <c r="GF12" s="183">
        <f>GF10+GF11</f>
        <v/>
      </c>
      <c r="GG12" s="183">
        <f>GG10+GG11</f>
        <v/>
      </c>
      <c r="GH12" s="183">
        <f>GH10+GH11</f>
        <v/>
      </c>
      <c r="GI12" s="183">
        <f>GI10+GI11</f>
        <v/>
      </c>
      <c r="GJ12" s="183">
        <f>GJ10+GJ11</f>
        <v/>
      </c>
      <c r="GK12" s="183">
        <f>GK10+GK11</f>
        <v/>
      </c>
      <c r="GL12" s="183">
        <f>GL10+GL11</f>
        <v/>
      </c>
      <c r="GM12" s="183">
        <f>GM10+GM11</f>
        <v/>
      </c>
      <c r="GN12" s="183">
        <f>GN10+GN11</f>
        <v/>
      </c>
      <c r="GO12" s="183">
        <f>GO10+GO11</f>
        <v/>
      </c>
      <c r="GP12" s="183">
        <f>GP10+GP11</f>
        <v/>
      </c>
      <c r="GQ12" s="183">
        <f>GQ10+GQ11</f>
        <v/>
      </c>
      <c r="GR12" s="183">
        <f>GR10+GR11</f>
        <v/>
      </c>
      <c r="GS12" s="183">
        <f>GS10+GS11</f>
        <v/>
      </c>
      <c r="GT12" s="183">
        <f>GT10+GT11</f>
        <v/>
      </c>
      <c r="GU12" s="183">
        <f>GU10+GU11</f>
        <v/>
      </c>
      <c r="GV12" s="183">
        <f>GV10+GV11</f>
        <v/>
      </c>
      <c r="GW12" s="183">
        <f>GW10+GW11</f>
        <v/>
      </c>
      <c r="GX12" s="183">
        <f>GX10+GX11</f>
        <v/>
      </c>
      <c r="GY12" s="183">
        <f>GY10+GY11</f>
        <v/>
      </c>
      <c r="GZ12" s="183">
        <f>GZ10+GZ11</f>
        <v/>
      </c>
      <c r="HA12" s="183">
        <f>HA10+HA11</f>
        <v/>
      </c>
      <c r="HB12" s="183">
        <f>HB10+HB11</f>
        <v/>
      </c>
      <c r="HC12" s="183">
        <f>HC10+HC11</f>
        <v/>
      </c>
      <c r="HD12" s="183">
        <f>HD10+HD11</f>
        <v/>
      </c>
      <c r="HE12" s="183">
        <f>HE10+HE11</f>
        <v/>
      </c>
      <c r="HF12" s="183">
        <f>HF10+HF11</f>
        <v/>
      </c>
      <c r="HG12" s="183">
        <f>HG10+HG11</f>
        <v/>
      </c>
      <c r="HH12" s="183">
        <f>HH10+HH11</f>
        <v/>
      </c>
      <c r="HI12" s="183">
        <f>HI10+HI11</f>
        <v/>
      </c>
      <c r="HJ12" s="183">
        <f>HJ10+HJ11</f>
        <v/>
      </c>
      <c r="HK12" s="183">
        <f>HK10+HK11</f>
        <v/>
      </c>
      <c r="HL12" s="183">
        <f>HL10+HL11</f>
        <v/>
      </c>
      <c r="HM12" s="183">
        <f>HM10+HM11</f>
        <v/>
      </c>
      <c r="HN12" s="183">
        <f>HN10+HN11</f>
        <v/>
      </c>
      <c r="HO12" s="183">
        <f>HO10+HO11</f>
        <v/>
      </c>
      <c r="HP12" s="183">
        <f>HP10+HP11</f>
        <v/>
      </c>
      <c r="HQ12" s="183">
        <f>HQ10+HQ11</f>
        <v/>
      </c>
      <c r="HR12" s="183">
        <f>HR10+HR11</f>
        <v/>
      </c>
      <c r="HS12" s="183">
        <f>HS10+HS11</f>
        <v/>
      </c>
      <c r="HT12" s="183">
        <f>HT10+HT11</f>
        <v/>
      </c>
      <c r="HU12" s="183">
        <f>HU10+HU11</f>
        <v/>
      </c>
      <c r="HV12" s="183">
        <f>HV10+HV11</f>
        <v/>
      </c>
      <c r="HW12" s="183">
        <f>HW10+HW11</f>
        <v/>
      </c>
      <c r="HX12" s="183">
        <f>HX10+HX11</f>
        <v/>
      </c>
      <c r="HY12" s="183">
        <f>HY10+HY11</f>
        <v/>
      </c>
      <c r="HZ12" s="183">
        <f>HZ10+HZ11</f>
        <v/>
      </c>
      <c r="IA12" s="183">
        <f>IA10+IA11</f>
        <v/>
      </c>
      <c r="IB12" s="183">
        <f>IB10+IB11</f>
        <v/>
      </c>
      <c r="IC12" s="183">
        <f>IC10+IC11</f>
        <v/>
      </c>
      <c r="ID12" s="183">
        <f>ID10+ID11</f>
        <v/>
      </c>
      <c r="IE12" s="183">
        <f>IE10+IE11</f>
        <v/>
      </c>
      <c r="IF12" s="183">
        <f>IF10+IF11</f>
        <v/>
      </c>
      <c r="IG12" s="183">
        <f>IG10+IG11</f>
        <v/>
      </c>
      <c r="IH12" s="183">
        <f>IH10+IH11</f>
        <v/>
      </c>
      <c r="II12" s="183">
        <f>II10+II11</f>
        <v/>
      </c>
      <c r="IJ12" s="183">
        <f>IJ10+IJ11</f>
        <v/>
      </c>
      <c r="IK12" s="183">
        <f>IK10+IK11</f>
        <v/>
      </c>
      <c r="IL12" s="183">
        <f>IL10+IL11</f>
        <v/>
      </c>
      <c r="IM12" s="183">
        <f>IM10+IM11</f>
        <v/>
      </c>
      <c r="IN12" s="183">
        <f>IN10+IN11</f>
        <v/>
      </c>
      <c r="IO12" s="183">
        <f>IO10+IO11</f>
        <v/>
      </c>
      <c r="IP12" s="183">
        <f>IP10+IP11</f>
        <v/>
      </c>
      <c r="IQ12" s="183">
        <f>IQ10+IQ11</f>
        <v/>
      </c>
      <c r="IR12" s="183">
        <f>IR10+IR11</f>
        <v/>
      </c>
      <c r="IS12" s="183">
        <f>IS10+IS11</f>
        <v/>
      </c>
      <c r="IT12" s="183">
        <f>IT10+IT11</f>
        <v/>
      </c>
      <c r="IU12" s="183">
        <f>IU10+IU11</f>
        <v/>
      </c>
      <c r="IV12" s="183">
        <f>IV10+IV11</f>
        <v/>
      </c>
      <c r="IW12" s="183">
        <f>IW10+IW11</f>
        <v/>
      </c>
      <c r="IX12" s="183">
        <f>IX10+IX11</f>
        <v/>
      </c>
      <c r="IY12" s="183">
        <f>IY10+IY11</f>
        <v/>
      </c>
      <c r="IZ12" s="183">
        <f>IZ10+IZ11</f>
        <v/>
      </c>
      <c r="JA12" s="183">
        <f>JA10+JA11</f>
        <v/>
      </c>
      <c r="JB12" s="183">
        <f>JB10+JB11</f>
        <v/>
      </c>
      <c r="JC12" s="183">
        <f>JC10+JC11</f>
        <v/>
      </c>
      <c r="JD12" s="183">
        <f>JD10+JD11</f>
        <v/>
      </c>
      <c r="JE12" s="183">
        <f>JE10+JE11</f>
        <v/>
      </c>
      <c r="JF12" s="183">
        <f>JF10+JF11</f>
        <v/>
      </c>
      <c r="JG12" s="183">
        <f>JG10+JG11</f>
        <v/>
      </c>
      <c r="JH12" s="183">
        <f>JH10+JH11</f>
        <v/>
      </c>
      <c r="JI12" s="183">
        <f>JI10+JI11</f>
        <v/>
      </c>
      <c r="JJ12" s="183">
        <f>JJ10+JJ11</f>
        <v/>
      </c>
      <c r="JK12" s="183">
        <f>JK10+JK11</f>
        <v/>
      </c>
      <c r="JL12" s="183">
        <f>JL10+JL11</f>
        <v/>
      </c>
      <c r="JM12" s="183">
        <f>JM10+JM11</f>
        <v/>
      </c>
      <c r="JN12" s="183">
        <f>JN10+JN11</f>
        <v/>
      </c>
      <c r="JO12" s="183">
        <f>JO10+JO11</f>
        <v/>
      </c>
      <c r="JP12" s="183">
        <f>JP10+JP11</f>
        <v/>
      </c>
      <c r="JQ12" s="183">
        <f>JQ10+JQ11</f>
        <v/>
      </c>
      <c r="JR12" s="183">
        <f>JR10+JR11</f>
        <v/>
      </c>
      <c r="JS12" s="183">
        <f>JS10+JS11</f>
        <v/>
      </c>
      <c r="JT12" s="183">
        <f>JT10+JT11</f>
        <v/>
      </c>
      <c r="JU12" s="183">
        <f>JU10+JU11</f>
        <v/>
      </c>
      <c r="JV12" s="183">
        <f>JV10+JV11</f>
        <v/>
      </c>
      <c r="JW12" s="183">
        <f>JW10+JW11</f>
        <v/>
      </c>
      <c r="JX12" s="183">
        <f>JX10+JX11</f>
        <v/>
      </c>
      <c r="JY12" s="183">
        <f>JY10+JY11</f>
        <v/>
      </c>
      <c r="JZ12" s="183">
        <f>JZ10+JZ11</f>
        <v/>
      </c>
      <c r="KA12" s="183">
        <f>KA10+KA11</f>
        <v/>
      </c>
      <c r="KB12" s="183">
        <f>KB10+KB11</f>
        <v/>
      </c>
      <c r="KC12" s="183">
        <f>KC10+KC11</f>
        <v/>
      </c>
      <c r="KD12" s="183">
        <f>KD10+KD11</f>
        <v/>
      </c>
      <c r="KE12" s="183">
        <f>KE10+KE11</f>
        <v/>
      </c>
      <c r="KF12" s="183">
        <f>KF10+KF11</f>
        <v/>
      </c>
      <c r="KG12" s="183">
        <f>KG10+KG11</f>
        <v/>
      </c>
      <c r="KH12" s="183">
        <f>KH10+KH11</f>
        <v/>
      </c>
      <c r="KI12" s="183">
        <f>KI10+KI11</f>
        <v/>
      </c>
      <c r="KJ12" s="183">
        <f>KJ10+KJ11</f>
        <v/>
      </c>
      <c r="KK12" s="183">
        <f>KK10+KK11</f>
        <v/>
      </c>
      <c r="KL12" s="183">
        <f>KL10+KL11</f>
        <v/>
      </c>
      <c r="KM12" s="183">
        <f>KM10+KM11</f>
        <v/>
      </c>
      <c r="KN12" s="183">
        <f>KN10+KN11</f>
        <v/>
      </c>
      <c r="KO12" s="183">
        <f>KO10+KO11</f>
        <v/>
      </c>
      <c r="KP12" s="183">
        <f>KP10+KP11</f>
        <v/>
      </c>
    </row>
    <row r="13" ht="16" customHeight="1" s="133">
      <c r="A13" s="177" t="inlineStr">
        <is>
          <t>Discount Factor</t>
        </is>
      </c>
      <c r="B13" s="178" t="inlineStr">
        <is>
          <t>-</t>
        </is>
      </c>
      <c r="C13" s="184">
        <f>1/(1+WACC!$E$34)^1</f>
        <v/>
      </c>
      <c r="D13" s="184">
        <f>1/(1+WACC!$E$34)^2</f>
        <v/>
      </c>
      <c r="E13" s="184">
        <f>1/(1+WACC!$E$34)^3</f>
        <v/>
      </c>
      <c r="F13" s="184">
        <f>1/(1+WACC!$E$34)^4</f>
        <v/>
      </c>
      <c r="G13" s="184">
        <f>1/(1+WACC!$E$34)^5</f>
        <v/>
      </c>
      <c r="H13" s="184">
        <f>1/(1+WACC!$E$34)^6</f>
        <v/>
      </c>
      <c r="I13" s="184">
        <f>1/(1+WACC!$E$34)^7</f>
        <v/>
      </c>
      <c r="J13" s="184">
        <f>1/(1+WACC!$E$34)^8</f>
        <v/>
      </c>
      <c r="K13" s="184">
        <f>1/(1+WACC!$E$34)^9</f>
        <v/>
      </c>
      <c r="L13" s="184">
        <f>1/(1+WACC!$E$34)^10</f>
        <v/>
      </c>
      <c r="M13" s="184">
        <f>1/(1+WACC!$E$34)^11</f>
        <v/>
      </c>
      <c r="N13" s="184">
        <f>1/(1+WACC!$E$34)^12</f>
        <v/>
      </c>
      <c r="O13" s="184">
        <f>1/(1+WACC!$E$34)^13</f>
        <v/>
      </c>
      <c r="P13" s="184">
        <f>1/(1+WACC!$E$34)^14</f>
        <v/>
      </c>
      <c r="Q13" s="184">
        <f>1/(1+WACC!$E$34)^15</f>
        <v/>
      </c>
      <c r="R13" s="184">
        <f>1/(1+WACC!$E$34)^16</f>
        <v/>
      </c>
      <c r="S13" s="184">
        <f>1/(1+WACC!$E$34)^17</f>
        <v/>
      </c>
      <c r="T13" s="184">
        <f>1/(1+WACC!$E$34)^18</f>
        <v/>
      </c>
      <c r="U13" s="184">
        <f>1/(1+WACC!$E$34)^19</f>
        <v/>
      </c>
      <c r="V13" s="184">
        <f>1/(1+WACC!$E$34)^20</f>
        <v/>
      </c>
      <c r="W13" s="184">
        <f>1/(1+WACC!$E$34)^21</f>
        <v/>
      </c>
      <c r="X13" s="184">
        <f>1/(1+WACC!$E$34)^22</f>
        <v/>
      </c>
      <c r="Y13" s="184">
        <f>1/(1+WACC!$E$34)^23</f>
        <v/>
      </c>
      <c r="Z13" s="184">
        <f>1/(1+WACC!$E$34)^24</f>
        <v/>
      </c>
      <c r="AA13" s="184">
        <f>1/(1+WACC!$E$34)^25</f>
        <v/>
      </c>
      <c r="AB13" s="184">
        <f>1/(1+WACC!$E$34)^26</f>
        <v/>
      </c>
      <c r="AC13" s="184">
        <f>1/(1+WACC!$E$34)^27</f>
        <v/>
      </c>
      <c r="AD13" s="184">
        <f>1/(1+WACC!$E$34)^28</f>
        <v/>
      </c>
      <c r="AE13" s="184">
        <f>1/(1+WACC!$E$34)^29</f>
        <v/>
      </c>
      <c r="AF13" s="184">
        <f>1/(1+WACC!$E$34)^30</f>
        <v/>
      </c>
      <c r="AG13" s="184">
        <f>1/(1+WACC!$E$34)^31</f>
        <v/>
      </c>
      <c r="AH13" s="184">
        <f>1/(1+WACC!$E$34)^32</f>
        <v/>
      </c>
      <c r="AI13" s="184">
        <f>1/(1+WACC!$E$34)^33</f>
        <v/>
      </c>
      <c r="AJ13" s="184">
        <f>1/(1+WACC!$E$34)^34</f>
        <v/>
      </c>
      <c r="AK13" s="184">
        <f>1/(1+WACC!$E$34)^35</f>
        <v/>
      </c>
      <c r="AL13" s="184">
        <f>1/(1+WACC!$E$34)^36</f>
        <v/>
      </c>
      <c r="AM13" s="184">
        <f>1/(1+WACC!$E$34)^37</f>
        <v/>
      </c>
      <c r="AN13" s="184">
        <f>1/(1+WACC!$E$34)^38</f>
        <v/>
      </c>
      <c r="AO13" s="184">
        <f>1/(1+WACC!$E$34)^39</f>
        <v/>
      </c>
      <c r="AP13" s="184">
        <f>1/(1+WACC!$E$34)^40</f>
        <v/>
      </c>
      <c r="AQ13" s="184">
        <f>1/(1+WACC!$E$34)^41</f>
        <v/>
      </c>
      <c r="AR13" s="184">
        <f>1/(1+WACC!$E$34)^42</f>
        <v/>
      </c>
      <c r="AS13" s="184">
        <f>1/(1+WACC!$E$34)^43</f>
        <v/>
      </c>
      <c r="AT13" s="184">
        <f>1/(1+WACC!$E$34)^44</f>
        <v/>
      </c>
      <c r="AU13" s="184">
        <f>1/(1+WACC!$E$34)^45</f>
        <v/>
      </c>
      <c r="AV13" s="184">
        <f>1/(1+WACC!$E$34)^46</f>
        <v/>
      </c>
      <c r="AW13" s="184">
        <f>1/(1+WACC!$E$34)^47</f>
        <v/>
      </c>
      <c r="AX13" s="184">
        <f>1/(1+WACC!$E$34)^48</f>
        <v/>
      </c>
      <c r="AY13" s="184">
        <f>1/(1+WACC!$E$34)^49</f>
        <v/>
      </c>
      <c r="AZ13" s="184">
        <f>1/(1+WACC!$E$34)^50</f>
        <v/>
      </c>
      <c r="BA13" s="184">
        <f>1/(1+WACC!$E$34)^51</f>
        <v/>
      </c>
      <c r="BB13" s="184">
        <f>1/(1+WACC!$E$34)^52</f>
        <v/>
      </c>
      <c r="BC13" s="184">
        <f>1/(1+WACC!$E$34)^53</f>
        <v/>
      </c>
      <c r="BD13" s="184">
        <f>1/(1+WACC!$E$34)^54</f>
        <v/>
      </c>
      <c r="BE13" s="184">
        <f>1/(1+WACC!$E$34)^55</f>
        <v/>
      </c>
      <c r="BF13" s="184">
        <f>1/(1+WACC!$E$34)^56</f>
        <v/>
      </c>
      <c r="BG13" s="184">
        <f>1/(1+WACC!$E$34)^57</f>
        <v/>
      </c>
      <c r="BH13" s="184">
        <f>1/(1+WACC!$E$34)^58</f>
        <v/>
      </c>
      <c r="BI13" s="184">
        <f>1/(1+WACC!$E$34)^59</f>
        <v/>
      </c>
      <c r="BJ13" s="184">
        <f>1/(1+WACC!$E$34)^60</f>
        <v/>
      </c>
      <c r="BK13" s="184">
        <f>1/(1+WACC!$E$34)^61</f>
        <v/>
      </c>
      <c r="BL13" s="184">
        <f>1/(1+WACC!$E$34)^62</f>
        <v/>
      </c>
      <c r="BM13" s="184">
        <f>1/(1+WACC!$E$34)^63</f>
        <v/>
      </c>
      <c r="BN13" s="184">
        <f>1/(1+WACC!$E$34)^64</f>
        <v/>
      </c>
      <c r="BO13" s="184">
        <f>1/(1+WACC!$E$34)^65</f>
        <v/>
      </c>
      <c r="BP13" s="184">
        <f>1/(1+WACC!$E$34)^66</f>
        <v/>
      </c>
      <c r="BQ13" s="184">
        <f>1/(1+WACC!$E$34)^67</f>
        <v/>
      </c>
      <c r="BR13" s="184">
        <f>1/(1+WACC!$E$34)^68</f>
        <v/>
      </c>
      <c r="BS13" s="184">
        <f>1/(1+WACC!$E$34)^69</f>
        <v/>
      </c>
      <c r="BT13" s="184">
        <f>1/(1+WACC!$E$34)^70</f>
        <v/>
      </c>
      <c r="BU13" s="184">
        <f>1/(1+WACC!$E$34)^71</f>
        <v/>
      </c>
      <c r="BV13" s="184">
        <f>1/(1+WACC!$E$34)^72</f>
        <v/>
      </c>
      <c r="BW13" s="184">
        <f>1/(1+WACC!$E$34)^73</f>
        <v/>
      </c>
      <c r="BX13" s="184">
        <f>1/(1+WACC!$E$34)^74</f>
        <v/>
      </c>
      <c r="BY13" s="184">
        <f>1/(1+WACC!$E$34)^75</f>
        <v/>
      </c>
      <c r="BZ13" s="184">
        <f>1/(1+WACC!$E$34)^76</f>
        <v/>
      </c>
      <c r="CA13" s="184">
        <f>1/(1+WACC!$E$34)^77</f>
        <v/>
      </c>
      <c r="CB13" s="184">
        <f>1/(1+WACC!$E$34)^78</f>
        <v/>
      </c>
      <c r="CC13" s="184">
        <f>1/(1+WACC!$E$34)^79</f>
        <v/>
      </c>
      <c r="CD13" s="184">
        <f>1/(1+WACC!$E$34)^80</f>
        <v/>
      </c>
      <c r="CE13" s="184">
        <f>1/(1+WACC!$E$34)^81</f>
        <v/>
      </c>
      <c r="CF13" s="184">
        <f>1/(1+WACC!$E$34)^82</f>
        <v/>
      </c>
      <c r="CG13" s="184">
        <f>1/(1+WACC!$E$34)^83</f>
        <v/>
      </c>
      <c r="CH13" s="184">
        <f>1/(1+WACC!$E$34)^84</f>
        <v/>
      </c>
      <c r="CI13" s="184">
        <f>1/(1+WACC!$E$34)^85</f>
        <v/>
      </c>
      <c r="CJ13" s="184">
        <f>1/(1+WACC!$E$34)^86</f>
        <v/>
      </c>
      <c r="CK13" s="184">
        <f>1/(1+WACC!$E$34)^87</f>
        <v/>
      </c>
      <c r="CL13" s="184">
        <f>1/(1+WACC!$E$34)^88</f>
        <v/>
      </c>
      <c r="CM13" s="184">
        <f>1/(1+WACC!$E$34)^89</f>
        <v/>
      </c>
      <c r="CN13" s="184">
        <f>1/(1+WACC!$E$34)^90</f>
        <v/>
      </c>
      <c r="CO13" s="184">
        <f>1/(1+WACC!$E$34)^91</f>
        <v/>
      </c>
      <c r="CP13" s="184">
        <f>1/(1+WACC!$E$34)^92</f>
        <v/>
      </c>
      <c r="CQ13" s="184">
        <f>1/(1+WACC!$E$34)^93</f>
        <v/>
      </c>
      <c r="CR13" s="184">
        <f>1/(1+WACC!$E$34)^94</f>
        <v/>
      </c>
      <c r="CS13" s="184">
        <f>1/(1+WACC!$E$34)^95</f>
        <v/>
      </c>
      <c r="CT13" s="184">
        <f>1/(1+WACC!$E$34)^96</f>
        <v/>
      </c>
      <c r="CU13" s="184">
        <f>1/(1+WACC!$E$34)^97</f>
        <v/>
      </c>
      <c r="CV13" s="184">
        <f>1/(1+WACC!$E$34)^98</f>
        <v/>
      </c>
      <c r="CW13" s="184">
        <f>1/(1+WACC!$E$34)^99</f>
        <v/>
      </c>
      <c r="CX13" s="184">
        <f>1/(1+WACC!$E$34)^100</f>
        <v/>
      </c>
      <c r="CY13" s="184">
        <f>1/(1+WACC!$E$34)^101</f>
        <v/>
      </c>
      <c r="CZ13" s="184">
        <f>1/(1+WACC!$E$34)^102</f>
        <v/>
      </c>
      <c r="DA13" s="184">
        <f>1/(1+WACC!$E$34)^103</f>
        <v/>
      </c>
      <c r="DB13" s="184">
        <f>1/(1+WACC!$E$34)^104</f>
        <v/>
      </c>
      <c r="DC13" s="184">
        <f>1/(1+WACC!$E$34)^105</f>
        <v/>
      </c>
      <c r="DD13" s="184">
        <f>1/(1+WACC!$E$34)^106</f>
        <v/>
      </c>
      <c r="DE13" s="184">
        <f>1/(1+WACC!$E$34)^107</f>
        <v/>
      </c>
      <c r="DF13" s="184">
        <f>1/(1+WACC!$E$34)^108</f>
        <v/>
      </c>
      <c r="DG13" s="184">
        <f>1/(1+WACC!$E$34)^109</f>
        <v/>
      </c>
      <c r="DH13" s="184">
        <f>1/(1+WACC!$E$34)^110</f>
        <v/>
      </c>
      <c r="DI13" s="184">
        <f>1/(1+WACC!$E$34)^111</f>
        <v/>
      </c>
      <c r="DJ13" s="184">
        <f>1/(1+WACC!$E$34)^112</f>
        <v/>
      </c>
      <c r="DK13" s="184">
        <f>1/(1+WACC!$E$34)^113</f>
        <v/>
      </c>
      <c r="DL13" s="184">
        <f>1/(1+WACC!$E$34)^114</f>
        <v/>
      </c>
      <c r="DM13" s="184">
        <f>1/(1+WACC!$E$34)^115</f>
        <v/>
      </c>
      <c r="DN13" s="184">
        <f>1/(1+WACC!$E$34)^116</f>
        <v/>
      </c>
      <c r="DO13" s="184">
        <f>1/(1+WACC!$E$34)^117</f>
        <v/>
      </c>
      <c r="DP13" s="184">
        <f>1/(1+WACC!$E$34)^118</f>
        <v/>
      </c>
      <c r="DQ13" s="184">
        <f>1/(1+WACC!$E$34)^119</f>
        <v/>
      </c>
      <c r="DR13" s="184">
        <f>1/(1+WACC!$E$34)^120</f>
        <v/>
      </c>
      <c r="DS13" s="184">
        <f>(1/(1+WACC!$E$34)^120)*(1/(1+WACC!$E$35)^1)</f>
        <v/>
      </c>
      <c r="DT13" s="184">
        <f>(1/(1+WACC!$E$34)^120)*(1/(1+WACC!$E$35)^2)</f>
        <v/>
      </c>
      <c r="DU13" s="184">
        <f>(1/(1+WACC!$E$34)^120)*(1/(1+WACC!$E$35)^3)</f>
        <v/>
      </c>
      <c r="DV13" s="184">
        <f>(1/(1+WACC!$E$34)^120)*(1/(1+WACC!$E$35)^4)</f>
        <v/>
      </c>
      <c r="DW13" s="184">
        <f>(1/(1+WACC!$E$34)^120)*(1/(1+WACC!$E$35)^5)</f>
        <v/>
      </c>
      <c r="DX13" s="184">
        <f>(1/(1+WACC!$E$34)^120)*(1/(1+WACC!$E$35)^6)</f>
        <v/>
      </c>
      <c r="DY13" s="184">
        <f>(1/(1+WACC!$E$34)^120)*(1/(1+WACC!$E$35)^7)</f>
        <v/>
      </c>
      <c r="DZ13" s="184">
        <f>(1/(1+WACC!$E$34)^120)*(1/(1+WACC!$E$35)^8)</f>
        <v/>
      </c>
      <c r="EA13" s="184">
        <f>(1/(1+WACC!$E$34)^120)*(1/(1+WACC!$E$35)^9)</f>
        <v/>
      </c>
      <c r="EB13" s="184">
        <f>(1/(1+WACC!$E$34)^120)*(1/(1+WACC!$E$35)^10)</f>
        <v/>
      </c>
      <c r="EC13" s="184">
        <f>(1/(1+WACC!$E$34)^120)*(1/(1+WACC!$E$35)^11)</f>
        <v/>
      </c>
      <c r="ED13" s="184">
        <f>(1/(1+WACC!$E$34)^120)*(1/(1+WACC!$E$35)^12)</f>
        <v/>
      </c>
      <c r="EE13" s="184">
        <f>(1/(1+WACC!$E$34)^120)*(1/(1+WACC!$E$35)^13)</f>
        <v/>
      </c>
      <c r="EF13" s="184">
        <f>(1/(1+WACC!$E$34)^120)*(1/(1+WACC!$E$35)^14)</f>
        <v/>
      </c>
      <c r="EG13" s="184">
        <f>(1/(1+WACC!$E$34)^120)*(1/(1+WACC!$E$35)^15)</f>
        <v/>
      </c>
      <c r="EH13" s="184">
        <f>(1/(1+WACC!$E$34)^120)*(1/(1+WACC!$E$35)^16)</f>
        <v/>
      </c>
      <c r="EI13" s="184">
        <f>(1/(1+WACC!$E$34)^120)*(1/(1+WACC!$E$35)^17)</f>
        <v/>
      </c>
      <c r="EJ13" s="184">
        <f>(1/(1+WACC!$E$34)^120)*(1/(1+WACC!$E$35)^18)</f>
        <v/>
      </c>
      <c r="EK13" s="184">
        <f>(1/(1+WACC!$E$34)^120)*(1/(1+WACC!$E$35)^19)</f>
        <v/>
      </c>
      <c r="EL13" s="184">
        <f>(1/(1+WACC!$E$34)^120)*(1/(1+WACC!$E$35)^20)</f>
        <v/>
      </c>
      <c r="EM13" s="184">
        <f>(1/(1+WACC!$E$34)^120)*(1/(1+WACC!$E$35)^21)</f>
        <v/>
      </c>
      <c r="EN13" s="184">
        <f>(1/(1+WACC!$E$34)^120)*(1/(1+WACC!$E$35)^22)</f>
        <v/>
      </c>
      <c r="EO13" s="184">
        <f>(1/(1+WACC!$E$34)^120)*(1/(1+WACC!$E$35)^23)</f>
        <v/>
      </c>
      <c r="EP13" s="184">
        <f>(1/(1+WACC!$E$34)^120)*(1/(1+WACC!$E$35)^24)</f>
        <v/>
      </c>
      <c r="EQ13" s="184">
        <f>(1/(1+WACC!$E$34)^120)*(1/(1+WACC!$E$35)^25)</f>
        <v/>
      </c>
      <c r="ER13" s="184">
        <f>(1/(1+WACC!$E$34)^120)*(1/(1+WACC!$E$35)^26)</f>
        <v/>
      </c>
      <c r="ES13" s="184">
        <f>(1/(1+WACC!$E$34)^120)*(1/(1+WACC!$E$35)^27)</f>
        <v/>
      </c>
      <c r="ET13" s="184">
        <f>(1/(1+WACC!$E$34)^120)*(1/(1+WACC!$E$35)^28)</f>
        <v/>
      </c>
      <c r="EU13" s="184">
        <f>(1/(1+WACC!$E$34)^120)*(1/(1+WACC!$E$35)^29)</f>
        <v/>
      </c>
      <c r="EV13" s="184">
        <f>(1/(1+WACC!$E$34)^120)*(1/(1+WACC!$E$35)^30)</f>
        <v/>
      </c>
      <c r="EW13" s="184">
        <f>(1/(1+WACC!$E$34)^120)*(1/(1+WACC!$E$35)^31)</f>
        <v/>
      </c>
      <c r="EX13" s="184">
        <f>(1/(1+WACC!$E$34)^120)*(1/(1+WACC!$E$35)^32)</f>
        <v/>
      </c>
      <c r="EY13" s="184">
        <f>(1/(1+WACC!$E$34)^120)*(1/(1+WACC!$E$35)^33)</f>
        <v/>
      </c>
      <c r="EZ13" s="184">
        <f>(1/(1+WACC!$E$34)^120)*(1/(1+WACC!$E$35)^34)</f>
        <v/>
      </c>
      <c r="FA13" s="184">
        <f>(1/(1+WACC!$E$34)^120)*(1/(1+WACC!$E$35)^35)</f>
        <v/>
      </c>
      <c r="FB13" s="184">
        <f>(1/(1+WACC!$E$34)^120)*(1/(1+WACC!$E$35)^36)</f>
        <v/>
      </c>
      <c r="FC13" s="184">
        <f>(1/(1+WACC!$E$34)^120)*(1/(1+WACC!$E$35)^37)</f>
        <v/>
      </c>
      <c r="FD13" s="184">
        <f>(1/(1+WACC!$E$34)^120)*(1/(1+WACC!$E$35)^38)</f>
        <v/>
      </c>
      <c r="FE13" s="184">
        <f>(1/(1+WACC!$E$34)^120)*(1/(1+WACC!$E$35)^39)</f>
        <v/>
      </c>
      <c r="FF13" s="184">
        <f>(1/(1+WACC!$E$34)^120)*(1/(1+WACC!$E$35)^40)</f>
        <v/>
      </c>
      <c r="FG13" s="184">
        <f>(1/(1+WACC!$E$34)^120)*(1/(1+WACC!$E$35)^41)</f>
        <v/>
      </c>
      <c r="FH13" s="184">
        <f>(1/(1+WACC!$E$34)^120)*(1/(1+WACC!$E$35)^42)</f>
        <v/>
      </c>
      <c r="FI13" s="184">
        <f>(1/(1+WACC!$E$34)^120)*(1/(1+WACC!$E$35)^43)</f>
        <v/>
      </c>
      <c r="FJ13" s="184">
        <f>(1/(1+WACC!$E$34)^120)*(1/(1+WACC!$E$35)^44)</f>
        <v/>
      </c>
      <c r="FK13" s="184">
        <f>(1/(1+WACC!$E$34)^120)*(1/(1+WACC!$E$35)^45)</f>
        <v/>
      </c>
      <c r="FL13" s="184">
        <f>(1/(1+WACC!$E$34)^120)*(1/(1+WACC!$E$35)^46)</f>
        <v/>
      </c>
      <c r="FM13" s="184">
        <f>(1/(1+WACC!$E$34)^120)*(1/(1+WACC!$E$35)^47)</f>
        <v/>
      </c>
      <c r="FN13" s="184">
        <f>(1/(1+WACC!$E$34)^120)*(1/(1+WACC!$E$35)^48)</f>
        <v/>
      </c>
      <c r="FO13" s="184">
        <f>(1/(1+WACC!$E$34)^120)*(1/(1+WACC!$E$35)^49)</f>
        <v/>
      </c>
      <c r="FP13" s="184">
        <f>(1/(1+WACC!$E$34)^120)*(1/(1+WACC!$E$35)^50)</f>
        <v/>
      </c>
      <c r="FQ13" s="184">
        <f>(1/(1+WACC!$E$34)^120)*(1/(1+WACC!$E$35)^51)</f>
        <v/>
      </c>
      <c r="FR13" s="184">
        <f>(1/(1+WACC!$E$34)^120)*(1/(1+WACC!$E$35)^52)</f>
        <v/>
      </c>
      <c r="FS13" s="184">
        <f>(1/(1+WACC!$E$34)^120)*(1/(1+WACC!$E$35)^53)</f>
        <v/>
      </c>
      <c r="FT13" s="184">
        <f>(1/(1+WACC!$E$34)^120)*(1/(1+WACC!$E$35)^54)</f>
        <v/>
      </c>
      <c r="FU13" s="184">
        <f>(1/(1+WACC!$E$34)^120)*(1/(1+WACC!$E$35)^55)</f>
        <v/>
      </c>
      <c r="FV13" s="184">
        <f>(1/(1+WACC!$E$34)^120)*(1/(1+WACC!$E$35)^56)</f>
        <v/>
      </c>
      <c r="FW13" s="184">
        <f>(1/(1+WACC!$E$34)^120)*(1/(1+WACC!$E$35)^57)</f>
        <v/>
      </c>
      <c r="FX13" s="184">
        <f>(1/(1+WACC!$E$34)^120)*(1/(1+WACC!$E$35)^58)</f>
        <v/>
      </c>
      <c r="FY13" s="184">
        <f>(1/(1+WACC!$E$34)^120)*(1/(1+WACC!$E$35)^59)</f>
        <v/>
      </c>
      <c r="FZ13" s="184">
        <f>(1/(1+WACC!$E$34)^120)*(1/(1+WACC!$E$35)^60)</f>
        <v/>
      </c>
      <c r="GA13" s="184">
        <f>(1/(1+WACC!$E$34)^120)*(1/(1+WACC!$E$35)^61)</f>
        <v/>
      </c>
      <c r="GB13" s="184">
        <f>(1/(1+WACC!$E$34)^120)*(1/(1+WACC!$E$35)^62)</f>
        <v/>
      </c>
      <c r="GC13" s="184">
        <f>(1/(1+WACC!$E$34)^120)*(1/(1+WACC!$E$35)^63)</f>
        <v/>
      </c>
      <c r="GD13" s="184">
        <f>(1/(1+WACC!$E$34)^120)*(1/(1+WACC!$E$35)^64)</f>
        <v/>
      </c>
      <c r="GE13" s="184">
        <f>(1/(1+WACC!$E$34)^120)*(1/(1+WACC!$E$35)^65)</f>
        <v/>
      </c>
      <c r="GF13" s="184">
        <f>(1/(1+WACC!$E$34)^120)*(1/(1+WACC!$E$35)^66)</f>
        <v/>
      </c>
      <c r="GG13" s="184">
        <f>(1/(1+WACC!$E$34)^120)*(1/(1+WACC!$E$35)^67)</f>
        <v/>
      </c>
      <c r="GH13" s="184">
        <f>(1/(1+WACC!$E$34)^120)*(1/(1+WACC!$E$35)^68)</f>
        <v/>
      </c>
      <c r="GI13" s="184">
        <f>(1/(1+WACC!$E$34)^120)*(1/(1+WACC!$E$35)^69)</f>
        <v/>
      </c>
      <c r="GJ13" s="184">
        <f>(1/(1+WACC!$E$34)^120)*(1/(1+WACC!$E$35)^70)</f>
        <v/>
      </c>
      <c r="GK13" s="184">
        <f>(1/(1+WACC!$E$34)^120)*(1/(1+WACC!$E$35)^71)</f>
        <v/>
      </c>
      <c r="GL13" s="184">
        <f>(1/(1+WACC!$E$34)^120)*(1/(1+WACC!$E$35)^72)</f>
        <v/>
      </c>
      <c r="GM13" s="184">
        <f>(1/(1+WACC!$E$34)^120)*(1/(1+WACC!$E$35)^73)</f>
        <v/>
      </c>
      <c r="GN13" s="184">
        <f>(1/(1+WACC!$E$34)^120)*(1/(1+WACC!$E$35)^74)</f>
        <v/>
      </c>
      <c r="GO13" s="184">
        <f>(1/(1+WACC!$E$34)^120)*(1/(1+WACC!$E$35)^75)</f>
        <v/>
      </c>
      <c r="GP13" s="184">
        <f>(1/(1+WACC!$E$34)^120)*(1/(1+WACC!$E$35)^76)</f>
        <v/>
      </c>
      <c r="GQ13" s="184">
        <f>(1/(1+WACC!$E$34)^120)*(1/(1+WACC!$E$35)^77)</f>
        <v/>
      </c>
      <c r="GR13" s="184">
        <f>(1/(1+WACC!$E$34)^120)*(1/(1+WACC!$E$35)^78)</f>
        <v/>
      </c>
      <c r="GS13" s="184">
        <f>(1/(1+WACC!$E$34)^120)*(1/(1+WACC!$E$35)^79)</f>
        <v/>
      </c>
      <c r="GT13" s="184">
        <f>(1/(1+WACC!$E$34)^120)*(1/(1+WACC!$E$35)^80)</f>
        <v/>
      </c>
      <c r="GU13" s="184">
        <f>(1/(1+WACC!$E$34)^120)*(1/(1+WACC!$E$35)^81)</f>
        <v/>
      </c>
      <c r="GV13" s="184">
        <f>(1/(1+WACC!$E$34)^120)*(1/(1+WACC!$E$35)^82)</f>
        <v/>
      </c>
      <c r="GW13" s="184">
        <f>(1/(1+WACC!$E$34)^120)*(1/(1+WACC!$E$35)^83)</f>
        <v/>
      </c>
      <c r="GX13" s="184">
        <f>(1/(1+WACC!$E$34)^120)*(1/(1+WACC!$E$35)^84)</f>
        <v/>
      </c>
      <c r="GY13" s="184">
        <f>(1/(1+WACC!$E$34)^120)*(1/(1+WACC!$E$35)^85)</f>
        <v/>
      </c>
      <c r="GZ13" s="184">
        <f>(1/(1+WACC!$E$34)^120)*(1/(1+WACC!$E$35)^86)</f>
        <v/>
      </c>
      <c r="HA13" s="184">
        <f>(1/(1+WACC!$E$34)^120)*(1/(1+WACC!$E$35)^87)</f>
        <v/>
      </c>
      <c r="HB13" s="184">
        <f>(1/(1+WACC!$E$34)^120)*(1/(1+WACC!$E$35)^88)</f>
        <v/>
      </c>
      <c r="HC13" s="184">
        <f>(1/(1+WACC!$E$34)^120)*(1/(1+WACC!$E$35)^89)</f>
        <v/>
      </c>
      <c r="HD13" s="184">
        <f>(1/(1+WACC!$E$34)^120)*(1/(1+WACC!$E$35)^90)</f>
        <v/>
      </c>
      <c r="HE13" s="184">
        <f>(1/(1+WACC!$E$34)^120)*(1/(1+WACC!$E$35)^91)</f>
        <v/>
      </c>
      <c r="HF13" s="184">
        <f>(1/(1+WACC!$E$34)^120)*(1/(1+WACC!$E$35)^92)</f>
        <v/>
      </c>
      <c r="HG13" s="184">
        <f>(1/(1+WACC!$E$34)^120)*(1/(1+WACC!$E$35)^93)</f>
        <v/>
      </c>
      <c r="HH13" s="184">
        <f>(1/(1+WACC!$E$34)^120)*(1/(1+WACC!$E$35)^94)</f>
        <v/>
      </c>
      <c r="HI13" s="184">
        <f>(1/(1+WACC!$E$34)^120)*(1/(1+WACC!$E$35)^95)</f>
        <v/>
      </c>
      <c r="HJ13" s="184">
        <f>(1/(1+WACC!$E$34)^120)*(1/(1+WACC!$E$35)^96)</f>
        <v/>
      </c>
      <c r="HK13" s="184">
        <f>(1/(1+WACC!$E$34)^120)*(1/(1+WACC!$E$35)^97)</f>
        <v/>
      </c>
      <c r="HL13" s="184">
        <f>(1/(1+WACC!$E$34)^120)*(1/(1+WACC!$E$35)^98)</f>
        <v/>
      </c>
      <c r="HM13" s="184">
        <f>(1/(1+WACC!$E$34)^120)*(1/(1+WACC!$E$35)^99)</f>
        <v/>
      </c>
      <c r="HN13" s="184">
        <f>(1/(1+WACC!$E$34)^120)*(1/(1+WACC!$E$35)^100)</f>
        <v/>
      </c>
      <c r="HO13" s="184">
        <f>(1/(1+WACC!$E$34)^120)*(1/(1+WACC!$E$35)^101)</f>
        <v/>
      </c>
      <c r="HP13" s="184">
        <f>(1/(1+WACC!$E$34)^120)*(1/(1+WACC!$E$35)^102)</f>
        <v/>
      </c>
      <c r="HQ13" s="184">
        <f>(1/(1+WACC!$E$34)^120)*(1/(1+WACC!$E$35)^103)</f>
        <v/>
      </c>
      <c r="HR13" s="184">
        <f>(1/(1+WACC!$E$34)^120)*(1/(1+WACC!$E$35)^104)</f>
        <v/>
      </c>
      <c r="HS13" s="184">
        <f>(1/(1+WACC!$E$34)^120)*(1/(1+WACC!$E$35)^105)</f>
        <v/>
      </c>
      <c r="HT13" s="184">
        <f>(1/(1+WACC!$E$34)^120)*(1/(1+WACC!$E$35)^106)</f>
        <v/>
      </c>
      <c r="HU13" s="184">
        <f>(1/(1+WACC!$E$34)^120)*(1/(1+WACC!$E$35)^107)</f>
        <v/>
      </c>
      <c r="HV13" s="184">
        <f>(1/(1+WACC!$E$34)^120)*(1/(1+WACC!$E$35)^108)</f>
        <v/>
      </c>
      <c r="HW13" s="184">
        <f>(1/(1+WACC!$E$34)^120)*(1/(1+WACC!$E$35)^109)</f>
        <v/>
      </c>
      <c r="HX13" s="184">
        <f>(1/(1+WACC!$E$34)^120)*(1/(1+WACC!$E$35)^110)</f>
        <v/>
      </c>
      <c r="HY13" s="184">
        <f>(1/(1+WACC!$E$34)^120)*(1/(1+WACC!$E$35)^111)</f>
        <v/>
      </c>
      <c r="HZ13" s="184">
        <f>(1/(1+WACC!$E$34)^120)*(1/(1+WACC!$E$35)^112)</f>
        <v/>
      </c>
      <c r="IA13" s="184">
        <f>(1/(1+WACC!$E$34)^120)*(1/(1+WACC!$E$35)^113)</f>
        <v/>
      </c>
      <c r="IB13" s="184">
        <f>(1/(1+WACC!$E$34)^120)*(1/(1+WACC!$E$35)^114)</f>
        <v/>
      </c>
      <c r="IC13" s="184">
        <f>(1/(1+WACC!$E$34)^120)*(1/(1+WACC!$E$35)^115)</f>
        <v/>
      </c>
      <c r="ID13" s="184">
        <f>(1/(1+WACC!$E$34)^120)*(1/(1+WACC!$E$35)^116)</f>
        <v/>
      </c>
      <c r="IE13" s="184">
        <f>(1/(1+WACC!$E$34)^120)*(1/(1+WACC!$E$35)^117)</f>
        <v/>
      </c>
      <c r="IF13" s="184">
        <f>(1/(1+WACC!$E$34)^120)*(1/(1+WACC!$E$35)^118)</f>
        <v/>
      </c>
      <c r="IG13" s="184">
        <f>(1/(1+WACC!$E$34)^120)*(1/(1+WACC!$E$35)^119)</f>
        <v/>
      </c>
      <c r="IH13" s="184">
        <f>(1/(1+WACC!$E$34)^120)*(1/(1+WACC!$E$35)^120)</f>
        <v/>
      </c>
      <c r="II13" s="184">
        <f>(1/(1+WACC!$E$34)^120)*(1/(1+WACC!$E$35)^121)</f>
        <v/>
      </c>
      <c r="IJ13" s="184">
        <f>(1/(1+WACC!$E$34)^120)*(1/(1+WACC!$E$35)^122)</f>
        <v/>
      </c>
      <c r="IK13" s="184">
        <f>(1/(1+WACC!$E$34)^120)*(1/(1+WACC!$E$35)^123)</f>
        <v/>
      </c>
      <c r="IL13" s="184">
        <f>(1/(1+WACC!$E$34)^120)*(1/(1+WACC!$E$35)^124)</f>
        <v/>
      </c>
      <c r="IM13" s="184">
        <f>(1/(1+WACC!$E$34)^120)*(1/(1+WACC!$E$35)^125)</f>
        <v/>
      </c>
      <c r="IN13" s="184">
        <f>(1/(1+WACC!$E$34)^120)*(1/(1+WACC!$E$35)^126)</f>
        <v/>
      </c>
      <c r="IO13" s="184">
        <f>(1/(1+WACC!$E$34)^120)*(1/(1+WACC!$E$35)^127)</f>
        <v/>
      </c>
      <c r="IP13" s="184">
        <f>(1/(1+WACC!$E$34)^120)*(1/(1+WACC!$E$35)^128)</f>
        <v/>
      </c>
      <c r="IQ13" s="184">
        <f>(1/(1+WACC!$E$34)^120)*(1/(1+WACC!$E$35)^129)</f>
        <v/>
      </c>
      <c r="IR13" s="184">
        <f>(1/(1+WACC!$E$34)^120)*(1/(1+WACC!$E$35)^130)</f>
        <v/>
      </c>
      <c r="IS13" s="184">
        <f>(1/(1+WACC!$E$34)^120)*(1/(1+WACC!$E$35)^131)</f>
        <v/>
      </c>
      <c r="IT13" s="184">
        <f>(1/(1+WACC!$E$34)^120)*(1/(1+WACC!$E$35)^132)</f>
        <v/>
      </c>
      <c r="IU13" s="184">
        <f>(1/(1+WACC!$E$34)^120)*(1/(1+WACC!$E$35)^133)</f>
        <v/>
      </c>
      <c r="IV13" s="184">
        <f>(1/(1+WACC!$E$34)^120)*(1/(1+WACC!$E$35)^134)</f>
        <v/>
      </c>
      <c r="IW13" s="184">
        <f>(1/(1+WACC!$E$34)^120)*(1/(1+WACC!$E$35)^135)</f>
        <v/>
      </c>
      <c r="IX13" s="184">
        <f>(1/(1+WACC!$E$34)^120)*(1/(1+WACC!$E$35)^136)</f>
        <v/>
      </c>
      <c r="IY13" s="184">
        <f>(1/(1+WACC!$E$34)^120)*(1/(1+WACC!$E$35)^137)</f>
        <v/>
      </c>
      <c r="IZ13" s="184">
        <f>(1/(1+WACC!$E$34)^120)*(1/(1+WACC!$E$35)^138)</f>
        <v/>
      </c>
      <c r="JA13" s="184">
        <f>(1/(1+WACC!$E$34)^120)*(1/(1+WACC!$E$35)^139)</f>
        <v/>
      </c>
      <c r="JB13" s="184">
        <f>(1/(1+WACC!$E$34)^120)*(1/(1+WACC!$E$35)^140)</f>
        <v/>
      </c>
      <c r="JC13" s="184">
        <f>(1/(1+WACC!$E$34)^120)*(1/(1+WACC!$E$35)^141)</f>
        <v/>
      </c>
      <c r="JD13" s="184">
        <f>(1/(1+WACC!$E$34)^120)*(1/(1+WACC!$E$35)^142)</f>
        <v/>
      </c>
      <c r="JE13" s="184">
        <f>(1/(1+WACC!$E$34)^120)*(1/(1+WACC!$E$35)^143)</f>
        <v/>
      </c>
      <c r="JF13" s="184">
        <f>(1/(1+WACC!$E$34)^120)*(1/(1+WACC!$E$35)^144)</f>
        <v/>
      </c>
      <c r="JG13" s="184">
        <f>(1/(1+WACC!$E$34)^120)*(1/(1+WACC!$E$35)^145)</f>
        <v/>
      </c>
      <c r="JH13" s="184">
        <f>(1/(1+WACC!$E$34)^120)*(1/(1+WACC!$E$35)^146)</f>
        <v/>
      </c>
      <c r="JI13" s="184">
        <f>(1/(1+WACC!$E$34)^120)*(1/(1+WACC!$E$35)^147)</f>
        <v/>
      </c>
      <c r="JJ13" s="184">
        <f>(1/(1+WACC!$E$34)^120)*(1/(1+WACC!$E$35)^148)</f>
        <v/>
      </c>
      <c r="JK13" s="184">
        <f>(1/(1+WACC!$E$34)^120)*(1/(1+WACC!$E$35)^149)</f>
        <v/>
      </c>
      <c r="JL13" s="184">
        <f>(1/(1+WACC!$E$34)^120)*(1/(1+WACC!$E$35)^150)</f>
        <v/>
      </c>
      <c r="JM13" s="184">
        <f>(1/(1+WACC!$E$34)^120)*(1/(1+WACC!$E$35)^151)</f>
        <v/>
      </c>
      <c r="JN13" s="184">
        <f>(1/(1+WACC!$E$34)^120)*(1/(1+WACC!$E$35)^152)</f>
        <v/>
      </c>
      <c r="JO13" s="184">
        <f>(1/(1+WACC!$E$34)^120)*(1/(1+WACC!$E$35)^153)</f>
        <v/>
      </c>
      <c r="JP13" s="184">
        <f>(1/(1+WACC!$E$34)^120)*(1/(1+WACC!$E$35)^154)</f>
        <v/>
      </c>
      <c r="JQ13" s="184">
        <f>(1/(1+WACC!$E$34)^120)*(1/(1+WACC!$E$35)^155)</f>
        <v/>
      </c>
      <c r="JR13" s="184">
        <f>(1/(1+WACC!$E$34)^120)*(1/(1+WACC!$E$35)^156)</f>
        <v/>
      </c>
      <c r="JS13" s="184">
        <f>(1/(1+WACC!$E$34)^120)*(1/(1+WACC!$E$35)^157)</f>
        <v/>
      </c>
      <c r="JT13" s="184">
        <f>(1/(1+WACC!$E$34)^120)*(1/(1+WACC!$E$35)^158)</f>
        <v/>
      </c>
      <c r="JU13" s="184">
        <f>(1/(1+WACC!$E$34)^120)*(1/(1+WACC!$E$35)^159)</f>
        <v/>
      </c>
      <c r="JV13" s="184">
        <f>(1/(1+WACC!$E$34)^120)*(1/(1+WACC!$E$35)^160)</f>
        <v/>
      </c>
      <c r="JW13" s="184">
        <f>(1/(1+WACC!$E$34)^120)*(1/(1+WACC!$E$35)^161)</f>
        <v/>
      </c>
      <c r="JX13" s="184">
        <f>(1/(1+WACC!$E$34)^120)*(1/(1+WACC!$E$35)^162)</f>
        <v/>
      </c>
      <c r="JY13" s="184">
        <f>(1/(1+WACC!$E$34)^120)*(1/(1+WACC!$E$35)^163)</f>
        <v/>
      </c>
      <c r="JZ13" s="184">
        <f>(1/(1+WACC!$E$34)^120)*(1/(1+WACC!$E$35)^164)</f>
        <v/>
      </c>
      <c r="KA13" s="184">
        <f>(1/(1+WACC!$E$34)^120)*(1/(1+WACC!$E$35)^165)</f>
        <v/>
      </c>
      <c r="KB13" s="184">
        <f>(1/(1+WACC!$E$34)^120)*(1/(1+WACC!$E$35)^166)</f>
        <v/>
      </c>
      <c r="KC13" s="184">
        <f>(1/(1+WACC!$E$34)^120)*(1/(1+WACC!$E$35)^167)</f>
        <v/>
      </c>
      <c r="KD13" s="184">
        <f>(1/(1+WACC!$E$34)^120)*(1/(1+WACC!$E$35)^168)</f>
        <v/>
      </c>
      <c r="KE13" s="184">
        <f>(1/(1+WACC!$E$34)^120)*(1/(1+WACC!$E$35)^169)</f>
        <v/>
      </c>
      <c r="KF13" s="184">
        <f>(1/(1+WACC!$E$34)^120)*(1/(1+WACC!$E$35)^170)</f>
        <v/>
      </c>
      <c r="KG13" s="184">
        <f>(1/(1+WACC!$E$34)^120)*(1/(1+WACC!$E$35)^171)</f>
        <v/>
      </c>
      <c r="KH13" s="184">
        <f>(1/(1+WACC!$E$34)^120)*(1/(1+WACC!$E$35)^172)</f>
        <v/>
      </c>
      <c r="KI13" s="184">
        <f>(1/(1+WACC!$E$34)^120)*(1/(1+WACC!$E$35)^173)</f>
        <v/>
      </c>
      <c r="KJ13" s="184">
        <f>(1/(1+WACC!$E$34)^120)*(1/(1+WACC!$E$35)^174)</f>
        <v/>
      </c>
      <c r="KK13" s="184">
        <f>(1/(1+WACC!$E$34)^120)*(1/(1+WACC!$E$35)^175)</f>
        <v/>
      </c>
      <c r="KL13" s="184">
        <f>(1/(1+WACC!$E$34)^120)*(1/(1+WACC!$E$35)^176)</f>
        <v/>
      </c>
      <c r="KM13" s="184">
        <f>(1/(1+WACC!$E$34)^120)*(1/(1+WACC!$E$35)^177)</f>
        <v/>
      </c>
      <c r="KN13" s="184">
        <f>(1/(1+WACC!$E$34)^120)*(1/(1+WACC!$E$35)^178)</f>
        <v/>
      </c>
      <c r="KO13" s="184">
        <f>(1/(1+WACC!$E$34)^120)*(1/(1+WACC!$E$35)^179)</f>
        <v/>
      </c>
      <c r="KP13" s="184">
        <f>(1/(1+WACC!$E$34)^120)*(1/(1+WACC!$E$35)^180)</f>
        <v/>
      </c>
    </row>
    <row r="14" ht="16" customHeight="1" s="133">
      <c r="A14" s="181" t="inlineStr">
        <is>
          <t>Discounted FCFF</t>
        </is>
      </c>
      <c r="B14" s="182" t="inlineStr">
        <is>
          <t>EURk</t>
        </is>
      </c>
      <c r="C14" s="183">
        <f>C12*C13</f>
        <v/>
      </c>
      <c r="D14" s="183">
        <f>D12*D13</f>
        <v/>
      </c>
      <c r="E14" s="183">
        <f>E12*E13</f>
        <v/>
      </c>
      <c r="F14" s="183">
        <f>F12*F13</f>
        <v/>
      </c>
      <c r="G14" s="183">
        <f>G12*G13</f>
        <v/>
      </c>
      <c r="H14" s="183">
        <f>H12*H13</f>
        <v/>
      </c>
      <c r="I14" s="183">
        <f>I12*I13</f>
        <v/>
      </c>
      <c r="J14" s="183">
        <f>J12*J13</f>
        <v/>
      </c>
      <c r="K14" s="183">
        <f>K12*K13</f>
        <v/>
      </c>
      <c r="L14" s="183">
        <f>L12*L13</f>
        <v/>
      </c>
      <c r="M14" s="183">
        <f>M12*M13</f>
        <v/>
      </c>
      <c r="N14" s="183">
        <f>N12*N13</f>
        <v/>
      </c>
      <c r="O14" s="183">
        <f>O12*O13</f>
        <v/>
      </c>
      <c r="P14" s="183">
        <f>P12*P13</f>
        <v/>
      </c>
      <c r="Q14" s="183">
        <f>Q12*Q13</f>
        <v/>
      </c>
      <c r="R14" s="183">
        <f>R12*R13</f>
        <v/>
      </c>
      <c r="S14" s="183">
        <f>S12*S13</f>
        <v/>
      </c>
      <c r="T14" s="183">
        <f>T12*T13</f>
        <v/>
      </c>
      <c r="U14" s="183">
        <f>U12*U13</f>
        <v/>
      </c>
      <c r="V14" s="183">
        <f>V12*V13</f>
        <v/>
      </c>
      <c r="W14" s="183">
        <f>W12*W13</f>
        <v/>
      </c>
      <c r="X14" s="183">
        <f>X12*X13</f>
        <v/>
      </c>
      <c r="Y14" s="183">
        <f>Y12*Y13</f>
        <v/>
      </c>
      <c r="Z14" s="183">
        <f>Z12*Z13</f>
        <v/>
      </c>
      <c r="AA14" s="183">
        <f>AA12*AA13</f>
        <v/>
      </c>
      <c r="AB14" s="183">
        <f>AB12*AB13</f>
        <v/>
      </c>
      <c r="AC14" s="183">
        <f>AC12*AC13</f>
        <v/>
      </c>
      <c r="AD14" s="183">
        <f>AD12*AD13</f>
        <v/>
      </c>
      <c r="AE14" s="183">
        <f>AE12*AE13</f>
        <v/>
      </c>
      <c r="AF14" s="183">
        <f>AF12*AF13</f>
        <v/>
      </c>
      <c r="AG14" s="183">
        <f>AG12*AG13</f>
        <v/>
      </c>
      <c r="AH14" s="183">
        <f>AH12*AH13</f>
        <v/>
      </c>
      <c r="AI14" s="183">
        <f>AI12*AI13</f>
        <v/>
      </c>
      <c r="AJ14" s="183">
        <f>AJ12*AJ13</f>
        <v/>
      </c>
      <c r="AK14" s="183">
        <f>AK12*AK13</f>
        <v/>
      </c>
      <c r="AL14" s="183">
        <f>AL12*AL13</f>
        <v/>
      </c>
      <c r="AM14" s="183">
        <f>AM12*AM13</f>
        <v/>
      </c>
      <c r="AN14" s="183">
        <f>AN12*AN13</f>
        <v/>
      </c>
      <c r="AO14" s="183">
        <f>AO12*AO13</f>
        <v/>
      </c>
      <c r="AP14" s="183">
        <f>AP12*AP13</f>
        <v/>
      </c>
      <c r="AQ14" s="183">
        <f>AQ12*AQ13</f>
        <v/>
      </c>
      <c r="AR14" s="183">
        <f>AR12*AR13</f>
        <v/>
      </c>
      <c r="AS14" s="183">
        <f>AS12*AS13</f>
        <v/>
      </c>
      <c r="AT14" s="183">
        <f>AT12*AT13</f>
        <v/>
      </c>
      <c r="AU14" s="183">
        <f>AU12*AU13</f>
        <v/>
      </c>
      <c r="AV14" s="183">
        <f>AV12*AV13</f>
        <v/>
      </c>
      <c r="AW14" s="183">
        <f>AW12*AW13</f>
        <v/>
      </c>
      <c r="AX14" s="183">
        <f>AX12*AX13</f>
        <v/>
      </c>
      <c r="AY14" s="183">
        <f>AY12*AY13</f>
        <v/>
      </c>
      <c r="AZ14" s="183">
        <f>AZ12*AZ13</f>
        <v/>
      </c>
      <c r="BA14" s="183">
        <f>BA12*BA13</f>
        <v/>
      </c>
      <c r="BB14" s="183">
        <f>BB12*BB13</f>
        <v/>
      </c>
      <c r="BC14" s="183">
        <f>BC12*BC13</f>
        <v/>
      </c>
      <c r="BD14" s="183">
        <f>BD12*BD13</f>
        <v/>
      </c>
      <c r="BE14" s="183">
        <f>BE12*BE13</f>
        <v/>
      </c>
      <c r="BF14" s="183">
        <f>BF12*BF13</f>
        <v/>
      </c>
      <c r="BG14" s="183">
        <f>BG12*BG13</f>
        <v/>
      </c>
      <c r="BH14" s="183">
        <f>BH12*BH13</f>
        <v/>
      </c>
      <c r="BI14" s="183">
        <f>BI12*BI13</f>
        <v/>
      </c>
      <c r="BJ14" s="183">
        <f>BJ12*BJ13</f>
        <v/>
      </c>
      <c r="BK14" s="183">
        <f>BK12*BK13</f>
        <v/>
      </c>
      <c r="BL14" s="183">
        <f>BL12*BL13</f>
        <v/>
      </c>
      <c r="BM14" s="183">
        <f>BM12*BM13</f>
        <v/>
      </c>
      <c r="BN14" s="183">
        <f>BN12*BN13</f>
        <v/>
      </c>
      <c r="BO14" s="183">
        <f>BO12*BO13</f>
        <v/>
      </c>
      <c r="BP14" s="183">
        <f>BP12*BP13</f>
        <v/>
      </c>
      <c r="BQ14" s="183">
        <f>BQ12*BQ13</f>
        <v/>
      </c>
      <c r="BR14" s="183">
        <f>BR12*BR13</f>
        <v/>
      </c>
      <c r="BS14" s="183">
        <f>BS12*BS13</f>
        <v/>
      </c>
      <c r="BT14" s="183">
        <f>BT12*BT13</f>
        <v/>
      </c>
      <c r="BU14" s="183">
        <f>BU12*BU13</f>
        <v/>
      </c>
      <c r="BV14" s="183">
        <f>BV12*BV13</f>
        <v/>
      </c>
      <c r="BW14" s="183">
        <f>BW12*BW13</f>
        <v/>
      </c>
      <c r="BX14" s="183">
        <f>BX12*BX13</f>
        <v/>
      </c>
      <c r="BY14" s="183">
        <f>BY12*BY13</f>
        <v/>
      </c>
      <c r="BZ14" s="183">
        <f>BZ12*BZ13</f>
        <v/>
      </c>
      <c r="CA14" s="183">
        <f>CA12*CA13</f>
        <v/>
      </c>
      <c r="CB14" s="183">
        <f>CB12*CB13</f>
        <v/>
      </c>
      <c r="CC14" s="183">
        <f>CC12*CC13</f>
        <v/>
      </c>
      <c r="CD14" s="183">
        <f>CD12*CD13</f>
        <v/>
      </c>
      <c r="CE14" s="183">
        <f>CE12*CE13</f>
        <v/>
      </c>
      <c r="CF14" s="183">
        <f>CF12*CF13</f>
        <v/>
      </c>
      <c r="CG14" s="183">
        <f>CG12*CG13</f>
        <v/>
      </c>
      <c r="CH14" s="183">
        <f>CH12*CH13</f>
        <v/>
      </c>
      <c r="CI14" s="183">
        <f>CI12*CI13</f>
        <v/>
      </c>
      <c r="CJ14" s="183">
        <f>CJ12*CJ13</f>
        <v/>
      </c>
      <c r="CK14" s="183">
        <f>CK12*CK13</f>
        <v/>
      </c>
      <c r="CL14" s="183">
        <f>CL12*CL13</f>
        <v/>
      </c>
      <c r="CM14" s="183">
        <f>CM12*CM13</f>
        <v/>
      </c>
      <c r="CN14" s="183">
        <f>CN12*CN13</f>
        <v/>
      </c>
      <c r="CO14" s="183">
        <f>CO12*CO13</f>
        <v/>
      </c>
      <c r="CP14" s="183">
        <f>CP12*CP13</f>
        <v/>
      </c>
      <c r="CQ14" s="183">
        <f>CQ12*CQ13</f>
        <v/>
      </c>
      <c r="CR14" s="183">
        <f>CR12*CR13</f>
        <v/>
      </c>
      <c r="CS14" s="183">
        <f>CS12*CS13</f>
        <v/>
      </c>
      <c r="CT14" s="183">
        <f>CT12*CT13</f>
        <v/>
      </c>
      <c r="CU14" s="183">
        <f>CU12*CU13</f>
        <v/>
      </c>
      <c r="CV14" s="183">
        <f>CV12*CV13</f>
        <v/>
      </c>
      <c r="CW14" s="183">
        <f>CW12*CW13</f>
        <v/>
      </c>
      <c r="CX14" s="183">
        <f>CX12*CX13</f>
        <v/>
      </c>
      <c r="CY14" s="183">
        <f>CY12*CY13</f>
        <v/>
      </c>
      <c r="CZ14" s="183">
        <f>CZ12*CZ13</f>
        <v/>
      </c>
      <c r="DA14" s="183">
        <f>DA12*DA13</f>
        <v/>
      </c>
      <c r="DB14" s="183">
        <f>DB12*DB13</f>
        <v/>
      </c>
      <c r="DC14" s="183">
        <f>DC12*DC13</f>
        <v/>
      </c>
      <c r="DD14" s="183">
        <f>DD12*DD13</f>
        <v/>
      </c>
      <c r="DE14" s="183">
        <f>DE12*DE13</f>
        <v/>
      </c>
      <c r="DF14" s="183">
        <f>DF12*DF13</f>
        <v/>
      </c>
      <c r="DG14" s="183">
        <f>DG12*DG13</f>
        <v/>
      </c>
      <c r="DH14" s="183">
        <f>DH12*DH13</f>
        <v/>
      </c>
      <c r="DI14" s="183">
        <f>DI12*DI13</f>
        <v/>
      </c>
      <c r="DJ14" s="183">
        <f>DJ12*DJ13</f>
        <v/>
      </c>
      <c r="DK14" s="183">
        <f>DK12*DK13</f>
        <v/>
      </c>
      <c r="DL14" s="183">
        <f>DL12*DL13</f>
        <v/>
      </c>
      <c r="DM14" s="183">
        <f>DM12*DM13</f>
        <v/>
      </c>
      <c r="DN14" s="183">
        <f>DN12*DN13</f>
        <v/>
      </c>
      <c r="DO14" s="183">
        <f>DO12*DO13</f>
        <v/>
      </c>
      <c r="DP14" s="183">
        <f>DP12*DP13</f>
        <v/>
      </c>
      <c r="DQ14" s="183">
        <f>DQ12*DQ13</f>
        <v/>
      </c>
      <c r="DR14" s="183">
        <f>DR12*DR13</f>
        <v/>
      </c>
      <c r="DS14" s="183">
        <f>DS12*DS13</f>
        <v/>
      </c>
      <c r="DT14" s="183">
        <f>DT12*DT13</f>
        <v/>
      </c>
      <c r="DU14" s="183">
        <f>DU12*DU13</f>
        <v/>
      </c>
      <c r="DV14" s="183">
        <f>DV12*DV13</f>
        <v/>
      </c>
      <c r="DW14" s="183">
        <f>DW12*DW13</f>
        <v/>
      </c>
      <c r="DX14" s="183">
        <f>DX12*DX13</f>
        <v/>
      </c>
      <c r="DY14" s="183">
        <f>DY12*DY13</f>
        <v/>
      </c>
      <c r="DZ14" s="183">
        <f>DZ12*DZ13</f>
        <v/>
      </c>
      <c r="EA14" s="183">
        <f>EA12*EA13</f>
        <v/>
      </c>
      <c r="EB14" s="183">
        <f>EB12*EB13</f>
        <v/>
      </c>
      <c r="EC14" s="183">
        <f>EC12*EC13</f>
        <v/>
      </c>
      <c r="ED14" s="183">
        <f>ED12*ED13</f>
        <v/>
      </c>
      <c r="EE14" s="183">
        <f>EE12*EE13</f>
        <v/>
      </c>
      <c r="EF14" s="183">
        <f>EF12*EF13</f>
        <v/>
      </c>
      <c r="EG14" s="183">
        <f>EG12*EG13</f>
        <v/>
      </c>
      <c r="EH14" s="183">
        <f>EH12*EH13</f>
        <v/>
      </c>
      <c r="EI14" s="183">
        <f>EI12*EI13</f>
        <v/>
      </c>
      <c r="EJ14" s="183">
        <f>EJ12*EJ13</f>
        <v/>
      </c>
      <c r="EK14" s="183">
        <f>EK12*EK13</f>
        <v/>
      </c>
      <c r="EL14" s="183">
        <f>EL12*EL13</f>
        <v/>
      </c>
      <c r="EM14" s="183">
        <f>EM12*EM13</f>
        <v/>
      </c>
      <c r="EN14" s="183">
        <f>EN12*EN13</f>
        <v/>
      </c>
      <c r="EO14" s="183">
        <f>EO12*EO13</f>
        <v/>
      </c>
      <c r="EP14" s="183">
        <f>EP12*EP13</f>
        <v/>
      </c>
      <c r="EQ14" s="183">
        <f>EQ12*EQ13</f>
        <v/>
      </c>
      <c r="ER14" s="183">
        <f>ER12*ER13</f>
        <v/>
      </c>
      <c r="ES14" s="183">
        <f>ES12*ES13</f>
        <v/>
      </c>
      <c r="ET14" s="183">
        <f>ET12*ET13</f>
        <v/>
      </c>
      <c r="EU14" s="183">
        <f>EU12*EU13</f>
        <v/>
      </c>
      <c r="EV14" s="183">
        <f>EV12*EV13</f>
        <v/>
      </c>
      <c r="EW14" s="183">
        <f>EW12*EW13</f>
        <v/>
      </c>
      <c r="EX14" s="183">
        <f>EX12*EX13</f>
        <v/>
      </c>
      <c r="EY14" s="183">
        <f>EY12*EY13</f>
        <v/>
      </c>
      <c r="EZ14" s="183">
        <f>EZ12*EZ13</f>
        <v/>
      </c>
      <c r="FA14" s="183">
        <f>FA12*FA13</f>
        <v/>
      </c>
      <c r="FB14" s="183">
        <f>FB12*FB13</f>
        <v/>
      </c>
      <c r="FC14" s="183">
        <f>FC12*FC13</f>
        <v/>
      </c>
      <c r="FD14" s="183">
        <f>FD12*FD13</f>
        <v/>
      </c>
      <c r="FE14" s="183">
        <f>FE12*FE13</f>
        <v/>
      </c>
      <c r="FF14" s="183">
        <f>FF12*FF13</f>
        <v/>
      </c>
      <c r="FG14" s="183">
        <f>FG12*FG13</f>
        <v/>
      </c>
      <c r="FH14" s="183">
        <f>FH12*FH13</f>
        <v/>
      </c>
      <c r="FI14" s="183">
        <f>FI12*FI13</f>
        <v/>
      </c>
      <c r="FJ14" s="183">
        <f>FJ12*FJ13</f>
        <v/>
      </c>
      <c r="FK14" s="183">
        <f>FK12*FK13</f>
        <v/>
      </c>
      <c r="FL14" s="183">
        <f>FL12*FL13</f>
        <v/>
      </c>
      <c r="FM14" s="183">
        <f>FM12*FM13</f>
        <v/>
      </c>
      <c r="FN14" s="183">
        <f>FN12*FN13</f>
        <v/>
      </c>
      <c r="FO14" s="183">
        <f>FO12*FO13</f>
        <v/>
      </c>
      <c r="FP14" s="183">
        <f>FP12*FP13</f>
        <v/>
      </c>
      <c r="FQ14" s="183">
        <f>FQ12*FQ13</f>
        <v/>
      </c>
      <c r="FR14" s="183">
        <f>FR12*FR13</f>
        <v/>
      </c>
      <c r="FS14" s="183">
        <f>FS12*FS13</f>
        <v/>
      </c>
      <c r="FT14" s="183">
        <f>FT12*FT13</f>
        <v/>
      </c>
      <c r="FU14" s="183">
        <f>FU12*FU13</f>
        <v/>
      </c>
      <c r="FV14" s="183">
        <f>FV12*FV13</f>
        <v/>
      </c>
      <c r="FW14" s="183">
        <f>FW12*FW13</f>
        <v/>
      </c>
      <c r="FX14" s="183">
        <f>FX12*FX13</f>
        <v/>
      </c>
      <c r="FY14" s="183">
        <f>FY12*FY13</f>
        <v/>
      </c>
      <c r="FZ14" s="183">
        <f>FZ12*FZ13</f>
        <v/>
      </c>
      <c r="GA14" s="183">
        <f>GA12*GA13</f>
        <v/>
      </c>
      <c r="GB14" s="183">
        <f>GB12*GB13</f>
        <v/>
      </c>
      <c r="GC14" s="183">
        <f>GC12*GC13</f>
        <v/>
      </c>
      <c r="GD14" s="183">
        <f>GD12*GD13</f>
        <v/>
      </c>
      <c r="GE14" s="183">
        <f>GE12*GE13</f>
        <v/>
      </c>
      <c r="GF14" s="183">
        <f>GF12*GF13</f>
        <v/>
      </c>
      <c r="GG14" s="183">
        <f>GG12*GG13</f>
        <v/>
      </c>
      <c r="GH14" s="183">
        <f>GH12*GH13</f>
        <v/>
      </c>
      <c r="GI14" s="183">
        <f>GI12*GI13</f>
        <v/>
      </c>
      <c r="GJ14" s="183">
        <f>GJ12*GJ13</f>
        <v/>
      </c>
      <c r="GK14" s="183">
        <f>GK12*GK13</f>
        <v/>
      </c>
      <c r="GL14" s="183">
        <f>GL12*GL13</f>
        <v/>
      </c>
      <c r="GM14" s="183">
        <f>GM12*GM13</f>
        <v/>
      </c>
      <c r="GN14" s="183">
        <f>GN12*GN13</f>
        <v/>
      </c>
      <c r="GO14" s="183">
        <f>GO12*GO13</f>
        <v/>
      </c>
      <c r="GP14" s="183">
        <f>GP12*GP13</f>
        <v/>
      </c>
      <c r="GQ14" s="183">
        <f>GQ12*GQ13</f>
        <v/>
      </c>
      <c r="GR14" s="183">
        <f>GR12*GR13</f>
        <v/>
      </c>
      <c r="GS14" s="183">
        <f>GS12*GS13</f>
        <v/>
      </c>
      <c r="GT14" s="183">
        <f>GT12*GT13</f>
        <v/>
      </c>
      <c r="GU14" s="183">
        <f>GU12*GU13</f>
        <v/>
      </c>
      <c r="GV14" s="183">
        <f>GV12*GV13</f>
        <v/>
      </c>
      <c r="GW14" s="183">
        <f>GW12*GW13</f>
        <v/>
      </c>
      <c r="GX14" s="183">
        <f>GX12*GX13</f>
        <v/>
      </c>
      <c r="GY14" s="183">
        <f>GY12*GY13</f>
        <v/>
      </c>
      <c r="GZ14" s="183">
        <f>GZ12*GZ13</f>
        <v/>
      </c>
      <c r="HA14" s="183">
        <f>HA12*HA13</f>
        <v/>
      </c>
      <c r="HB14" s="183">
        <f>HB12*HB13</f>
        <v/>
      </c>
      <c r="HC14" s="183">
        <f>HC12*HC13</f>
        <v/>
      </c>
      <c r="HD14" s="183">
        <f>HD12*HD13</f>
        <v/>
      </c>
      <c r="HE14" s="183">
        <f>HE12*HE13</f>
        <v/>
      </c>
      <c r="HF14" s="183">
        <f>HF12*HF13</f>
        <v/>
      </c>
      <c r="HG14" s="183">
        <f>HG12*HG13</f>
        <v/>
      </c>
      <c r="HH14" s="183">
        <f>HH12*HH13</f>
        <v/>
      </c>
      <c r="HI14" s="183">
        <f>HI12*HI13</f>
        <v/>
      </c>
      <c r="HJ14" s="183">
        <f>HJ12*HJ13</f>
        <v/>
      </c>
      <c r="HK14" s="183">
        <f>HK12*HK13</f>
        <v/>
      </c>
      <c r="HL14" s="183">
        <f>HL12*HL13</f>
        <v/>
      </c>
      <c r="HM14" s="183">
        <f>HM12*HM13</f>
        <v/>
      </c>
      <c r="HN14" s="183">
        <f>HN12*HN13</f>
        <v/>
      </c>
      <c r="HO14" s="183">
        <f>HO12*HO13</f>
        <v/>
      </c>
      <c r="HP14" s="183">
        <f>HP12*HP13</f>
        <v/>
      </c>
      <c r="HQ14" s="183">
        <f>HQ12*HQ13</f>
        <v/>
      </c>
      <c r="HR14" s="183">
        <f>HR12*HR13</f>
        <v/>
      </c>
      <c r="HS14" s="183">
        <f>HS12*HS13</f>
        <v/>
      </c>
      <c r="HT14" s="183">
        <f>HT12*HT13</f>
        <v/>
      </c>
      <c r="HU14" s="183">
        <f>HU12*HU13</f>
        <v/>
      </c>
      <c r="HV14" s="183">
        <f>HV12*HV13</f>
        <v/>
      </c>
      <c r="HW14" s="183">
        <f>HW12*HW13</f>
        <v/>
      </c>
      <c r="HX14" s="183">
        <f>HX12*HX13</f>
        <v/>
      </c>
      <c r="HY14" s="183">
        <f>HY12*HY13</f>
        <v/>
      </c>
      <c r="HZ14" s="183">
        <f>HZ12*HZ13</f>
        <v/>
      </c>
      <c r="IA14" s="183">
        <f>IA12*IA13</f>
        <v/>
      </c>
      <c r="IB14" s="183">
        <f>IB12*IB13</f>
        <v/>
      </c>
      <c r="IC14" s="183">
        <f>IC12*IC13</f>
        <v/>
      </c>
      <c r="ID14" s="183">
        <f>ID12*ID13</f>
        <v/>
      </c>
      <c r="IE14" s="183">
        <f>IE12*IE13</f>
        <v/>
      </c>
      <c r="IF14" s="183">
        <f>IF12*IF13</f>
        <v/>
      </c>
      <c r="IG14" s="183">
        <f>IG12*IG13</f>
        <v/>
      </c>
      <c r="IH14" s="183">
        <f>IH12*IH13</f>
        <v/>
      </c>
      <c r="II14" s="183">
        <f>II12*II13</f>
        <v/>
      </c>
      <c r="IJ14" s="183">
        <f>IJ12*IJ13</f>
        <v/>
      </c>
      <c r="IK14" s="183">
        <f>IK12*IK13</f>
        <v/>
      </c>
      <c r="IL14" s="183">
        <f>IL12*IL13</f>
        <v/>
      </c>
      <c r="IM14" s="183">
        <f>IM12*IM13</f>
        <v/>
      </c>
      <c r="IN14" s="183">
        <f>IN12*IN13</f>
        <v/>
      </c>
      <c r="IO14" s="183">
        <f>IO12*IO13</f>
        <v/>
      </c>
      <c r="IP14" s="183">
        <f>IP12*IP13</f>
        <v/>
      </c>
      <c r="IQ14" s="183">
        <f>IQ12*IQ13</f>
        <v/>
      </c>
      <c r="IR14" s="183">
        <f>IR12*IR13</f>
        <v/>
      </c>
      <c r="IS14" s="183">
        <f>IS12*IS13</f>
        <v/>
      </c>
      <c r="IT14" s="183">
        <f>IT12*IT13</f>
        <v/>
      </c>
      <c r="IU14" s="183">
        <f>IU12*IU13</f>
        <v/>
      </c>
      <c r="IV14" s="183">
        <f>IV12*IV13</f>
        <v/>
      </c>
      <c r="IW14" s="183">
        <f>IW12*IW13</f>
        <v/>
      </c>
      <c r="IX14" s="183">
        <f>IX12*IX13</f>
        <v/>
      </c>
      <c r="IY14" s="183">
        <f>IY12*IY13</f>
        <v/>
      </c>
      <c r="IZ14" s="183">
        <f>IZ12*IZ13</f>
        <v/>
      </c>
      <c r="JA14" s="183">
        <f>JA12*JA13</f>
        <v/>
      </c>
      <c r="JB14" s="183">
        <f>JB12*JB13</f>
        <v/>
      </c>
      <c r="JC14" s="183">
        <f>JC12*JC13</f>
        <v/>
      </c>
      <c r="JD14" s="183">
        <f>JD12*JD13</f>
        <v/>
      </c>
      <c r="JE14" s="183">
        <f>JE12*JE13</f>
        <v/>
      </c>
      <c r="JF14" s="183">
        <f>JF12*JF13</f>
        <v/>
      </c>
      <c r="JG14" s="183">
        <f>JG12*JG13</f>
        <v/>
      </c>
      <c r="JH14" s="183">
        <f>JH12*JH13</f>
        <v/>
      </c>
      <c r="JI14" s="183">
        <f>JI12*JI13</f>
        <v/>
      </c>
      <c r="JJ14" s="183">
        <f>JJ12*JJ13</f>
        <v/>
      </c>
      <c r="JK14" s="183">
        <f>JK12*JK13</f>
        <v/>
      </c>
      <c r="JL14" s="183">
        <f>JL12*JL13</f>
        <v/>
      </c>
      <c r="JM14" s="183">
        <f>JM12*JM13</f>
        <v/>
      </c>
      <c r="JN14" s="183">
        <f>JN12*JN13</f>
        <v/>
      </c>
      <c r="JO14" s="183">
        <f>JO12*JO13</f>
        <v/>
      </c>
      <c r="JP14" s="183">
        <f>JP12*JP13</f>
        <v/>
      </c>
      <c r="JQ14" s="183">
        <f>JQ12*JQ13</f>
        <v/>
      </c>
      <c r="JR14" s="183">
        <f>JR12*JR13</f>
        <v/>
      </c>
      <c r="JS14" s="183">
        <f>JS12*JS13</f>
        <v/>
      </c>
      <c r="JT14" s="183">
        <f>JT12*JT13</f>
        <v/>
      </c>
      <c r="JU14" s="183">
        <f>JU12*JU13</f>
        <v/>
      </c>
      <c r="JV14" s="183">
        <f>JV12*JV13</f>
        <v/>
      </c>
      <c r="JW14" s="183">
        <f>JW12*JW13</f>
        <v/>
      </c>
      <c r="JX14" s="183">
        <f>JX12*JX13</f>
        <v/>
      </c>
      <c r="JY14" s="183">
        <f>JY12*JY13</f>
        <v/>
      </c>
      <c r="JZ14" s="183">
        <f>JZ12*JZ13</f>
        <v/>
      </c>
      <c r="KA14" s="183">
        <f>KA12*KA13</f>
        <v/>
      </c>
      <c r="KB14" s="183">
        <f>KB12*KB13</f>
        <v/>
      </c>
      <c r="KC14" s="183">
        <f>KC12*KC13</f>
        <v/>
      </c>
      <c r="KD14" s="183">
        <f>KD12*KD13</f>
        <v/>
      </c>
      <c r="KE14" s="183">
        <f>KE12*KE13</f>
        <v/>
      </c>
      <c r="KF14" s="183">
        <f>KF12*KF13</f>
        <v/>
      </c>
      <c r="KG14" s="183">
        <f>KG12*KG13</f>
        <v/>
      </c>
      <c r="KH14" s="183">
        <f>KH12*KH13</f>
        <v/>
      </c>
      <c r="KI14" s="183">
        <f>KI12*KI13</f>
        <v/>
      </c>
      <c r="KJ14" s="183">
        <f>KJ12*KJ13</f>
        <v/>
      </c>
      <c r="KK14" s="183">
        <f>KK12*KK13</f>
        <v/>
      </c>
      <c r="KL14" s="183">
        <f>KL12*KL13</f>
        <v/>
      </c>
      <c r="KM14" s="183">
        <f>KM12*KM13</f>
        <v/>
      </c>
      <c r="KN14" s="183">
        <f>KN12*KN13</f>
        <v/>
      </c>
      <c r="KO14" s="183">
        <f>KO12*KO13</f>
        <v/>
      </c>
      <c r="KP14" s="183">
        <f>KP12*KP13</f>
        <v/>
      </c>
    </row>
    <row r="15" ht="16" customHeight="1" s="133">
      <c r="A15" s="181" t="inlineStr">
        <is>
          <t>Cumulative NPV</t>
        </is>
      </c>
      <c r="B15" s="182" t="inlineStr">
        <is>
          <t>EURk</t>
        </is>
      </c>
      <c r="C15" s="183">
        <f>C14-Assumptions!$E$31</f>
        <v/>
      </c>
      <c r="D15" s="183">
        <f>C15+D14</f>
        <v/>
      </c>
      <c r="E15" s="183">
        <f>D15+E14</f>
        <v/>
      </c>
      <c r="F15" s="183">
        <f>E15+F14</f>
        <v/>
      </c>
      <c r="G15" s="183">
        <f>F15+G14</f>
        <v/>
      </c>
      <c r="H15" s="183">
        <f>G15+H14</f>
        <v/>
      </c>
      <c r="I15" s="183">
        <f>H15+I14</f>
        <v/>
      </c>
      <c r="J15" s="183">
        <f>I15+J14</f>
        <v/>
      </c>
      <c r="K15" s="183">
        <f>J15+K14</f>
        <v/>
      </c>
      <c r="L15" s="183">
        <f>K15+L14</f>
        <v/>
      </c>
      <c r="M15" s="183">
        <f>L15+M14</f>
        <v/>
      </c>
      <c r="N15" s="183">
        <f>M15+N14</f>
        <v/>
      </c>
      <c r="O15" s="183">
        <f>N15+O14</f>
        <v/>
      </c>
      <c r="P15" s="183">
        <f>O15+P14</f>
        <v/>
      </c>
      <c r="Q15" s="183">
        <f>P15+Q14</f>
        <v/>
      </c>
      <c r="R15" s="183">
        <f>Q15+R14</f>
        <v/>
      </c>
      <c r="S15" s="183">
        <f>R15+S14</f>
        <v/>
      </c>
      <c r="T15" s="183">
        <f>S15+T14</f>
        <v/>
      </c>
      <c r="U15" s="183">
        <f>T15+U14</f>
        <v/>
      </c>
      <c r="V15" s="183">
        <f>U15+V14</f>
        <v/>
      </c>
      <c r="W15" s="183">
        <f>V15+W14</f>
        <v/>
      </c>
      <c r="X15" s="183">
        <f>W15+X14</f>
        <v/>
      </c>
      <c r="Y15" s="183">
        <f>X15+Y14</f>
        <v/>
      </c>
      <c r="Z15" s="183">
        <f>Y15+Z14</f>
        <v/>
      </c>
      <c r="AA15" s="183">
        <f>Z15+AA14</f>
        <v/>
      </c>
      <c r="AB15" s="183">
        <f>AA15+AB14</f>
        <v/>
      </c>
      <c r="AC15" s="183">
        <f>AB15+AC14</f>
        <v/>
      </c>
      <c r="AD15" s="183">
        <f>AC15+AD14</f>
        <v/>
      </c>
      <c r="AE15" s="183">
        <f>AD15+AE14</f>
        <v/>
      </c>
      <c r="AF15" s="183">
        <f>AE15+AF14</f>
        <v/>
      </c>
      <c r="AG15" s="183">
        <f>AF15+AG14</f>
        <v/>
      </c>
      <c r="AH15" s="183">
        <f>AG15+AH14</f>
        <v/>
      </c>
      <c r="AI15" s="183">
        <f>AH15+AI14</f>
        <v/>
      </c>
      <c r="AJ15" s="183">
        <f>AI15+AJ14</f>
        <v/>
      </c>
      <c r="AK15" s="183">
        <f>AJ15+AK14</f>
        <v/>
      </c>
      <c r="AL15" s="183">
        <f>AK15+AL14</f>
        <v/>
      </c>
      <c r="AM15" s="183">
        <f>AL15+AM14</f>
        <v/>
      </c>
      <c r="AN15" s="183">
        <f>AM15+AN14</f>
        <v/>
      </c>
      <c r="AO15" s="183">
        <f>AN15+AO14</f>
        <v/>
      </c>
      <c r="AP15" s="183">
        <f>AO15+AP14</f>
        <v/>
      </c>
      <c r="AQ15" s="183">
        <f>AP15+AQ14</f>
        <v/>
      </c>
      <c r="AR15" s="183">
        <f>AQ15+AR14</f>
        <v/>
      </c>
      <c r="AS15" s="183">
        <f>AR15+AS14</f>
        <v/>
      </c>
      <c r="AT15" s="183">
        <f>AS15+AT14</f>
        <v/>
      </c>
      <c r="AU15" s="183">
        <f>AT15+AU14</f>
        <v/>
      </c>
      <c r="AV15" s="183">
        <f>AU15+AV14</f>
        <v/>
      </c>
      <c r="AW15" s="183">
        <f>AV15+AW14</f>
        <v/>
      </c>
      <c r="AX15" s="183">
        <f>AW15+AX14</f>
        <v/>
      </c>
      <c r="AY15" s="183">
        <f>AX15+AY14</f>
        <v/>
      </c>
      <c r="AZ15" s="183">
        <f>AY15+AZ14</f>
        <v/>
      </c>
      <c r="BA15" s="183">
        <f>AZ15+BA14</f>
        <v/>
      </c>
      <c r="BB15" s="183">
        <f>BA15+BB14</f>
        <v/>
      </c>
      <c r="BC15" s="183">
        <f>BB15+BC14</f>
        <v/>
      </c>
      <c r="BD15" s="183">
        <f>BC15+BD14</f>
        <v/>
      </c>
      <c r="BE15" s="183">
        <f>BD15+BE14</f>
        <v/>
      </c>
      <c r="BF15" s="183">
        <f>BE15+BF14</f>
        <v/>
      </c>
      <c r="BG15" s="183">
        <f>BF15+BG14</f>
        <v/>
      </c>
      <c r="BH15" s="183">
        <f>BG15+BH14</f>
        <v/>
      </c>
      <c r="BI15" s="183">
        <f>BH15+BI14</f>
        <v/>
      </c>
      <c r="BJ15" s="183">
        <f>BI15+BJ14</f>
        <v/>
      </c>
      <c r="BK15" s="183">
        <f>BJ15+BK14</f>
        <v/>
      </c>
      <c r="BL15" s="183">
        <f>BK15+BL14</f>
        <v/>
      </c>
      <c r="BM15" s="183">
        <f>BL15+BM14</f>
        <v/>
      </c>
      <c r="BN15" s="183">
        <f>BM15+BN14</f>
        <v/>
      </c>
      <c r="BO15" s="183">
        <f>BN15+BO14</f>
        <v/>
      </c>
      <c r="BP15" s="183">
        <f>BO15+BP14</f>
        <v/>
      </c>
      <c r="BQ15" s="183">
        <f>BP15+BQ14</f>
        <v/>
      </c>
      <c r="BR15" s="183">
        <f>BQ15+BR14</f>
        <v/>
      </c>
      <c r="BS15" s="183">
        <f>BR15+BS14</f>
        <v/>
      </c>
      <c r="BT15" s="183">
        <f>BS15+BT14</f>
        <v/>
      </c>
      <c r="BU15" s="183">
        <f>BT15+BU14</f>
        <v/>
      </c>
      <c r="BV15" s="183">
        <f>BU15+BV14</f>
        <v/>
      </c>
      <c r="BW15" s="183">
        <f>BV15+BW14</f>
        <v/>
      </c>
      <c r="BX15" s="183">
        <f>BW15+BX14</f>
        <v/>
      </c>
      <c r="BY15" s="183">
        <f>BX15+BY14</f>
        <v/>
      </c>
      <c r="BZ15" s="183">
        <f>BY15+BZ14</f>
        <v/>
      </c>
      <c r="CA15" s="183">
        <f>BZ15+CA14</f>
        <v/>
      </c>
      <c r="CB15" s="183">
        <f>CA15+CB14</f>
        <v/>
      </c>
      <c r="CC15" s="183">
        <f>CB15+CC14</f>
        <v/>
      </c>
      <c r="CD15" s="183">
        <f>CC15+CD14</f>
        <v/>
      </c>
      <c r="CE15" s="183">
        <f>CD15+CE14</f>
        <v/>
      </c>
      <c r="CF15" s="183">
        <f>CE15+CF14</f>
        <v/>
      </c>
      <c r="CG15" s="183">
        <f>CF15+CG14</f>
        <v/>
      </c>
      <c r="CH15" s="183">
        <f>CG15+CH14</f>
        <v/>
      </c>
      <c r="CI15" s="183">
        <f>CH15+CI14</f>
        <v/>
      </c>
      <c r="CJ15" s="183">
        <f>CI15+CJ14</f>
        <v/>
      </c>
      <c r="CK15" s="183">
        <f>CJ15+CK14</f>
        <v/>
      </c>
      <c r="CL15" s="183">
        <f>CK15+CL14</f>
        <v/>
      </c>
      <c r="CM15" s="183">
        <f>CL15+CM14</f>
        <v/>
      </c>
      <c r="CN15" s="183">
        <f>CM15+CN14</f>
        <v/>
      </c>
      <c r="CO15" s="183">
        <f>CN15+CO14</f>
        <v/>
      </c>
      <c r="CP15" s="183">
        <f>CO15+CP14</f>
        <v/>
      </c>
      <c r="CQ15" s="183">
        <f>CP15+CQ14</f>
        <v/>
      </c>
      <c r="CR15" s="183">
        <f>CQ15+CR14</f>
        <v/>
      </c>
      <c r="CS15" s="183">
        <f>CR15+CS14</f>
        <v/>
      </c>
      <c r="CT15" s="183">
        <f>CS15+CT14</f>
        <v/>
      </c>
      <c r="CU15" s="183">
        <f>CT15+CU14</f>
        <v/>
      </c>
      <c r="CV15" s="183">
        <f>CU15+CV14</f>
        <v/>
      </c>
      <c r="CW15" s="183">
        <f>CV15+CW14</f>
        <v/>
      </c>
      <c r="CX15" s="183">
        <f>CW15+CX14</f>
        <v/>
      </c>
      <c r="CY15" s="183">
        <f>CX15+CY14</f>
        <v/>
      </c>
      <c r="CZ15" s="183">
        <f>CY15+CZ14</f>
        <v/>
      </c>
      <c r="DA15" s="183">
        <f>CZ15+DA14</f>
        <v/>
      </c>
      <c r="DB15" s="183">
        <f>DA15+DB14</f>
        <v/>
      </c>
      <c r="DC15" s="183">
        <f>DB15+DC14</f>
        <v/>
      </c>
      <c r="DD15" s="183">
        <f>DC15+DD14</f>
        <v/>
      </c>
      <c r="DE15" s="183">
        <f>DD15+DE14</f>
        <v/>
      </c>
      <c r="DF15" s="183">
        <f>DE15+DF14</f>
        <v/>
      </c>
      <c r="DG15" s="183">
        <f>DF15+DG14</f>
        <v/>
      </c>
      <c r="DH15" s="183">
        <f>DG15+DH14</f>
        <v/>
      </c>
      <c r="DI15" s="183">
        <f>DH15+DI14</f>
        <v/>
      </c>
      <c r="DJ15" s="183">
        <f>DI15+DJ14</f>
        <v/>
      </c>
      <c r="DK15" s="183">
        <f>DJ15+DK14</f>
        <v/>
      </c>
      <c r="DL15" s="183">
        <f>DK15+DL14</f>
        <v/>
      </c>
      <c r="DM15" s="183">
        <f>DL15+DM14</f>
        <v/>
      </c>
      <c r="DN15" s="183">
        <f>DM15+DN14</f>
        <v/>
      </c>
      <c r="DO15" s="183">
        <f>DN15+DO14</f>
        <v/>
      </c>
      <c r="DP15" s="183">
        <f>DO15+DP14</f>
        <v/>
      </c>
      <c r="DQ15" s="183">
        <f>DP15+DQ14</f>
        <v/>
      </c>
      <c r="DR15" s="183">
        <f>DQ15+DR14</f>
        <v/>
      </c>
      <c r="DS15" s="183">
        <f>DR15+DS14</f>
        <v/>
      </c>
      <c r="DT15" s="183">
        <f>DS15+DT14</f>
        <v/>
      </c>
      <c r="DU15" s="183">
        <f>DT15+DU14</f>
        <v/>
      </c>
      <c r="DV15" s="183">
        <f>DU15+DV14</f>
        <v/>
      </c>
      <c r="DW15" s="183">
        <f>DV15+DW14</f>
        <v/>
      </c>
      <c r="DX15" s="183">
        <f>DW15+DX14</f>
        <v/>
      </c>
      <c r="DY15" s="183">
        <f>DX15+DY14</f>
        <v/>
      </c>
      <c r="DZ15" s="183">
        <f>DY15+DZ14</f>
        <v/>
      </c>
      <c r="EA15" s="183">
        <f>DZ15+EA14</f>
        <v/>
      </c>
      <c r="EB15" s="183">
        <f>EA15+EB14</f>
        <v/>
      </c>
      <c r="EC15" s="183">
        <f>EB15+EC14</f>
        <v/>
      </c>
      <c r="ED15" s="183">
        <f>EC15+ED14</f>
        <v/>
      </c>
      <c r="EE15" s="183">
        <f>ED15+EE14</f>
        <v/>
      </c>
      <c r="EF15" s="183">
        <f>EE15+EF14</f>
        <v/>
      </c>
      <c r="EG15" s="183">
        <f>EF15+EG14</f>
        <v/>
      </c>
      <c r="EH15" s="183">
        <f>EG15+EH14</f>
        <v/>
      </c>
      <c r="EI15" s="183">
        <f>EH15+EI14</f>
        <v/>
      </c>
      <c r="EJ15" s="183">
        <f>EI15+EJ14</f>
        <v/>
      </c>
      <c r="EK15" s="183">
        <f>EJ15+EK14</f>
        <v/>
      </c>
      <c r="EL15" s="183">
        <f>EK15+EL14</f>
        <v/>
      </c>
      <c r="EM15" s="183">
        <f>EL15+EM14</f>
        <v/>
      </c>
      <c r="EN15" s="183">
        <f>EM15+EN14</f>
        <v/>
      </c>
      <c r="EO15" s="183">
        <f>EN15+EO14</f>
        <v/>
      </c>
      <c r="EP15" s="183">
        <f>EO15+EP14</f>
        <v/>
      </c>
      <c r="EQ15" s="183">
        <f>EP15+EQ14</f>
        <v/>
      </c>
      <c r="ER15" s="183">
        <f>EQ15+ER14</f>
        <v/>
      </c>
      <c r="ES15" s="183">
        <f>ER15+ES14</f>
        <v/>
      </c>
      <c r="ET15" s="183">
        <f>ES15+ET14</f>
        <v/>
      </c>
      <c r="EU15" s="183">
        <f>ET15+EU14</f>
        <v/>
      </c>
      <c r="EV15" s="183">
        <f>EU15+EV14</f>
        <v/>
      </c>
      <c r="EW15" s="183">
        <f>EV15+EW14</f>
        <v/>
      </c>
      <c r="EX15" s="183">
        <f>EW15+EX14</f>
        <v/>
      </c>
      <c r="EY15" s="183">
        <f>EX15+EY14</f>
        <v/>
      </c>
      <c r="EZ15" s="183">
        <f>EY15+EZ14</f>
        <v/>
      </c>
      <c r="FA15" s="183">
        <f>EZ15+FA14</f>
        <v/>
      </c>
      <c r="FB15" s="183">
        <f>FA15+FB14</f>
        <v/>
      </c>
      <c r="FC15" s="183">
        <f>FB15+FC14</f>
        <v/>
      </c>
      <c r="FD15" s="183">
        <f>FC15+FD14</f>
        <v/>
      </c>
      <c r="FE15" s="183">
        <f>FD15+FE14</f>
        <v/>
      </c>
      <c r="FF15" s="183">
        <f>FE15+FF14</f>
        <v/>
      </c>
      <c r="FG15" s="183">
        <f>FF15+FG14</f>
        <v/>
      </c>
      <c r="FH15" s="183">
        <f>FG15+FH14</f>
        <v/>
      </c>
      <c r="FI15" s="183">
        <f>FH15+FI14</f>
        <v/>
      </c>
      <c r="FJ15" s="183">
        <f>FI15+FJ14</f>
        <v/>
      </c>
      <c r="FK15" s="183">
        <f>FJ15+FK14</f>
        <v/>
      </c>
      <c r="FL15" s="183">
        <f>FK15+FL14</f>
        <v/>
      </c>
      <c r="FM15" s="183">
        <f>FL15+FM14</f>
        <v/>
      </c>
      <c r="FN15" s="183">
        <f>FM15+FN14</f>
        <v/>
      </c>
      <c r="FO15" s="183">
        <f>FN15+FO14</f>
        <v/>
      </c>
      <c r="FP15" s="183">
        <f>FO15+FP14</f>
        <v/>
      </c>
      <c r="FQ15" s="183">
        <f>FP15+FQ14</f>
        <v/>
      </c>
      <c r="FR15" s="183">
        <f>FQ15+FR14</f>
        <v/>
      </c>
      <c r="FS15" s="183">
        <f>FR15+FS14</f>
        <v/>
      </c>
      <c r="FT15" s="183">
        <f>FS15+FT14</f>
        <v/>
      </c>
      <c r="FU15" s="183">
        <f>FT15+FU14</f>
        <v/>
      </c>
      <c r="FV15" s="183">
        <f>FU15+FV14</f>
        <v/>
      </c>
      <c r="FW15" s="183">
        <f>FV15+FW14</f>
        <v/>
      </c>
      <c r="FX15" s="183">
        <f>FW15+FX14</f>
        <v/>
      </c>
      <c r="FY15" s="183">
        <f>FX15+FY14</f>
        <v/>
      </c>
      <c r="FZ15" s="183">
        <f>FY15+FZ14</f>
        <v/>
      </c>
      <c r="GA15" s="183">
        <f>FZ15+GA14</f>
        <v/>
      </c>
      <c r="GB15" s="183">
        <f>GA15+GB14</f>
        <v/>
      </c>
      <c r="GC15" s="183">
        <f>GB15+GC14</f>
        <v/>
      </c>
      <c r="GD15" s="183">
        <f>GC15+GD14</f>
        <v/>
      </c>
      <c r="GE15" s="183">
        <f>GD15+GE14</f>
        <v/>
      </c>
      <c r="GF15" s="183">
        <f>GE15+GF14</f>
        <v/>
      </c>
      <c r="GG15" s="183">
        <f>GF15+GG14</f>
        <v/>
      </c>
      <c r="GH15" s="183">
        <f>GG15+GH14</f>
        <v/>
      </c>
      <c r="GI15" s="183">
        <f>GH15+GI14</f>
        <v/>
      </c>
      <c r="GJ15" s="183">
        <f>GI15+GJ14</f>
        <v/>
      </c>
      <c r="GK15" s="183">
        <f>GJ15+GK14</f>
        <v/>
      </c>
      <c r="GL15" s="183">
        <f>GK15+GL14</f>
        <v/>
      </c>
      <c r="GM15" s="183">
        <f>GL15+GM14</f>
        <v/>
      </c>
      <c r="GN15" s="183">
        <f>GM15+GN14</f>
        <v/>
      </c>
      <c r="GO15" s="183">
        <f>GN15+GO14</f>
        <v/>
      </c>
      <c r="GP15" s="183">
        <f>GO15+GP14</f>
        <v/>
      </c>
      <c r="GQ15" s="183">
        <f>GP15+GQ14</f>
        <v/>
      </c>
      <c r="GR15" s="183">
        <f>GQ15+GR14</f>
        <v/>
      </c>
      <c r="GS15" s="183">
        <f>GR15+GS14</f>
        <v/>
      </c>
      <c r="GT15" s="183">
        <f>GS15+GT14</f>
        <v/>
      </c>
      <c r="GU15" s="183">
        <f>GT15+GU14</f>
        <v/>
      </c>
      <c r="GV15" s="183">
        <f>GU15+GV14</f>
        <v/>
      </c>
      <c r="GW15" s="183">
        <f>GV15+GW14</f>
        <v/>
      </c>
      <c r="GX15" s="183">
        <f>GW15+GX14</f>
        <v/>
      </c>
      <c r="GY15" s="183">
        <f>GX15+GY14</f>
        <v/>
      </c>
      <c r="GZ15" s="183">
        <f>GY15+GZ14</f>
        <v/>
      </c>
      <c r="HA15" s="183">
        <f>GZ15+HA14</f>
        <v/>
      </c>
      <c r="HB15" s="183">
        <f>HA15+HB14</f>
        <v/>
      </c>
      <c r="HC15" s="183">
        <f>HB15+HC14</f>
        <v/>
      </c>
      <c r="HD15" s="183">
        <f>HC15+HD14</f>
        <v/>
      </c>
      <c r="HE15" s="183">
        <f>HD15+HE14</f>
        <v/>
      </c>
      <c r="HF15" s="183">
        <f>HE15+HF14</f>
        <v/>
      </c>
      <c r="HG15" s="183">
        <f>HF15+HG14</f>
        <v/>
      </c>
      <c r="HH15" s="183">
        <f>HG15+HH14</f>
        <v/>
      </c>
      <c r="HI15" s="183">
        <f>HH15+HI14</f>
        <v/>
      </c>
      <c r="HJ15" s="183">
        <f>HI15+HJ14</f>
        <v/>
      </c>
      <c r="HK15" s="183">
        <f>HJ15+HK14</f>
        <v/>
      </c>
      <c r="HL15" s="183">
        <f>HK15+HL14</f>
        <v/>
      </c>
      <c r="HM15" s="183">
        <f>HL15+HM14</f>
        <v/>
      </c>
      <c r="HN15" s="183">
        <f>HM15+HN14</f>
        <v/>
      </c>
      <c r="HO15" s="183">
        <f>HN15+HO14</f>
        <v/>
      </c>
      <c r="HP15" s="183">
        <f>HO15+HP14</f>
        <v/>
      </c>
      <c r="HQ15" s="183">
        <f>HP15+HQ14</f>
        <v/>
      </c>
      <c r="HR15" s="183">
        <f>HQ15+HR14</f>
        <v/>
      </c>
      <c r="HS15" s="183">
        <f>HR15+HS14</f>
        <v/>
      </c>
      <c r="HT15" s="183">
        <f>HS15+HT14</f>
        <v/>
      </c>
      <c r="HU15" s="183">
        <f>HT15+HU14</f>
        <v/>
      </c>
      <c r="HV15" s="183">
        <f>HU15+HV14</f>
        <v/>
      </c>
      <c r="HW15" s="183">
        <f>HV15+HW14</f>
        <v/>
      </c>
      <c r="HX15" s="183">
        <f>HW15+HX14</f>
        <v/>
      </c>
      <c r="HY15" s="183">
        <f>HX15+HY14</f>
        <v/>
      </c>
      <c r="HZ15" s="183">
        <f>HY15+HZ14</f>
        <v/>
      </c>
      <c r="IA15" s="183">
        <f>HZ15+IA14</f>
        <v/>
      </c>
      <c r="IB15" s="183">
        <f>IA15+IB14</f>
        <v/>
      </c>
      <c r="IC15" s="183">
        <f>IB15+IC14</f>
        <v/>
      </c>
      <c r="ID15" s="183">
        <f>IC15+ID14</f>
        <v/>
      </c>
      <c r="IE15" s="183">
        <f>ID15+IE14</f>
        <v/>
      </c>
      <c r="IF15" s="183">
        <f>IE15+IF14</f>
        <v/>
      </c>
      <c r="IG15" s="183">
        <f>IF15+IG14</f>
        <v/>
      </c>
      <c r="IH15" s="183">
        <f>IG15+IH14</f>
        <v/>
      </c>
      <c r="II15" s="183">
        <f>IH15+II14</f>
        <v/>
      </c>
      <c r="IJ15" s="183">
        <f>II15+IJ14</f>
        <v/>
      </c>
      <c r="IK15" s="183">
        <f>IJ15+IK14</f>
        <v/>
      </c>
      <c r="IL15" s="183">
        <f>IK15+IL14</f>
        <v/>
      </c>
      <c r="IM15" s="183">
        <f>IL15+IM14</f>
        <v/>
      </c>
      <c r="IN15" s="183">
        <f>IM15+IN14</f>
        <v/>
      </c>
      <c r="IO15" s="183">
        <f>IN15+IO14</f>
        <v/>
      </c>
      <c r="IP15" s="183">
        <f>IO15+IP14</f>
        <v/>
      </c>
      <c r="IQ15" s="183">
        <f>IP15+IQ14</f>
        <v/>
      </c>
      <c r="IR15" s="183">
        <f>IQ15+IR14</f>
        <v/>
      </c>
      <c r="IS15" s="183">
        <f>IR15+IS14</f>
        <v/>
      </c>
      <c r="IT15" s="183">
        <f>IS15+IT14</f>
        <v/>
      </c>
      <c r="IU15" s="183">
        <f>IT15+IU14</f>
        <v/>
      </c>
      <c r="IV15" s="183">
        <f>IU15+IV14</f>
        <v/>
      </c>
      <c r="IW15" s="183">
        <f>IV15+IW14</f>
        <v/>
      </c>
      <c r="IX15" s="183">
        <f>IW15+IX14</f>
        <v/>
      </c>
      <c r="IY15" s="183">
        <f>IX15+IY14</f>
        <v/>
      </c>
      <c r="IZ15" s="183">
        <f>IY15+IZ14</f>
        <v/>
      </c>
      <c r="JA15" s="183">
        <f>IZ15+JA14</f>
        <v/>
      </c>
      <c r="JB15" s="183">
        <f>JA15+JB14</f>
        <v/>
      </c>
      <c r="JC15" s="183">
        <f>JB15+JC14</f>
        <v/>
      </c>
      <c r="JD15" s="183">
        <f>JC15+JD14</f>
        <v/>
      </c>
      <c r="JE15" s="183">
        <f>JD15+JE14</f>
        <v/>
      </c>
      <c r="JF15" s="183">
        <f>JE15+JF14</f>
        <v/>
      </c>
      <c r="JG15" s="183">
        <f>JF15+JG14</f>
        <v/>
      </c>
      <c r="JH15" s="183">
        <f>JG15+JH14</f>
        <v/>
      </c>
      <c r="JI15" s="183">
        <f>JH15+JI14</f>
        <v/>
      </c>
      <c r="JJ15" s="183">
        <f>JI15+JJ14</f>
        <v/>
      </c>
      <c r="JK15" s="183">
        <f>JJ15+JK14</f>
        <v/>
      </c>
      <c r="JL15" s="183">
        <f>JK15+JL14</f>
        <v/>
      </c>
      <c r="JM15" s="183">
        <f>JL15+JM14</f>
        <v/>
      </c>
      <c r="JN15" s="183">
        <f>JM15+JN14</f>
        <v/>
      </c>
      <c r="JO15" s="183">
        <f>JN15+JO14</f>
        <v/>
      </c>
      <c r="JP15" s="183">
        <f>JO15+JP14</f>
        <v/>
      </c>
      <c r="JQ15" s="183">
        <f>JP15+JQ14</f>
        <v/>
      </c>
      <c r="JR15" s="183">
        <f>JQ15+JR14</f>
        <v/>
      </c>
      <c r="JS15" s="183">
        <f>JR15+JS14</f>
        <v/>
      </c>
      <c r="JT15" s="183">
        <f>JS15+JT14</f>
        <v/>
      </c>
      <c r="JU15" s="183">
        <f>JT15+JU14</f>
        <v/>
      </c>
      <c r="JV15" s="183">
        <f>JU15+JV14</f>
        <v/>
      </c>
      <c r="JW15" s="183">
        <f>JV15+JW14</f>
        <v/>
      </c>
      <c r="JX15" s="183">
        <f>JW15+JX14</f>
        <v/>
      </c>
      <c r="JY15" s="183">
        <f>JX15+JY14</f>
        <v/>
      </c>
      <c r="JZ15" s="183">
        <f>JY15+JZ14</f>
        <v/>
      </c>
      <c r="KA15" s="183">
        <f>JZ15+KA14</f>
        <v/>
      </c>
      <c r="KB15" s="183">
        <f>KA15+KB14</f>
        <v/>
      </c>
      <c r="KC15" s="183">
        <f>KB15+KC14</f>
        <v/>
      </c>
      <c r="KD15" s="183">
        <f>KC15+KD14</f>
        <v/>
      </c>
      <c r="KE15" s="183">
        <f>KD15+KE14</f>
        <v/>
      </c>
      <c r="KF15" s="183">
        <f>KE15+KF14</f>
        <v/>
      </c>
      <c r="KG15" s="183">
        <f>KF15+KG14</f>
        <v/>
      </c>
      <c r="KH15" s="183">
        <f>KG15+KH14</f>
        <v/>
      </c>
      <c r="KI15" s="183">
        <f>KH15+KI14</f>
        <v/>
      </c>
      <c r="KJ15" s="183">
        <f>KI15+KJ14</f>
        <v/>
      </c>
      <c r="KK15" s="183">
        <f>KJ15+KK14</f>
        <v/>
      </c>
      <c r="KL15" s="183">
        <f>KK15+KL14</f>
        <v/>
      </c>
      <c r="KM15" s="183">
        <f>KL15+KM14</f>
        <v/>
      </c>
      <c r="KN15" s="183">
        <f>KM15+KN14</f>
        <v/>
      </c>
      <c r="KO15" s="183">
        <f>KN15+KO14</f>
        <v/>
      </c>
      <c r="KP15" s="183">
        <f>KO15+KP14</f>
        <v/>
      </c>
    </row>
    <row r="17" ht="14" customHeight="1" s="133">
      <c r="A17" s="175" t="inlineStr">
        <is>
          <t xml:space="preserve">  P90 — Conservative</t>
        </is>
      </c>
      <c r="B17" s="167" t="n"/>
      <c r="C17" s="176" t="n"/>
      <c r="D17" s="176" t="n"/>
      <c r="E17" s="176" t="n"/>
      <c r="F17" s="176" t="n"/>
      <c r="G17" s="176" t="n"/>
      <c r="H17" s="176" t="n"/>
      <c r="I17" s="176" t="n"/>
      <c r="J17" s="176" t="n"/>
      <c r="K17" s="176" t="n"/>
      <c r="L17" s="176" t="n"/>
      <c r="M17" s="176" t="n"/>
      <c r="N17" s="176" t="n"/>
      <c r="O17" s="176" t="n"/>
      <c r="P17" s="176" t="n"/>
      <c r="Q17" s="176" t="n"/>
      <c r="R17" s="176" t="n"/>
      <c r="S17" s="176" t="n"/>
      <c r="T17" s="176" t="n"/>
      <c r="U17" s="176" t="n"/>
      <c r="V17" s="176" t="n"/>
      <c r="W17" s="176" t="n"/>
      <c r="X17" s="176" t="n"/>
      <c r="Y17" s="176" t="n"/>
      <c r="Z17" s="176" t="n"/>
      <c r="AA17" s="176" t="n"/>
      <c r="AB17" s="176" t="n"/>
      <c r="AC17" s="176" t="n"/>
      <c r="AD17" s="176" t="n"/>
      <c r="AE17" s="176" t="n"/>
      <c r="AF17" s="176" t="n"/>
      <c r="AG17" s="176" t="n"/>
      <c r="AH17" s="176" t="n"/>
      <c r="AI17" s="176" t="n"/>
      <c r="AJ17" s="176" t="n"/>
      <c r="AK17" s="176" t="n"/>
      <c r="AL17" s="176" t="n"/>
      <c r="AM17" s="176" t="n"/>
      <c r="AN17" s="176" t="n"/>
      <c r="AO17" s="176" t="n"/>
      <c r="AP17" s="176" t="n"/>
      <c r="AQ17" s="176" t="n"/>
      <c r="AR17" s="176" t="n"/>
      <c r="AS17" s="176" t="n"/>
      <c r="AT17" s="176" t="n"/>
      <c r="AU17" s="176" t="n"/>
      <c r="AV17" s="176" t="n"/>
      <c r="AW17" s="176" t="n"/>
      <c r="AX17" s="176" t="n"/>
      <c r="AY17" s="176" t="n"/>
      <c r="AZ17" s="176" t="n"/>
      <c r="BA17" s="176" t="n"/>
      <c r="BB17" s="176" t="n"/>
      <c r="BC17" s="176" t="n"/>
      <c r="BD17" s="176" t="n"/>
      <c r="BE17" s="176" t="n"/>
      <c r="BF17" s="176" t="n"/>
      <c r="BG17" s="176" t="n"/>
      <c r="BH17" s="176" t="n"/>
      <c r="BI17" s="176" t="n"/>
      <c r="BJ17" s="176" t="n"/>
      <c r="BK17" s="176" t="n"/>
      <c r="BL17" s="176" t="n"/>
      <c r="BM17" s="176" t="n"/>
      <c r="BN17" s="176" t="n"/>
      <c r="BO17" s="176" t="n"/>
      <c r="BP17" s="176" t="n"/>
      <c r="BQ17" s="176" t="n"/>
      <c r="BR17" s="176" t="n"/>
      <c r="BS17" s="176" t="n"/>
      <c r="BT17" s="176" t="n"/>
      <c r="BU17" s="176" t="n"/>
      <c r="BV17" s="176" t="n"/>
      <c r="BW17" s="176" t="n"/>
      <c r="BX17" s="176" t="n"/>
      <c r="BY17" s="176" t="n"/>
      <c r="BZ17" s="176" t="n"/>
      <c r="CA17" s="176" t="n"/>
      <c r="CB17" s="176" t="n"/>
      <c r="CC17" s="176" t="n"/>
      <c r="CD17" s="176" t="n"/>
      <c r="CE17" s="176" t="n"/>
      <c r="CF17" s="176" t="n"/>
      <c r="CG17" s="176" t="n"/>
      <c r="CH17" s="176" t="n"/>
      <c r="CI17" s="176" t="n"/>
      <c r="CJ17" s="176" t="n"/>
      <c r="CK17" s="176" t="n"/>
      <c r="CL17" s="176" t="n"/>
      <c r="CM17" s="176" t="n"/>
      <c r="CN17" s="176" t="n"/>
      <c r="CO17" s="176" t="n"/>
      <c r="CP17" s="176" t="n"/>
      <c r="CQ17" s="176" t="n"/>
      <c r="CR17" s="176" t="n"/>
      <c r="CS17" s="176" t="n"/>
      <c r="CT17" s="176" t="n"/>
      <c r="CU17" s="176" t="n"/>
      <c r="CV17" s="176" t="n"/>
      <c r="CW17" s="176" t="n"/>
      <c r="CX17" s="176" t="n"/>
      <c r="CY17" s="176" t="n"/>
      <c r="CZ17" s="176" t="n"/>
      <c r="DA17" s="176" t="n"/>
      <c r="DB17" s="176" t="n"/>
      <c r="DC17" s="176" t="n"/>
      <c r="DD17" s="176" t="n"/>
      <c r="DE17" s="176" t="n"/>
      <c r="DF17" s="176" t="n"/>
      <c r="DG17" s="176" t="n"/>
      <c r="DH17" s="176" t="n"/>
      <c r="DI17" s="176" t="n"/>
      <c r="DJ17" s="176" t="n"/>
      <c r="DK17" s="176" t="n"/>
      <c r="DL17" s="176" t="n"/>
      <c r="DM17" s="176" t="n"/>
      <c r="DN17" s="176" t="n"/>
      <c r="DO17" s="176" t="n"/>
      <c r="DP17" s="176" t="n"/>
      <c r="DQ17" s="176" t="n"/>
      <c r="DR17" s="176" t="n"/>
      <c r="DS17" s="176" t="n"/>
      <c r="DT17" s="176" t="n"/>
      <c r="DU17" s="176" t="n"/>
      <c r="DV17" s="176" t="n"/>
      <c r="DW17" s="176" t="n"/>
      <c r="DX17" s="176" t="n"/>
      <c r="DY17" s="176" t="n"/>
      <c r="DZ17" s="176" t="n"/>
      <c r="EA17" s="176" t="n"/>
      <c r="EB17" s="176" t="n"/>
      <c r="EC17" s="176" t="n"/>
      <c r="ED17" s="176" t="n"/>
      <c r="EE17" s="176" t="n"/>
      <c r="EF17" s="176" t="n"/>
      <c r="EG17" s="176" t="n"/>
      <c r="EH17" s="176" t="n"/>
      <c r="EI17" s="176" t="n"/>
      <c r="EJ17" s="176" t="n"/>
      <c r="EK17" s="176" t="n"/>
      <c r="EL17" s="176" t="n"/>
      <c r="EM17" s="176" t="n"/>
      <c r="EN17" s="176" t="n"/>
      <c r="EO17" s="176" t="n"/>
      <c r="EP17" s="176" t="n"/>
      <c r="EQ17" s="176" t="n"/>
      <c r="ER17" s="176" t="n"/>
      <c r="ES17" s="176" t="n"/>
      <c r="ET17" s="176" t="n"/>
      <c r="EU17" s="176" t="n"/>
      <c r="EV17" s="176" t="n"/>
      <c r="EW17" s="176" t="n"/>
      <c r="EX17" s="176" t="n"/>
      <c r="EY17" s="176" t="n"/>
      <c r="EZ17" s="176" t="n"/>
      <c r="FA17" s="176" t="n"/>
      <c r="FB17" s="176" t="n"/>
      <c r="FC17" s="176" t="n"/>
      <c r="FD17" s="176" t="n"/>
      <c r="FE17" s="176" t="n"/>
      <c r="FF17" s="176" t="n"/>
      <c r="FG17" s="176" t="n"/>
      <c r="FH17" s="176" t="n"/>
      <c r="FI17" s="176" t="n"/>
      <c r="FJ17" s="176" t="n"/>
      <c r="FK17" s="176" t="n"/>
      <c r="FL17" s="176" t="n"/>
      <c r="FM17" s="176" t="n"/>
      <c r="FN17" s="176" t="n"/>
      <c r="FO17" s="176" t="n"/>
      <c r="FP17" s="176" t="n"/>
      <c r="FQ17" s="176" t="n"/>
      <c r="FR17" s="176" t="n"/>
      <c r="FS17" s="176" t="n"/>
      <c r="FT17" s="176" t="n"/>
      <c r="FU17" s="176" t="n"/>
      <c r="FV17" s="176" t="n"/>
      <c r="FW17" s="176" t="n"/>
      <c r="FX17" s="176" t="n"/>
      <c r="FY17" s="176" t="n"/>
      <c r="FZ17" s="176" t="n"/>
      <c r="GA17" s="176" t="n"/>
      <c r="GB17" s="176" t="n"/>
      <c r="GC17" s="176" t="n"/>
      <c r="GD17" s="176" t="n"/>
      <c r="GE17" s="176" t="n"/>
      <c r="GF17" s="176" t="n"/>
      <c r="GG17" s="176" t="n"/>
      <c r="GH17" s="176" t="n"/>
      <c r="GI17" s="176" t="n"/>
      <c r="GJ17" s="176" t="n"/>
      <c r="GK17" s="176" t="n"/>
      <c r="GL17" s="176" t="n"/>
      <c r="GM17" s="176" t="n"/>
      <c r="GN17" s="176" t="n"/>
      <c r="GO17" s="176" t="n"/>
      <c r="GP17" s="176" t="n"/>
      <c r="GQ17" s="176" t="n"/>
      <c r="GR17" s="176" t="n"/>
      <c r="GS17" s="176" t="n"/>
      <c r="GT17" s="176" t="n"/>
      <c r="GU17" s="176" t="n"/>
      <c r="GV17" s="176" t="n"/>
      <c r="GW17" s="176" t="n"/>
      <c r="GX17" s="176" t="n"/>
      <c r="GY17" s="176" t="n"/>
      <c r="GZ17" s="176" t="n"/>
      <c r="HA17" s="176" t="n"/>
      <c r="HB17" s="176" t="n"/>
      <c r="HC17" s="176" t="n"/>
      <c r="HD17" s="176" t="n"/>
      <c r="HE17" s="176" t="n"/>
      <c r="HF17" s="176" t="n"/>
      <c r="HG17" s="176" t="n"/>
      <c r="HH17" s="176" t="n"/>
      <c r="HI17" s="176" t="n"/>
      <c r="HJ17" s="176" t="n"/>
      <c r="HK17" s="176" t="n"/>
      <c r="HL17" s="176" t="n"/>
      <c r="HM17" s="176" t="n"/>
      <c r="HN17" s="176" t="n"/>
      <c r="HO17" s="176" t="n"/>
      <c r="HP17" s="176" t="n"/>
      <c r="HQ17" s="176" t="n"/>
      <c r="HR17" s="176" t="n"/>
      <c r="HS17" s="176" t="n"/>
      <c r="HT17" s="176" t="n"/>
      <c r="HU17" s="176" t="n"/>
      <c r="HV17" s="176" t="n"/>
      <c r="HW17" s="176" t="n"/>
      <c r="HX17" s="176" t="n"/>
      <c r="HY17" s="176" t="n"/>
      <c r="HZ17" s="176" t="n"/>
      <c r="IA17" s="176" t="n"/>
      <c r="IB17" s="176" t="n"/>
      <c r="IC17" s="176" t="n"/>
      <c r="ID17" s="176" t="n"/>
      <c r="IE17" s="176" t="n"/>
      <c r="IF17" s="176" t="n"/>
      <c r="IG17" s="176" t="n"/>
      <c r="IH17" s="176" t="n"/>
      <c r="II17" s="176" t="n"/>
      <c r="IJ17" s="176" t="n"/>
      <c r="IK17" s="176" t="n"/>
      <c r="IL17" s="176" t="n"/>
      <c r="IM17" s="176" t="n"/>
      <c r="IN17" s="176" t="n"/>
      <c r="IO17" s="176" t="n"/>
      <c r="IP17" s="176" t="n"/>
      <c r="IQ17" s="176" t="n"/>
      <c r="IR17" s="176" t="n"/>
      <c r="IS17" s="176" t="n"/>
      <c r="IT17" s="176" t="n"/>
      <c r="IU17" s="176" t="n"/>
      <c r="IV17" s="176" t="n"/>
      <c r="IW17" s="176" t="n"/>
      <c r="IX17" s="176" t="n"/>
      <c r="IY17" s="176" t="n"/>
      <c r="IZ17" s="176" t="n"/>
      <c r="JA17" s="176" t="n"/>
      <c r="JB17" s="176" t="n"/>
      <c r="JC17" s="176" t="n"/>
      <c r="JD17" s="176" t="n"/>
      <c r="JE17" s="176" t="n"/>
      <c r="JF17" s="176" t="n"/>
      <c r="JG17" s="176" t="n"/>
      <c r="JH17" s="176" t="n"/>
      <c r="JI17" s="176" t="n"/>
      <c r="JJ17" s="176" t="n"/>
      <c r="JK17" s="176" t="n"/>
      <c r="JL17" s="176" t="n"/>
      <c r="JM17" s="176" t="n"/>
      <c r="JN17" s="176" t="n"/>
      <c r="JO17" s="176" t="n"/>
      <c r="JP17" s="176" t="n"/>
      <c r="JQ17" s="176" t="n"/>
      <c r="JR17" s="176" t="n"/>
      <c r="JS17" s="176" t="n"/>
      <c r="JT17" s="176" t="n"/>
      <c r="JU17" s="176" t="n"/>
      <c r="JV17" s="176" t="n"/>
      <c r="JW17" s="176" t="n"/>
      <c r="JX17" s="176" t="n"/>
      <c r="JY17" s="176" t="n"/>
      <c r="JZ17" s="176" t="n"/>
      <c r="KA17" s="176" t="n"/>
      <c r="KB17" s="176" t="n"/>
      <c r="KC17" s="176" t="n"/>
      <c r="KD17" s="176" t="n"/>
      <c r="KE17" s="176" t="n"/>
      <c r="KF17" s="176" t="n"/>
      <c r="KG17" s="176" t="n"/>
      <c r="KH17" s="176" t="n"/>
      <c r="KI17" s="176" t="n"/>
      <c r="KJ17" s="176" t="n"/>
      <c r="KK17" s="176" t="n"/>
      <c r="KL17" s="176" t="n"/>
      <c r="KM17" s="176" t="n"/>
      <c r="KN17" s="176" t="n"/>
      <c r="KO17" s="176" t="n"/>
      <c r="KP17" s="176" t="n"/>
    </row>
    <row r="18" ht="16" customHeight="1" s="133">
      <c r="A18" s="177" t="inlineStr">
        <is>
          <t>Production (MWh)</t>
        </is>
      </c>
      <c r="B18" s="178" t="inlineStr">
        <is>
          <t>MWh</t>
        </is>
      </c>
      <c r="C18" s="179">
        <f>Assumptions!$E$16*(1-Assumptions!$E$23)^0</f>
        <v/>
      </c>
      <c r="D18" s="179">
        <f>Assumptions!$E$16*(1-Assumptions!$E$23)^0</f>
        <v/>
      </c>
      <c r="E18" s="179">
        <f>Assumptions!$E$16*(1-Assumptions!$E$23)^0</f>
        <v/>
      </c>
      <c r="F18" s="179">
        <f>Assumptions!$E$16*(1-Assumptions!$E$23)^0</f>
        <v/>
      </c>
      <c r="G18" s="179">
        <f>Assumptions!$E$16*(1-Assumptions!$E$23)^0</f>
        <v/>
      </c>
      <c r="H18" s="179">
        <f>Assumptions!$E$16*(1-Assumptions!$E$23)^0</f>
        <v/>
      </c>
      <c r="I18" s="179">
        <f>Assumptions!$E$16*(1-Assumptions!$E$23)^0</f>
        <v/>
      </c>
      <c r="J18" s="179">
        <f>Assumptions!$E$16*(1-Assumptions!$E$23)^0</f>
        <v/>
      </c>
      <c r="K18" s="179">
        <f>Assumptions!$E$16*(1-Assumptions!$E$23)^0</f>
        <v/>
      </c>
      <c r="L18" s="179">
        <f>Assumptions!$E$16*(1-Assumptions!$E$23)^0</f>
        <v/>
      </c>
      <c r="M18" s="179">
        <f>Assumptions!$E$16*(1-Assumptions!$E$23)^0</f>
        <v/>
      </c>
      <c r="N18" s="179">
        <f>Assumptions!$E$16*(1-Assumptions!$E$23)^0</f>
        <v/>
      </c>
      <c r="O18" s="179">
        <f>Assumptions!$E$16*(1-Assumptions!$E$23)^1</f>
        <v/>
      </c>
      <c r="P18" s="179">
        <f>Assumptions!$E$16*(1-Assumptions!$E$23)^1</f>
        <v/>
      </c>
      <c r="Q18" s="179">
        <f>Assumptions!$E$16*(1-Assumptions!$E$23)^1</f>
        <v/>
      </c>
      <c r="R18" s="179">
        <f>Assumptions!$E$16*(1-Assumptions!$E$23)^1</f>
        <v/>
      </c>
      <c r="S18" s="179">
        <f>Assumptions!$E$16*(1-Assumptions!$E$23)^1</f>
        <v/>
      </c>
      <c r="T18" s="179">
        <f>Assumptions!$E$16*(1-Assumptions!$E$23)^1</f>
        <v/>
      </c>
      <c r="U18" s="179">
        <f>Assumptions!$E$16*(1-Assumptions!$E$23)^1</f>
        <v/>
      </c>
      <c r="V18" s="179">
        <f>Assumptions!$E$16*(1-Assumptions!$E$23)^1</f>
        <v/>
      </c>
      <c r="W18" s="179">
        <f>Assumptions!$E$16*(1-Assumptions!$E$23)^1</f>
        <v/>
      </c>
      <c r="X18" s="179">
        <f>Assumptions!$E$16*(1-Assumptions!$E$23)^1</f>
        <v/>
      </c>
      <c r="Y18" s="179">
        <f>Assumptions!$E$16*(1-Assumptions!$E$23)^1</f>
        <v/>
      </c>
      <c r="Z18" s="179">
        <f>Assumptions!$E$16*(1-Assumptions!$E$23)^1</f>
        <v/>
      </c>
      <c r="AA18" s="179">
        <f>Assumptions!$E$16*(1-Assumptions!$E$23)^2</f>
        <v/>
      </c>
      <c r="AB18" s="179">
        <f>Assumptions!$E$16*(1-Assumptions!$E$23)^2</f>
        <v/>
      </c>
      <c r="AC18" s="179">
        <f>Assumptions!$E$16*(1-Assumptions!$E$23)^2</f>
        <v/>
      </c>
      <c r="AD18" s="179">
        <f>Assumptions!$E$16*(1-Assumptions!$E$23)^2</f>
        <v/>
      </c>
      <c r="AE18" s="179">
        <f>Assumptions!$E$16*(1-Assumptions!$E$23)^2</f>
        <v/>
      </c>
      <c r="AF18" s="179">
        <f>Assumptions!$E$16*(1-Assumptions!$E$23)^2</f>
        <v/>
      </c>
      <c r="AG18" s="179">
        <f>Assumptions!$E$16*(1-Assumptions!$E$23)^2</f>
        <v/>
      </c>
      <c r="AH18" s="179">
        <f>Assumptions!$E$16*(1-Assumptions!$E$23)^2</f>
        <v/>
      </c>
      <c r="AI18" s="179">
        <f>Assumptions!$E$16*(1-Assumptions!$E$23)^2</f>
        <v/>
      </c>
      <c r="AJ18" s="179">
        <f>Assumptions!$E$16*(1-Assumptions!$E$23)^2</f>
        <v/>
      </c>
      <c r="AK18" s="179">
        <f>Assumptions!$E$16*(1-Assumptions!$E$23)^2</f>
        <v/>
      </c>
      <c r="AL18" s="179">
        <f>Assumptions!$E$16*(1-Assumptions!$E$23)^2</f>
        <v/>
      </c>
      <c r="AM18" s="179">
        <f>Assumptions!$E$16*(1-Assumptions!$E$23)^3</f>
        <v/>
      </c>
      <c r="AN18" s="179">
        <f>Assumptions!$E$16*(1-Assumptions!$E$23)^3</f>
        <v/>
      </c>
      <c r="AO18" s="179">
        <f>Assumptions!$E$16*(1-Assumptions!$E$23)^3</f>
        <v/>
      </c>
      <c r="AP18" s="179">
        <f>Assumptions!$E$16*(1-Assumptions!$E$23)^3</f>
        <v/>
      </c>
      <c r="AQ18" s="179">
        <f>Assumptions!$E$16*(1-Assumptions!$E$23)^3</f>
        <v/>
      </c>
      <c r="AR18" s="179">
        <f>Assumptions!$E$16*(1-Assumptions!$E$23)^3</f>
        <v/>
      </c>
      <c r="AS18" s="179">
        <f>Assumptions!$E$16*(1-Assumptions!$E$23)^3</f>
        <v/>
      </c>
      <c r="AT18" s="179">
        <f>Assumptions!$E$16*(1-Assumptions!$E$23)^3</f>
        <v/>
      </c>
      <c r="AU18" s="179">
        <f>Assumptions!$E$16*(1-Assumptions!$E$23)^3</f>
        <v/>
      </c>
      <c r="AV18" s="179">
        <f>Assumptions!$E$16*(1-Assumptions!$E$23)^3</f>
        <v/>
      </c>
      <c r="AW18" s="179">
        <f>Assumptions!$E$16*(1-Assumptions!$E$23)^3</f>
        <v/>
      </c>
      <c r="AX18" s="179">
        <f>Assumptions!$E$16*(1-Assumptions!$E$23)^3</f>
        <v/>
      </c>
      <c r="AY18" s="179">
        <f>Assumptions!$E$16*(1-Assumptions!$E$23)^4</f>
        <v/>
      </c>
      <c r="AZ18" s="179">
        <f>Assumptions!$E$16*(1-Assumptions!$E$23)^4</f>
        <v/>
      </c>
      <c r="BA18" s="179">
        <f>Assumptions!$E$16*(1-Assumptions!$E$23)^4</f>
        <v/>
      </c>
      <c r="BB18" s="179">
        <f>Assumptions!$E$16*(1-Assumptions!$E$23)^4</f>
        <v/>
      </c>
      <c r="BC18" s="179">
        <f>Assumptions!$E$16*(1-Assumptions!$E$23)^4</f>
        <v/>
      </c>
      <c r="BD18" s="179">
        <f>Assumptions!$E$16*(1-Assumptions!$E$23)^4</f>
        <v/>
      </c>
      <c r="BE18" s="179">
        <f>Assumptions!$E$16*(1-Assumptions!$E$23)^4</f>
        <v/>
      </c>
      <c r="BF18" s="179">
        <f>Assumptions!$E$16*(1-Assumptions!$E$23)^4</f>
        <v/>
      </c>
      <c r="BG18" s="179">
        <f>Assumptions!$E$16*(1-Assumptions!$E$23)^4</f>
        <v/>
      </c>
      <c r="BH18" s="179">
        <f>Assumptions!$E$16*(1-Assumptions!$E$23)^4</f>
        <v/>
      </c>
      <c r="BI18" s="179">
        <f>Assumptions!$E$16*(1-Assumptions!$E$23)^4</f>
        <v/>
      </c>
      <c r="BJ18" s="179">
        <f>Assumptions!$E$16*(1-Assumptions!$E$23)^4</f>
        <v/>
      </c>
      <c r="BK18" s="179">
        <f>Assumptions!$E$16*(1-Assumptions!$E$23)^5</f>
        <v/>
      </c>
      <c r="BL18" s="179">
        <f>Assumptions!$E$16*(1-Assumptions!$E$23)^5</f>
        <v/>
      </c>
      <c r="BM18" s="179">
        <f>Assumptions!$E$16*(1-Assumptions!$E$23)^5</f>
        <v/>
      </c>
      <c r="BN18" s="179">
        <f>Assumptions!$E$16*(1-Assumptions!$E$23)^5</f>
        <v/>
      </c>
      <c r="BO18" s="179">
        <f>Assumptions!$E$16*(1-Assumptions!$E$23)^5</f>
        <v/>
      </c>
      <c r="BP18" s="179">
        <f>Assumptions!$E$16*(1-Assumptions!$E$23)^5</f>
        <v/>
      </c>
      <c r="BQ18" s="179">
        <f>Assumptions!$E$16*(1-Assumptions!$E$23)^5</f>
        <v/>
      </c>
      <c r="BR18" s="179">
        <f>Assumptions!$E$16*(1-Assumptions!$E$23)^5</f>
        <v/>
      </c>
      <c r="BS18" s="179">
        <f>Assumptions!$E$16*(1-Assumptions!$E$23)^5</f>
        <v/>
      </c>
      <c r="BT18" s="179">
        <f>Assumptions!$E$16*(1-Assumptions!$E$23)^5</f>
        <v/>
      </c>
      <c r="BU18" s="179">
        <f>Assumptions!$E$16*(1-Assumptions!$E$23)^5</f>
        <v/>
      </c>
      <c r="BV18" s="179">
        <f>Assumptions!$E$16*(1-Assumptions!$E$23)^5</f>
        <v/>
      </c>
      <c r="BW18" s="179">
        <f>Assumptions!$E$16*(1-Assumptions!$E$23)^6</f>
        <v/>
      </c>
      <c r="BX18" s="179">
        <f>Assumptions!$E$16*(1-Assumptions!$E$23)^6</f>
        <v/>
      </c>
      <c r="BY18" s="179">
        <f>Assumptions!$E$16*(1-Assumptions!$E$23)^6</f>
        <v/>
      </c>
      <c r="BZ18" s="179">
        <f>Assumptions!$E$16*(1-Assumptions!$E$23)^6</f>
        <v/>
      </c>
      <c r="CA18" s="179">
        <f>Assumptions!$E$16*(1-Assumptions!$E$23)^6</f>
        <v/>
      </c>
      <c r="CB18" s="179">
        <f>Assumptions!$E$16*(1-Assumptions!$E$23)^6</f>
        <v/>
      </c>
      <c r="CC18" s="179">
        <f>Assumptions!$E$16*(1-Assumptions!$E$23)^6</f>
        <v/>
      </c>
      <c r="CD18" s="179">
        <f>Assumptions!$E$16*(1-Assumptions!$E$23)^6</f>
        <v/>
      </c>
      <c r="CE18" s="179">
        <f>Assumptions!$E$16*(1-Assumptions!$E$23)^6</f>
        <v/>
      </c>
      <c r="CF18" s="179">
        <f>Assumptions!$E$16*(1-Assumptions!$E$23)^6</f>
        <v/>
      </c>
      <c r="CG18" s="179">
        <f>Assumptions!$E$16*(1-Assumptions!$E$23)^6</f>
        <v/>
      </c>
      <c r="CH18" s="179">
        <f>Assumptions!$E$16*(1-Assumptions!$E$23)^6</f>
        <v/>
      </c>
      <c r="CI18" s="179">
        <f>Assumptions!$E$16*(1-Assumptions!$E$23)^7</f>
        <v/>
      </c>
      <c r="CJ18" s="179">
        <f>Assumptions!$E$16*(1-Assumptions!$E$23)^7</f>
        <v/>
      </c>
      <c r="CK18" s="179">
        <f>Assumptions!$E$16*(1-Assumptions!$E$23)^7</f>
        <v/>
      </c>
      <c r="CL18" s="179">
        <f>Assumptions!$E$16*(1-Assumptions!$E$23)^7</f>
        <v/>
      </c>
      <c r="CM18" s="179">
        <f>Assumptions!$E$16*(1-Assumptions!$E$23)^7</f>
        <v/>
      </c>
      <c r="CN18" s="179">
        <f>Assumptions!$E$16*(1-Assumptions!$E$23)^7</f>
        <v/>
      </c>
      <c r="CO18" s="179">
        <f>Assumptions!$E$16*(1-Assumptions!$E$23)^7</f>
        <v/>
      </c>
      <c r="CP18" s="179">
        <f>Assumptions!$E$16*(1-Assumptions!$E$23)^7</f>
        <v/>
      </c>
      <c r="CQ18" s="179">
        <f>Assumptions!$E$16*(1-Assumptions!$E$23)^7</f>
        <v/>
      </c>
      <c r="CR18" s="179">
        <f>Assumptions!$E$16*(1-Assumptions!$E$23)^7</f>
        <v/>
      </c>
      <c r="CS18" s="179">
        <f>Assumptions!$E$16*(1-Assumptions!$E$23)^7</f>
        <v/>
      </c>
      <c r="CT18" s="179">
        <f>Assumptions!$E$16*(1-Assumptions!$E$23)^7</f>
        <v/>
      </c>
      <c r="CU18" s="179">
        <f>Assumptions!$E$16*(1-Assumptions!$E$23)^8</f>
        <v/>
      </c>
      <c r="CV18" s="179">
        <f>Assumptions!$E$16*(1-Assumptions!$E$23)^8</f>
        <v/>
      </c>
      <c r="CW18" s="179">
        <f>Assumptions!$E$16*(1-Assumptions!$E$23)^8</f>
        <v/>
      </c>
      <c r="CX18" s="179">
        <f>Assumptions!$E$16*(1-Assumptions!$E$23)^8</f>
        <v/>
      </c>
      <c r="CY18" s="179">
        <f>Assumptions!$E$16*(1-Assumptions!$E$23)^8</f>
        <v/>
      </c>
      <c r="CZ18" s="179">
        <f>Assumptions!$E$16*(1-Assumptions!$E$23)^8</f>
        <v/>
      </c>
      <c r="DA18" s="179">
        <f>Assumptions!$E$16*(1-Assumptions!$E$23)^8</f>
        <v/>
      </c>
      <c r="DB18" s="179">
        <f>Assumptions!$E$16*(1-Assumptions!$E$23)^8</f>
        <v/>
      </c>
      <c r="DC18" s="179">
        <f>Assumptions!$E$16*(1-Assumptions!$E$23)^8</f>
        <v/>
      </c>
      <c r="DD18" s="179">
        <f>Assumptions!$E$16*(1-Assumptions!$E$23)^8</f>
        <v/>
      </c>
      <c r="DE18" s="179">
        <f>Assumptions!$E$16*(1-Assumptions!$E$23)^8</f>
        <v/>
      </c>
      <c r="DF18" s="179">
        <f>Assumptions!$E$16*(1-Assumptions!$E$23)^8</f>
        <v/>
      </c>
      <c r="DG18" s="179">
        <f>Assumptions!$E$16*(1-Assumptions!$E$23)^9</f>
        <v/>
      </c>
      <c r="DH18" s="179">
        <f>Assumptions!$E$16*(1-Assumptions!$E$23)^9</f>
        <v/>
      </c>
      <c r="DI18" s="179">
        <f>Assumptions!$E$16*(1-Assumptions!$E$23)^9</f>
        <v/>
      </c>
      <c r="DJ18" s="179">
        <f>Assumptions!$E$16*(1-Assumptions!$E$23)^9</f>
        <v/>
      </c>
      <c r="DK18" s="179">
        <f>Assumptions!$E$16*(1-Assumptions!$E$23)^9</f>
        <v/>
      </c>
      <c r="DL18" s="179">
        <f>Assumptions!$E$16*(1-Assumptions!$E$23)^9</f>
        <v/>
      </c>
      <c r="DM18" s="179">
        <f>Assumptions!$E$16*(1-Assumptions!$E$23)^9</f>
        <v/>
      </c>
      <c r="DN18" s="179">
        <f>Assumptions!$E$16*(1-Assumptions!$E$23)^9</f>
        <v/>
      </c>
      <c r="DO18" s="179">
        <f>Assumptions!$E$16*(1-Assumptions!$E$23)^9</f>
        <v/>
      </c>
      <c r="DP18" s="179">
        <f>Assumptions!$E$16*(1-Assumptions!$E$23)^9</f>
        <v/>
      </c>
      <c r="DQ18" s="179">
        <f>Assumptions!$E$16*(1-Assumptions!$E$23)^9</f>
        <v/>
      </c>
      <c r="DR18" s="179">
        <f>Assumptions!$E$16*(1-Assumptions!$E$23)^9</f>
        <v/>
      </c>
      <c r="DS18" s="179">
        <f>Assumptions!$E$16*(1-Assumptions!$E$23)^10</f>
        <v/>
      </c>
      <c r="DT18" s="179">
        <f>Assumptions!$E$16*(1-Assumptions!$E$23)^10</f>
        <v/>
      </c>
      <c r="DU18" s="179">
        <f>Assumptions!$E$16*(1-Assumptions!$E$23)^10</f>
        <v/>
      </c>
      <c r="DV18" s="179">
        <f>Assumptions!$E$16*(1-Assumptions!$E$23)^10</f>
        <v/>
      </c>
      <c r="DW18" s="179">
        <f>Assumptions!$E$16*(1-Assumptions!$E$23)^10</f>
        <v/>
      </c>
      <c r="DX18" s="179">
        <f>Assumptions!$E$16*(1-Assumptions!$E$23)^10</f>
        <v/>
      </c>
      <c r="DY18" s="179">
        <f>Assumptions!$E$16*(1-Assumptions!$E$23)^10</f>
        <v/>
      </c>
      <c r="DZ18" s="179">
        <f>Assumptions!$E$16*(1-Assumptions!$E$23)^10</f>
        <v/>
      </c>
      <c r="EA18" s="179">
        <f>Assumptions!$E$16*(1-Assumptions!$E$23)^10</f>
        <v/>
      </c>
      <c r="EB18" s="179">
        <f>Assumptions!$E$16*(1-Assumptions!$E$23)^10</f>
        <v/>
      </c>
      <c r="EC18" s="179">
        <f>Assumptions!$E$16*(1-Assumptions!$E$23)^10</f>
        <v/>
      </c>
      <c r="ED18" s="179">
        <f>Assumptions!$E$16*(1-Assumptions!$E$23)^10</f>
        <v/>
      </c>
      <c r="EE18" s="179">
        <f>Assumptions!$E$16*(1-Assumptions!$E$23)^11</f>
        <v/>
      </c>
      <c r="EF18" s="179">
        <f>Assumptions!$E$16*(1-Assumptions!$E$23)^11</f>
        <v/>
      </c>
      <c r="EG18" s="179">
        <f>Assumptions!$E$16*(1-Assumptions!$E$23)^11</f>
        <v/>
      </c>
      <c r="EH18" s="179">
        <f>Assumptions!$E$16*(1-Assumptions!$E$23)^11</f>
        <v/>
      </c>
      <c r="EI18" s="179">
        <f>Assumptions!$E$16*(1-Assumptions!$E$23)^11</f>
        <v/>
      </c>
      <c r="EJ18" s="179">
        <f>Assumptions!$E$16*(1-Assumptions!$E$23)^11</f>
        <v/>
      </c>
      <c r="EK18" s="179">
        <f>Assumptions!$E$16*(1-Assumptions!$E$23)^11</f>
        <v/>
      </c>
      <c r="EL18" s="179">
        <f>Assumptions!$E$16*(1-Assumptions!$E$23)^11</f>
        <v/>
      </c>
      <c r="EM18" s="179">
        <f>Assumptions!$E$16*(1-Assumptions!$E$23)^11</f>
        <v/>
      </c>
      <c r="EN18" s="179">
        <f>Assumptions!$E$16*(1-Assumptions!$E$23)^11</f>
        <v/>
      </c>
      <c r="EO18" s="179">
        <f>Assumptions!$E$16*(1-Assumptions!$E$23)^11</f>
        <v/>
      </c>
      <c r="EP18" s="179">
        <f>Assumptions!$E$16*(1-Assumptions!$E$23)^11</f>
        <v/>
      </c>
      <c r="EQ18" s="179">
        <f>Assumptions!$E$16*(1-Assumptions!$E$23)^12</f>
        <v/>
      </c>
      <c r="ER18" s="179">
        <f>Assumptions!$E$16*(1-Assumptions!$E$23)^12</f>
        <v/>
      </c>
      <c r="ES18" s="179">
        <f>Assumptions!$E$16*(1-Assumptions!$E$23)^12</f>
        <v/>
      </c>
      <c r="ET18" s="179">
        <f>Assumptions!$E$16*(1-Assumptions!$E$23)^12</f>
        <v/>
      </c>
      <c r="EU18" s="179">
        <f>Assumptions!$E$16*(1-Assumptions!$E$23)^12</f>
        <v/>
      </c>
      <c r="EV18" s="179">
        <f>Assumptions!$E$16*(1-Assumptions!$E$23)^12</f>
        <v/>
      </c>
      <c r="EW18" s="179">
        <f>Assumptions!$E$16*(1-Assumptions!$E$23)^12</f>
        <v/>
      </c>
      <c r="EX18" s="179">
        <f>Assumptions!$E$16*(1-Assumptions!$E$23)^12</f>
        <v/>
      </c>
      <c r="EY18" s="179">
        <f>Assumptions!$E$16*(1-Assumptions!$E$23)^12</f>
        <v/>
      </c>
      <c r="EZ18" s="179">
        <f>Assumptions!$E$16*(1-Assumptions!$E$23)^12</f>
        <v/>
      </c>
      <c r="FA18" s="179">
        <f>Assumptions!$E$16*(1-Assumptions!$E$23)^12</f>
        <v/>
      </c>
      <c r="FB18" s="179">
        <f>Assumptions!$E$16*(1-Assumptions!$E$23)^12</f>
        <v/>
      </c>
      <c r="FC18" s="179">
        <f>Assumptions!$E$16*(1-Assumptions!$E$23)^13</f>
        <v/>
      </c>
      <c r="FD18" s="179">
        <f>Assumptions!$E$16*(1-Assumptions!$E$23)^13</f>
        <v/>
      </c>
      <c r="FE18" s="179">
        <f>Assumptions!$E$16*(1-Assumptions!$E$23)^13</f>
        <v/>
      </c>
      <c r="FF18" s="179">
        <f>Assumptions!$E$16*(1-Assumptions!$E$23)^13</f>
        <v/>
      </c>
      <c r="FG18" s="179">
        <f>Assumptions!$E$16*(1-Assumptions!$E$23)^13</f>
        <v/>
      </c>
      <c r="FH18" s="179">
        <f>Assumptions!$E$16*(1-Assumptions!$E$23)^13</f>
        <v/>
      </c>
      <c r="FI18" s="179">
        <f>Assumptions!$E$16*(1-Assumptions!$E$23)^13</f>
        <v/>
      </c>
      <c r="FJ18" s="179">
        <f>Assumptions!$E$16*(1-Assumptions!$E$23)^13</f>
        <v/>
      </c>
      <c r="FK18" s="179">
        <f>Assumptions!$E$16*(1-Assumptions!$E$23)^13</f>
        <v/>
      </c>
      <c r="FL18" s="179">
        <f>Assumptions!$E$16*(1-Assumptions!$E$23)^13</f>
        <v/>
      </c>
      <c r="FM18" s="179">
        <f>Assumptions!$E$16*(1-Assumptions!$E$23)^13</f>
        <v/>
      </c>
      <c r="FN18" s="179">
        <f>Assumptions!$E$16*(1-Assumptions!$E$23)^13</f>
        <v/>
      </c>
      <c r="FO18" s="179">
        <f>Assumptions!$E$16*(1-Assumptions!$E$23)^14</f>
        <v/>
      </c>
      <c r="FP18" s="179">
        <f>Assumptions!$E$16*(1-Assumptions!$E$23)^14</f>
        <v/>
      </c>
      <c r="FQ18" s="179">
        <f>Assumptions!$E$16*(1-Assumptions!$E$23)^14</f>
        <v/>
      </c>
      <c r="FR18" s="179">
        <f>Assumptions!$E$16*(1-Assumptions!$E$23)^14</f>
        <v/>
      </c>
      <c r="FS18" s="179">
        <f>Assumptions!$E$16*(1-Assumptions!$E$23)^14</f>
        <v/>
      </c>
      <c r="FT18" s="179">
        <f>Assumptions!$E$16*(1-Assumptions!$E$23)^14</f>
        <v/>
      </c>
      <c r="FU18" s="179">
        <f>Assumptions!$E$16*(1-Assumptions!$E$23)^14</f>
        <v/>
      </c>
      <c r="FV18" s="179">
        <f>Assumptions!$E$16*(1-Assumptions!$E$23)^14</f>
        <v/>
      </c>
      <c r="FW18" s="179">
        <f>Assumptions!$E$16*(1-Assumptions!$E$23)^14</f>
        <v/>
      </c>
      <c r="FX18" s="179">
        <f>Assumptions!$E$16*(1-Assumptions!$E$23)^14</f>
        <v/>
      </c>
      <c r="FY18" s="179">
        <f>Assumptions!$E$16*(1-Assumptions!$E$23)^14</f>
        <v/>
      </c>
      <c r="FZ18" s="179">
        <f>Assumptions!$E$16*(1-Assumptions!$E$23)^14</f>
        <v/>
      </c>
      <c r="GA18" s="179">
        <f>Assumptions!$E$16*(1-Assumptions!$E$23)^15</f>
        <v/>
      </c>
      <c r="GB18" s="179">
        <f>Assumptions!$E$16*(1-Assumptions!$E$23)^15</f>
        <v/>
      </c>
      <c r="GC18" s="179">
        <f>Assumptions!$E$16*(1-Assumptions!$E$23)^15</f>
        <v/>
      </c>
      <c r="GD18" s="179">
        <f>Assumptions!$E$16*(1-Assumptions!$E$23)^15</f>
        <v/>
      </c>
      <c r="GE18" s="179">
        <f>Assumptions!$E$16*(1-Assumptions!$E$23)^15</f>
        <v/>
      </c>
      <c r="GF18" s="179">
        <f>Assumptions!$E$16*(1-Assumptions!$E$23)^15</f>
        <v/>
      </c>
      <c r="GG18" s="179">
        <f>Assumptions!$E$16*(1-Assumptions!$E$23)^15</f>
        <v/>
      </c>
      <c r="GH18" s="179">
        <f>Assumptions!$E$16*(1-Assumptions!$E$23)^15</f>
        <v/>
      </c>
      <c r="GI18" s="179">
        <f>Assumptions!$E$16*(1-Assumptions!$E$23)^15</f>
        <v/>
      </c>
      <c r="GJ18" s="179">
        <f>Assumptions!$E$16*(1-Assumptions!$E$23)^15</f>
        <v/>
      </c>
      <c r="GK18" s="179">
        <f>Assumptions!$E$16*(1-Assumptions!$E$23)^15</f>
        <v/>
      </c>
      <c r="GL18" s="179">
        <f>Assumptions!$E$16*(1-Assumptions!$E$23)^15</f>
        <v/>
      </c>
      <c r="GM18" s="179">
        <f>Assumptions!$E$16*(1-Assumptions!$E$23)^16</f>
        <v/>
      </c>
      <c r="GN18" s="179">
        <f>Assumptions!$E$16*(1-Assumptions!$E$23)^16</f>
        <v/>
      </c>
      <c r="GO18" s="179">
        <f>Assumptions!$E$16*(1-Assumptions!$E$23)^16</f>
        <v/>
      </c>
      <c r="GP18" s="179">
        <f>Assumptions!$E$16*(1-Assumptions!$E$23)^16</f>
        <v/>
      </c>
      <c r="GQ18" s="179">
        <f>Assumptions!$E$16*(1-Assumptions!$E$23)^16</f>
        <v/>
      </c>
      <c r="GR18" s="179">
        <f>Assumptions!$E$16*(1-Assumptions!$E$23)^16</f>
        <v/>
      </c>
      <c r="GS18" s="179">
        <f>Assumptions!$E$16*(1-Assumptions!$E$23)^16</f>
        <v/>
      </c>
      <c r="GT18" s="179">
        <f>Assumptions!$E$16*(1-Assumptions!$E$23)^16</f>
        <v/>
      </c>
      <c r="GU18" s="179">
        <f>Assumptions!$E$16*(1-Assumptions!$E$23)^16</f>
        <v/>
      </c>
      <c r="GV18" s="179">
        <f>Assumptions!$E$16*(1-Assumptions!$E$23)^16</f>
        <v/>
      </c>
      <c r="GW18" s="179">
        <f>Assumptions!$E$16*(1-Assumptions!$E$23)^16</f>
        <v/>
      </c>
      <c r="GX18" s="179">
        <f>Assumptions!$E$16*(1-Assumptions!$E$23)^16</f>
        <v/>
      </c>
      <c r="GY18" s="179">
        <f>Assumptions!$E$16*(1-Assumptions!$E$23)^17</f>
        <v/>
      </c>
      <c r="GZ18" s="179">
        <f>Assumptions!$E$16*(1-Assumptions!$E$23)^17</f>
        <v/>
      </c>
      <c r="HA18" s="179">
        <f>Assumptions!$E$16*(1-Assumptions!$E$23)^17</f>
        <v/>
      </c>
      <c r="HB18" s="179">
        <f>Assumptions!$E$16*(1-Assumptions!$E$23)^17</f>
        <v/>
      </c>
      <c r="HC18" s="179">
        <f>Assumptions!$E$16*(1-Assumptions!$E$23)^17</f>
        <v/>
      </c>
      <c r="HD18" s="179">
        <f>Assumptions!$E$16*(1-Assumptions!$E$23)^17</f>
        <v/>
      </c>
      <c r="HE18" s="179">
        <f>Assumptions!$E$16*(1-Assumptions!$E$23)^17</f>
        <v/>
      </c>
      <c r="HF18" s="179">
        <f>Assumptions!$E$16*(1-Assumptions!$E$23)^17</f>
        <v/>
      </c>
      <c r="HG18" s="179">
        <f>Assumptions!$E$16*(1-Assumptions!$E$23)^17</f>
        <v/>
      </c>
      <c r="HH18" s="179">
        <f>Assumptions!$E$16*(1-Assumptions!$E$23)^17</f>
        <v/>
      </c>
      <c r="HI18" s="179">
        <f>Assumptions!$E$16*(1-Assumptions!$E$23)^17</f>
        <v/>
      </c>
      <c r="HJ18" s="179">
        <f>Assumptions!$E$16*(1-Assumptions!$E$23)^17</f>
        <v/>
      </c>
      <c r="HK18" s="179">
        <f>Assumptions!$E$16*(1-Assumptions!$E$23)^18</f>
        <v/>
      </c>
      <c r="HL18" s="179">
        <f>Assumptions!$E$16*(1-Assumptions!$E$23)^18</f>
        <v/>
      </c>
      <c r="HM18" s="179">
        <f>Assumptions!$E$16*(1-Assumptions!$E$23)^18</f>
        <v/>
      </c>
      <c r="HN18" s="179">
        <f>Assumptions!$E$16*(1-Assumptions!$E$23)^18</f>
        <v/>
      </c>
      <c r="HO18" s="179">
        <f>Assumptions!$E$16*(1-Assumptions!$E$23)^18</f>
        <v/>
      </c>
      <c r="HP18" s="179">
        <f>Assumptions!$E$16*(1-Assumptions!$E$23)^18</f>
        <v/>
      </c>
      <c r="HQ18" s="179">
        <f>Assumptions!$E$16*(1-Assumptions!$E$23)^18</f>
        <v/>
      </c>
      <c r="HR18" s="179">
        <f>Assumptions!$E$16*(1-Assumptions!$E$23)^18</f>
        <v/>
      </c>
      <c r="HS18" s="179">
        <f>Assumptions!$E$16*(1-Assumptions!$E$23)^18</f>
        <v/>
      </c>
      <c r="HT18" s="179">
        <f>Assumptions!$E$16*(1-Assumptions!$E$23)^18</f>
        <v/>
      </c>
      <c r="HU18" s="179">
        <f>Assumptions!$E$16*(1-Assumptions!$E$23)^18</f>
        <v/>
      </c>
      <c r="HV18" s="179">
        <f>Assumptions!$E$16*(1-Assumptions!$E$23)^18</f>
        <v/>
      </c>
      <c r="HW18" s="179">
        <f>Assumptions!$E$16*(1-Assumptions!$E$23)^19</f>
        <v/>
      </c>
      <c r="HX18" s="179">
        <f>Assumptions!$E$16*(1-Assumptions!$E$23)^19</f>
        <v/>
      </c>
      <c r="HY18" s="179">
        <f>Assumptions!$E$16*(1-Assumptions!$E$23)^19</f>
        <v/>
      </c>
      <c r="HZ18" s="179">
        <f>Assumptions!$E$16*(1-Assumptions!$E$23)^19</f>
        <v/>
      </c>
      <c r="IA18" s="179">
        <f>Assumptions!$E$16*(1-Assumptions!$E$23)^19</f>
        <v/>
      </c>
      <c r="IB18" s="179">
        <f>Assumptions!$E$16*(1-Assumptions!$E$23)^19</f>
        <v/>
      </c>
      <c r="IC18" s="179">
        <f>Assumptions!$E$16*(1-Assumptions!$E$23)^19</f>
        <v/>
      </c>
      <c r="ID18" s="179">
        <f>Assumptions!$E$16*(1-Assumptions!$E$23)^19</f>
        <v/>
      </c>
      <c r="IE18" s="179">
        <f>Assumptions!$E$16*(1-Assumptions!$E$23)^19</f>
        <v/>
      </c>
      <c r="IF18" s="179">
        <f>Assumptions!$E$16*(1-Assumptions!$E$23)^19</f>
        <v/>
      </c>
      <c r="IG18" s="179">
        <f>Assumptions!$E$16*(1-Assumptions!$E$23)^19</f>
        <v/>
      </c>
      <c r="IH18" s="179">
        <f>Assumptions!$E$16*(1-Assumptions!$E$23)^19</f>
        <v/>
      </c>
      <c r="II18" s="179">
        <f>Assumptions!$E$16*(1-Assumptions!$E$23)^20</f>
        <v/>
      </c>
      <c r="IJ18" s="179">
        <f>Assumptions!$E$16*(1-Assumptions!$E$23)^20</f>
        <v/>
      </c>
      <c r="IK18" s="179">
        <f>Assumptions!$E$16*(1-Assumptions!$E$23)^20</f>
        <v/>
      </c>
      <c r="IL18" s="179">
        <f>Assumptions!$E$16*(1-Assumptions!$E$23)^20</f>
        <v/>
      </c>
      <c r="IM18" s="179">
        <f>Assumptions!$E$16*(1-Assumptions!$E$23)^20</f>
        <v/>
      </c>
      <c r="IN18" s="179">
        <f>Assumptions!$E$16*(1-Assumptions!$E$23)^20</f>
        <v/>
      </c>
      <c r="IO18" s="179">
        <f>Assumptions!$E$16*(1-Assumptions!$E$23)^20</f>
        <v/>
      </c>
      <c r="IP18" s="179">
        <f>Assumptions!$E$16*(1-Assumptions!$E$23)^20</f>
        <v/>
      </c>
      <c r="IQ18" s="179">
        <f>Assumptions!$E$16*(1-Assumptions!$E$23)^20</f>
        <v/>
      </c>
      <c r="IR18" s="179">
        <f>Assumptions!$E$16*(1-Assumptions!$E$23)^20</f>
        <v/>
      </c>
      <c r="IS18" s="179">
        <f>Assumptions!$E$16*(1-Assumptions!$E$23)^20</f>
        <v/>
      </c>
      <c r="IT18" s="179">
        <f>Assumptions!$E$16*(1-Assumptions!$E$23)^20</f>
        <v/>
      </c>
      <c r="IU18" s="179">
        <f>Assumptions!$E$16*(1-Assumptions!$E$23)^21</f>
        <v/>
      </c>
      <c r="IV18" s="179">
        <f>Assumptions!$E$16*(1-Assumptions!$E$23)^21</f>
        <v/>
      </c>
      <c r="IW18" s="179">
        <f>Assumptions!$E$16*(1-Assumptions!$E$23)^21</f>
        <v/>
      </c>
      <c r="IX18" s="179">
        <f>Assumptions!$E$16*(1-Assumptions!$E$23)^21</f>
        <v/>
      </c>
      <c r="IY18" s="179">
        <f>Assumptions!$E$16*(1-Assumptions!$E$23)^21</f>
        <v/>
      </c>
      <c r="IZ18" s="179">
        <f>Assumptions!$E$16*(1-Assumptions!$E$23)^21</f>
        <v/>
      </c>
      <c r="JA18" s="179">
        <f>Assumptions!$E$16*(1-Assumptions!$E$23)^21</f>
        <v/>
      </c>
      <c r="JB18" s="179">
        <f>Assumptions!$E$16*(1-Assumptions!$E$23)^21</f>
        <v/>
      </c>
      <c r="JC18" s="179">
        <f>Assumptions!$E$16*(1-Assumptions!$E$23)^21</f>
        <v/>
      </c>
      <c r="JD18" s="179">
        <f>Assumptions!$E$16*(1-Assumptions!$E$23)^21</f>
        <v/>
      </c>
      <c r="JE18" s="179">
        <f>Assumptions!$E$16*(1-Assumptions!$E$23)^21</f>
        <v/>
      </c>
      <c r="JF18" s="179">
        <f>Assumptions!$E$16*(1-Assumptions!$E$23)^21</f>
        <v/>
      </c>
      <c r="JG18" s="179">
        <f>Assumptions!$E$16*(1-Assumptions!$E$23)^22</f>
        <v/>
      </c>
      <c r="JH18" s="179">
        <f>Assumptions!$E$16*(1-Assumptions!$E$23)^22</f>
        <v/>
      </c>
      <c r="JI18" s="179">
        <f>Assumptions!$E$16*(1-Assumptions!$E$23)^22</f>
        <v/>
      </c>
      <c r="JJ18" s="179">
        <f>Assumptions!$E$16*(1-Assumptions!$E$23)^22</f>
        <v/>
      </c>
      <c r="JK18" s="179">
        <f>Assumptions!$E$16*(1-Assumptions!$E$23)^22</f>
        <v/>
      </c>
      <c r="JL18" s="179">
        <f>Assumptions!$E$16*(1-Assumptions!$E$23)^22</f>
        <v/>
      </c>
      <c r="JM18" s="179">
        <f>Assumptions!$E$16*(1-Assumptions!$E$23)^22</f>
        <v/>
      </c>
      <c r="JN18" s="179">
        <f>Assumptions!$E$16*(1-Assumptions!$E$23)^22</f>
        <v/>
      </c>
      <c r="JO18" s="179">
        <f>Assumptions!$E$16*(1-Assumptions!$E$23)^22</f>
        <v/>
      </c>
      <c r="JP18" s="179">
        <f>Assumptions!$E$16*(1-Assumptions!$E$23)^22</f>
        <v/>
      </c>
      <c r="JQ18" s="179">
        <f>Assumptions!$E$16*(1-Assumptions!$E$23)^22</f>
        <v/>
      </c>
      <c r="JR18" s="179">
        <f>Assumptions!$E$16*(1-Assumptions!$E$23)^22</f>
        <v/>
      </c>
      <c r="JS18" s="179">
        <f>Assumptions!$E$16*(1-Assumptions!$E$23)^23</f>
        <v/>
      </c>
      <c r="JT18" s="179">
        <f>Assumptions!$E$16*(1-Assumptions!$E$23)^23</f>
        <v/>
      </c>
      <c r="JU18" s="179">
        <f>Assumptions!$E$16*(1-Assumptions!$E$23)^23</f>
        <v/>
      </c>
      <c r="JV18" s="179">
        <f>Assumptions!$E$16*(1-Assumptions!$E$23)^23</f>
        <v/>
      </c>
      <c r="JW18" s="179">
        <f>Assumptions!$E$16*(1-Assumptions!$E$23)^23</f>
        <v/>
      </c>
      <c r="JX18" s="179">
        <f>Assumptions!$E$16*(1-Assumptions!$E$23)^23</f>
        <v/>
      </c>
      <c r="JY18" s="179">
        <f>Assumptions!$E$16*(1-Assumptions!$E$23)^23</f>
        <v/>
      </c>
      <c r="JZ18" s="179">
        <f>Assumptions!$E$16*(1-Assumptions!$E$23)^23</f>
        <v/>
      </c>
      <c r="KA18" s="179">
        <f>Assumptions!$E$16*(1-Assumptions!$E$23)^23</f>
        <v/>
      </c>
      <c r="KB18" s="179">
        <f>Assumptions!$E$16*(1-Assumptions!$E$23)^23</f>
        <v/>
      </c>
      <c r="KC18" s="179">
        <f>Assumptions!$E$16*(1-Assumptions!$E$23)^23</f>
        <v/>
      </c>
      <c r="KD18" s="179">
        <f>Assumptions!$E$16*(1-Assumptions!$E$23)^23</f>
        <v/>
      </c>
      <c r="KE18" s="179">
        <f>Assumptions!$E$16*(1-Assumptions!$E$23)^24</f>
        <v/>
      </c>
      <c r="KF18" s="179">
        <f>Assumptions!$E$16*(1-Assumptions!$E$23)^24</f>
        <v/>
      </c>
      <c r="KG18" s="179">
        <f>Assumptions!$E$16*(1-Assumptions!$E$23)^24</f>
        <v/>
      </c>
      <c r="KH18" s="179">
        <f>Assumptions!$E$16*(1-Assumptions!$E$23)^24</f>
        <v/>
      </c>
      <c r="KI18" s="179">
        <f>Assumptions!$E$16*(1-Assumptions!$E$23)^24</f>
        <v/>
      </c>
      <c r="KJ18" s="179">
        <f>Assumptions!$E$16*(1-Assumptions!$E$23)^24</f>
        <v/>
      </c>
      <c r="KK18" s="179">
        <f>Assumptions!$E$16*(1-Assumptions!$E$23)^24</f>
        <v/>
      </c>
      <c r="KL18" s="179">
        <f>Assumptions!$E$16*(1-Assumptions!$E$23)^24</f>
        <v/>
      </c>
      <c r="KM18" s="179">
        <f>Assumptions!$E$16*(1-Assumptions!$E$23)^24</f>
        <v/>
      </c>
      <c r="KN18" s="179">
        <f>Assumptions!$E$16*(1-Assumptions!$E$23)^24</f>
        <v/>
      </c>
      <c r="KO18" s="179">
        <f>Assumptions!$E$16*(1-Assumptions!$E$23)^24</f>
        <v/>
      </c>
      <c r="KP18" s="179">
        <f>Assumptions!$E$16*(1-Assumptions!$E$23)^24</f>
        <v/>
      </c>
    </row>
    <row r="19" ht="16" customHeight="1" s="133">
      <c r="A19" s="177" t="inlineStr">
        <is>
          <t>Price (EUR/MWh)</t>
        </is>
      </c>
      <c r="B19" s="178" t="inlineStr">
        <is>
          <t>EUR/MWh</t>
        </is>
      </c>
      <c r="C19" s="180">
        <f>Assumptions!$E$40</f>
        <v/>
      </c>
      <c r="D19" s="180">
        <f>Assumptions!$E$40</f>
        <v/>
      </c>
      <c r="E19" s="180">
        <f>Assumptions!$E$40</f>
        <v/>
      </c>
      <c r="F19" s="180">
        <f>Assumptions!$E$40</f>
        <v/>
      </c>
      <c r="G19" s="180">
        <f>Assumptions!$E$40</f>
        <v/>
      </c>
      <c r="H19" s="180">
        <f>Assumptions!$E$40</f>
        <v/>
      </c>
      <c r="I19" s="180">
        <f>Assumptions!$E$40</f>
        <v/>
      </c>
      <c r="J19" s="180">
        <f>Assumptions!$E$40</f>
        <v/>
      </c>
      <c r="K19" s="180">
        <f>Assumptions!$E$40</f>
        <v/>
      </c>
      <c r="L19" s="180">
        <f>Assumptions!$E$40</f>
        <v/>
      </c>
      <c r="M19" s="180">
        <f>Assumptions!$E$40</f>
        <v/>
      </c>
      <c r="N19" s="180">
        <f>Assumptions!$E$40</f>
        <v/>
      </c>
      <c r="O19" s="180">
        <f>Assumptions!$E$40</f>
        <v/>
      </c>
      <c r="P19" s="180">
        <f>Assumptions!$E$40</f>
        <v/>
      </c>
      <c r="Q19" s="180">
        <f>Assumptions!$E$40</f>
        <v/>
      </c>
      <c r="R19" s="180">
        <f>Assumptions!$E$40</f>
        <v/>
      </c>
      <c r="S19" s="180">
        <f>Assumptions!$E$40</f>
        <v/>
      </c>
      <c r="T19" s="180">
        <f>Assumptions!$E$40</f>
        <v/>
      </c>
      <c r="U19" s="180">
        <f>Assumptions!$E$40</f>
        <v/>
      </c>
      <c r="V19" s="180">
        <f>Assumptions!$E$40</f>
        <v/>
      </c>
      <c r="W19" s="180">
        <f>Assumptions!$E$40</f>
        <v/>
      </c>
      <c r="X19" s="180">
        <f>Assumptions!$E$40</f>
        <v/>
      </c>
      <c r="Y19" s="180">
        <f>Assumptions!$E$40</f>
        <v/>
      </c>
      <c r="Z19" s="180">
        <f>Assumptions!$E$40</f>
        <v/>
      </c>
      <c r="AA19" s="180">
        <f>Assumptions!$E$40</f>
        <v/>
      </c>
      <c r="AB19" s="180">
        <f>Assumptions!$E$40</f>
        <v/>
      </c>
      <c r="AC19" s="180">
        <f>Assumptions!$E$40</f>
        <v/>
      </c>
      <c r="AD19" s="180">
        <f>Assumptions!$E$40</f>
        <v/>
      </c>
      <c r="AE19" s="180">
        <f>Assumptions!$E$40</f>
        <v/>
      </c>
      <c r="AF19" s="180">
        <f>Assumptions!$E$40</f>
        <v/>
      </c>
      <c r="AG19" s="180">
        <f>Assumptions!$E$40</f>
        <v/>
      </c>
      <c r="AH19" s="180">
        <f>Assumptions!$E$40</f>
        <v/>
      </c>
      <c r="AI19" s="180">
        <f>Assumptions!$E$40</f>
        <v/>
      </c>
      <c r="AJ19" s="180">
        <f>Assumptions!$E$40</f>
        <v/>
      </c>
      <c r="AK19" s="180">
        <f>Assumptions!$E$40</f>
        <v/>
      </c>
      <c r="AL19" s="180">
        <f>Assumptions!$E$40</f>
        <v/>
      </c>
      <c r="AM19" s="180">
        <f>Assumptions!$E$40</f>
        <v/>
      </c>
      <c r="AN19" s="180">
        <f>Assumptions!$E$40</f>
        <v/>
      </c>
      <c r="AO19" s="180">
        <f>Assumptions!$E$40</f>
        <v/>
      </c>
      <c r="AP19" s="180">
        <f>Assumptions!$E$40</f>
        <v/>
      </c>
      <c r="AQ19" s="180">
        <f>Assumptions!$E$40</f>
        <v/>
      </c>
      <c r="AR19" s="180">
        <f>Assumptions!$E$40</f>
        <v/>
      </c>
      <c r="AS19" s="180">
        <f>Assumptions!$E$40</f>
        <v/>
      </c>
      <c r="AT19" s="180">
        <f>Assumptions!$E$40</f>
        <v/>
      </c>
      <c r="AU19" s="180">
        <f>Assumptions!$E$40</f>
        <v/>
      </c>
      <c r="AV19" s="180">
        <f>Assumptions!$E$40</f>
        <v/>
      </c>
      <c r="AW19" s="180">
        <f>Assumptions!$E$40</f>
        <v/>
      </c>
      <c r="AX19" s="180">
        <f>Assumptions!$E$40</f>
        <v/>
      </c>
      <c r="AY19" s="180">
        <f>Assumptions!$E$40</f>
        <v/>
      </c>
      <c r="AZ19" s="180">
        <f>Assumptions!$E$40</f>
        <v/>
      </c>
      <c r="BA19" s="180">
        <f>Assumptions!$E$40</f>
        <v/>
      </c>
      <c r="BB19" s="180">
        <f>Assumptions!$E$40</f>
        <v/>
      </c>
      <c r="BC19" s="180">
        <f>Assumptions!$E$40</f>
        <v/>
      </c>
      <c r="BD19" s="180">
        <f>Assumptions!$E$40</f>
        <v/>
      </c>
      <c r="BE19" s="180">
        <f>Assumptions!$E$40</f>
        <v/>
      </c>
      <c r="BF19" s="180">
        <f>Assumptions!$E$40</f>
        <v/>
      </c>
      <c r="BG19" s="180">
        <f>Assumptions!$E$40</f>
        <v/>
      </c>
      <c r="BH19" s="180">
        <f>Assumptions!$E$40</f>
        <v/>
      </c>
      <c r="BI19" s="180">
        <f>Assumptions!$E$40</f>
        <v/>
      </c>
      <c r="BJ19" s="180">
        <f>Assumptions!$E$40</f>
        <v/>
      </c>
      <c r="BK19" s="180">
        <f>Assumptions!$E$40</f>
        <v/>
      </c>
      <c r="BL19" s="180">
        <f>Assumptions!$E$40</f>
        <v/>
      </c>
      <c r="BM19" s="180">
        <f>Assumptions!$E$40</f>
        <v/>
      </c>
      <c r="BN19" s="180">
        <f>Assumptions!$E$40</f>
        <v/>
      </c>
      <c r="BO19" s="180">
        <f>Assumptions!$E$40</f>
        <v/>
      </c>
      <c r="BP19" s="180">
        <f>Assumptions!$E$40</f>
        <v/>
      </c>
      <c r="BQ19" s="180">
        <f>Assumptions!$E$40</f>
        <v/>
      </c>
      <c r="BR19" s="180">
        <f>Assumptions!$E$40</f>
        <v/>
      </c>
      <c r="BS19" s="180">
        <f>Assumptions!$E$40</f>
        <v/>
      </c>
      <c r="BT19" s="180">
        <f>Assumptions!$E$40</f>
        <v/>
      </c>
      <c r="BU19" s="180">
        <f>Assumptions!$E$40</f>
        <v/>
      </c>
      <c r="BV19" s="180">
        <f>Assumptions!$E$40</f>
        <v/>
      </c>
      <c r="BW19" s="180">
        <f>Assumptions!$E$40</f>
        <v/>
      </c>
      <c r="BX19" s="180">
        <f>Assumptions!$E$40</f>
        <v/>
      </c>
      <c r="BY19" s="180">
        <f>Assumptions!$E$40</f>
        <v/>
      </c>
      <c r="BZ19" s="180">
        <f>Assumptions!$E$40</f>
        <v/>
      </c>
      <c r="CA19" s="180">
        <f>Assumptions!$E$40</f>
        <v/>
      </c>
      <c r="CB19" s="180">
        <f>Assumptions!$E$40</f>
        <v/>
      </c>
      <c r="CC19" s="180">
        <f>Assumptions!$E$40</f>
        <v/>
      </c>
      <c r="CD19" s="180">
        <f>Assumptions!$E$40</f>
        <v/>
      </c>
      <c r="CE19" s="180">
        <f>Assumptions!$E$40</f>
        <v/>
      </c>
      <c r="CF19" s="180">
        <f>Assumptions!$E$40</f>
        <v/>
      </c>
      <c r="CG19" s="180">
        <f>Assumptions!$E$40</f>
        <v/>
      </c>
      <c r="CH19" s="180">
        <f>Assumptions!$E$40</f>
        <v/>
      </c>
      <c r="CI19" s="180">
        <f>Assumptions!$E$40</f>
        <v/>
      </c>
      <c r="CJ19" s="180">
        <f>Assumptions!$E$40</f>
        <v/>
      </c>
      <c r="CK19" s="180">
        <f>Assumptions!$E$40</f>
        <v/>
      </c>
      <c r="CL19" s="180">
        <f>Assumptions!$E$40</f>
        <v/>
      </c>
      <c r="CM19" s="180">
        <f>Assumptions!$E$40</f>
        <v/>
      </c>
      <c r="CN19" s="180">
        <f>Assumptions!$E$40</f>
        <v/>
      </c>
      <c r="CO19" s="180">
        <f>Assumptions!$E$40</f>
        <v/>
      </c>
      <c r="CP19" s="180">
        <f>Assumptions!$E$40</f>
        <v/>
      </c>
      <c r="CQ19" s="180">
        <f>Assumptions!$E$40</f>
        <v/>
      </c>
      <c r="CR19" s="180">
        <f>Assumptions!$E$40</f>
        <v/>
      </c>
      <c r="CS19" s="180">
        <f>Assumptions!$E$40</f>
        <v/>
      </c>
      <c r="CT19" s="180">
        <f>Assumptions!$E$40</f>
        <v/>
      </c>
      <c r="CU19" s="180">
        <f>Assumptions!$E$40</f>
        <v/>
      </c>
      <c r="CV19" s="180">
        <f>Assumptions!$E$40</f>
        <v/>
      </c>
      <c r="CW19" s="180">
        <f>Assumptions!$E$40</f>
        <v/>
      </c>
      <c r="CX19" s="180">
        <f>Assumptions!$E$40</f>
        <v/>
      </c>
      <c r="CY19" s="180">
        <f>Assumptions!$E$40</f>
        <v/>
      </c>
      <c r="CZ19" s="180">
        <f>Assumptions!$E$40</f>
        <v/>
      </c>
      <c r="DA19" s="180">
        <f>Assumptions!$E$40</f>
        <v/>
      </c>
      <c r="DB19" s="180">
        <f>Assumptions!$E$40</f>
        <v/>
      </c>
      <c r="DC19" s="180">
        <f>Assumptions!$E$40</f>
        <v/>
      </c>
      <c r="DD19" s="180">
        <f>Assumptions!$E$40</f>
        <v/>
      </c>
      <c r="DE19" s="180">
        <f>Assumptions!$E$40</f>
        <v/>
      </c>
      <c r="DF19" s="180">
        <f>Assumptions!$E$40</f>
        <v/>
      </c>
      <c r="DG19" s="180">
        <f>Assumptions!$E$40</f>
        <v/>
      </c>
      <c r="DH19" s="180">
        <f>Assumptions!$E$40</f>
        <v/>
      </c>
      <c r="DI19" s="180">
        <f>Assumptions!$E$40</f>
        <v/>
      </c>
      <c r="DJ19" s="180">
        <f>Assumptions!$E$40</f>
        <v/>
      </c>
      <c r="DK19" s="180">
        <f>Assumptions!$E$40</f>
        <v/>
      </c>
      <c r="DL19" s="180">
        <f>Assumptions!$E$40</f>
        <v/>
      </c>
      <c r="DM19" s="180">
        <f>Assumptions!$E$40</f>
        <v/>
      </c>
      <c r="DN19" s="180">
        <f>Assumptions!$E$40</f>
        <v/>
      </c>
      <c r="DO19" s="180">
        <f>Assumptions!$E$40</f>
        <v/>
      </c>
      <c r="DP19" s="180">
        <f>Assumptions!$E$40</f>
        <v/>
      </c>
      <c r="DQ19" s="180">
        <f>Assumptions!$E$40</f>
        <v/>
      </c>
      <c r="DR19" s="180">
        <f>Assumptions!$E$40</f>
        <v/>
      </c>
      <c r="DS19" s="180">
        <f>Simulation!$I$127</f>
        <v/>
      </c>
      <c r="DT19" s="180">
        <f>Simulation!$I$128</f>
        <v/>
      </c>
      <c r="DU19" s="180">
        <f>Simulation!$I$129</f>
        <v/>
      </c>
      <c r="DV19" s="180">
        <f>Simulation!$I$130</f>
        <v/>
      </c>
      <c r="DW19" s="180">
        <f>Simulation!$I$131</f>
        <v/>
      </c>
      <c r="DX19" s="180">
        <f>Simulation!$I$132</f>
        <v/>
      </c>
      <c r="DY19" s="180">
        <f>Simulation!$I$133</f>
        <v/>
      </c>
      <c r="DZ19" s="180">
        <f>Simulation!$I$134</f>
        <v/>
      </c>
      <c r="EA19" s="180">
        <f>Simulation!$I$135</f>
        <v/>
      </c>
      <c r="EB19" s="180">
        <f>Simulation!$I$136</f>
        <v/>
      </c>
      <c r="EC19" s="180">
        <f>Simulation!$I$137</f>
        <v/>
      </c>
      <c r="ED19" s="180">
        <f>Simulation!$I$138</f>
        <v/>
      </c>
      <c r="EE19" s="180">
        <f>Simulation!$I$139</f>
        <v/>
      </c>
      <c r="EF19" s="180">
        <f>Simulation!$I$140</f>
        <v/>
      </c>
      <c r="EG19" s="180">
        <f>Simulation!$I$141</f>
        <v/>
      </c>
      <c r="EH19" s="180">
        <f>Simulation!$I$142</f>
        <v/>
      </c>
      <c r="EI19" s="180">
        <f>Simulation!$I$143</f>
        <v/>
      </c>
      <c r="EJ19" s="180">
        <f>Simulation!$I$144</f>
        <v/>
      </c>
      <c r="EK19" s="180">
        <f>Simulation!$I$145</f>
        <v/>
      </c>
      <c r="EL19" s="180">
        <f>Simulation!$I$146</f>
        <v/>
      </c>
      <c r="EM19" s="180">
        <f>Simulation!$I$147</f>
        <v/>
      </c>
      <c r="EN19" s="180">
        <f>Simulation!$I$148</f>
        <v/>
      </c>
      <c r="EO19" s="180">
        <f>Simulation!$I$149</f>
        <v/>
      </c>
      <c r="EP19" s="180">
        <f>Simulation!$I$150</f>
        <v/>
      </c>
      <c r="EQ19" s="180">
        <f>Simulation!$I$151</f>
        <v/>
      </c>
      <c r="ER19" s="180">
        <f>Simulation!$I$152</f>
        <v/>
      </c>
      <c r="ES19" s="180">
        <f>Simulation!$I$153</f>
        <v/>
      </c>
      <c r="ET19" s="180">
        <f>Simulation!$I$154</f>
        <v/>
      </c>
      <c r="EU19" s="180">
        <f>Simulation!$I$155</f>
        <v/>
      </c>
      <c r="EV19" s="180">
        <f>Simulation!$I$156</f>
        <v/>
      </c>
      <c r="EW19" s="180">
        <f>Simulation!$I$157</f>
        <v/>
      </c>
      <c r="EX19" s="180">
        <f>Simulation!$I$158</f>
        <v/>
      </c>
      <c r="EY19" s="180">
        <f>Simulation!$I$159</f>
        <v/>
      </c>
      <c r="EZ19" s="180">
        <f>Simulation!$I$160</f>
        <v/>
      </c>
      <c r="FA19" s="180">
        <f>Simulation!$I$161</f>
        <v/>
      </c>
      <c r="FB19" s="180">
        <f>Simulation!$I$162</f>
        <v/>
      </c>
      <c r="FC19" s="180">
        <f>Simulation!$I$163</f>
        <v/>
      </c>
      <c r="FD19" s="180">
        <f>Simulation!$I$164</f>
        <v/>
      </c>
      <c r="FE19" s="180">
        <f>Simulation!$I$165</f>
        <v/>
      </c>
      <c r="FF19" s="180">
        <f>Simulation!$I$166</f>
        <v/>
      </c>
      <c r="FG19" s="180">
        <f>Simulation!$I$167</f>
        <v/>
      </c>
      <c r="FH19" s="180">
        <f>Simulation!$I$168</f>
        <v/>
      </c>
      <c r="FI19" s="180">
        <f>Simulation!$I$169</f>
        <v/>
      </c>
      <c r="FJ19" s="180">
        <f>Simulation!$I$170</f>
        <v/>
      </c>
      <c r="FK19" s="180">
        <f>Simulation!$I$171</f>
        <v/>
      </c>
      <c r="FL19" s="180">
        <f>Simulation!$I$172</f>
        <v/>
      </c>
      <c r="FM19" s="180">
        <f>Simulation!$I$173</f>
        <v/>
      </c>
      <c r="FN19" s="180">
        <f>Simulation!$I$174</f>
        <v/>
      </c>
      <c r="FO19" s="180">
        <f>Simulation!$I$175</f>
        <v/>
      </c>
      <c r="FP19" s="180">
        <f>Simulation!$I$176</f>
        <v/>
      </c>
      <c r="FQ19" s="180">
        <f>Simulation!$I$177</f>
        <v/>
      </c>
      <c r="FR19" s="180">
        <f>Simulation!$I$178</f>
        <v/>
      </c>
      <c r="FS19" s="180">
        <f>Simulation!$I$179</f>
        <v/>
      </c>
      <c r="FT19" s="180">
        <f>Simulation!$I$180</f>
        <v/>
      </c>
      <c r="FU19" s="180">
        <f>Simulation!$I$181</f>
        <v/>
      </c>
      <c r="FV19" s="180">
        <f>Simulation!$I$182</f>
        <v/>
      </c>
      <c r="FW19" s="180">
        <f>Simulation!$I$183</f>
        <v/>
      </c>
      <c r="FX19" s="180">
        <f>Simulation!$I$184</f>
        <v/>
      </c>
      <c r="FY19" s="180">
        <f>Simulation!$I$185</f>
        <v/>
      </c>
      <c r="FZ19" s="180">
        <f>Simulation!$I$186</f>
        <v/>
      </c>
      <c r="GA19" s="180">
        <f>Simulation!$I$187</f>
        <v/>
      </c>
      <c r="GB19" s="180">
        <f>Simulation!$I$188</f>
        <v/>
      </c>
      <c r="GC19" s="180">
        <f>Simulation!$I$189</f>
        <v/>
      </c>
      <c r="GD19" s="180">
        <f>Simulation!$I$190</f>
        <v/>
      </c>
      <c r="GE19" s="180">
        <f>Simulation!$I$191</f>
        <v/>
      </c>
      <c r="GF19" s="180">
        <f>Simulation!$I$192</f>
        <v/>
      </c>
      <c r="GG19" s="180">
        <f>Simulation!$I$193</f>
        <v/>
      </c>
      <c r="GH19" s="180">
        <f>Simulation!$I$194</f>
        <v/>
      </c>
      <c r="GI19" s="180">
        <f>Simulation!$I$195</f>
        <v/>
      </c>
      <c r="GJ19" s="180">
        <f>Simulation!$I$196</f>
        <v/>
      </c>
      <c r="GK19" s="180">
        <f>Simulation!$I$197</f>
        <v/>
      </c>
      <c r="GL19" s="180">
        <f>Simulation!$I$198</f>
        <v/>
      </c>
      <c r="GM19" s="180">
        <f>Simulation!$I$199</f>
        <v/>
      </c>
      <c r="GN19" s="180">
        <f>Simulation!$I$200</f>
        <v/>
      </c>
      <c r="GO19" s="180">
        <f>Simulation!$I$201</f>
        <v/>
      </c>
      <c r="GP19" s="180">
        <f>Simulation!$I$202</f>
        <v/>
      </c>
      <c r="GQ19" s="180">
        <f>Simulation!$I$203</f>
        <v/>
      </c>
      <c r="GR19" s="180">
        <f>Simulation!$I$204</f>
        <v/>
      </c>
      <c r="GS19" s="180">
        <f>Simulation!$I$205</f>
        <v/>
      </c>
      <c r="GT19" s="180">
        <f>Simulation!$I$206</f>
        <v/>
      </c>
      <c r="GU19" s="180">
        <f>Simulation!$I$207</f>
        <v/>
      </c>
      <c r="GV19" s="180">
        <f>Simulation!$I$208</f>
        <v/>
      </c>
      <c r="GW19" s="180">
        <f>Simulation!$I$209</f>
        <v/>
      </c>
      <c r="GX19" s="180">
        <f>Simulation!$I$210</f>
        <v/>
      </c>
      <c r="GY19" s="180">
        <f>Simulation!$I$211</f>
        <v/>
      </c>
      <c r="GZ19" s="180">
        <f>Simulation!$I$212</f>
        <v/>
      </c>
      <c r="HA19" s="180">
        <f>Simulation!$I$213</f>
        <v/>
      </c>
      <c r="HB19" s="180">
        <f>Simulation!$I$214</f>
        <v/>
      </c>
      <c r="HC19" s="180">
        <f>Simulation!$I$215</f>
        <v/>
      </c>
      <c r="HD19" s="180">
        <f>Simulation!$I$216</f>
        <v/>
      </c>
      <c r="HE19" s="180">
        <f>Simulation!$I$217</f>
        <v/>
      </c>
      <c r="HF19" s="180">
        <f>Simulation!$I$218</f>
        <v/>
      </c>
      <c r="HG19" s="180">
        <f>Simulation!$I$219</f>
        <v/>
      </c>
      <c r="HH19" s="180">
        <f>Simulation!$I$220</f>
        <v/>
      </c>
      <c r="HI19" s="180">
        <f>Simulation!$I$221</f>
        <v/>
      </c>
      <c r="HJ19" s="180">
        <f>Simulation!$I$222</f>
        <v/>
      </c>
      <c r="HK19" s="180">
        <f>Simulation!$I$223</f>
        <v/>
      </c>
      <c r="HL19" s="180">
        <f>Simulation!$I$224</f>
        <v/>
      </c>
      <c r="HM19" s="180">
        <f>Simulation!$I$225</f>
        <v/>
      </c>
      <c r="HN19" s="180">
        <f>Simulation!$I$226</f>
        <v/>
      </c>
      <c r="HO19" s="180">
        <f>Simulation!$I$227</f>
        <v/>
      </c>
      <c r="HP19" s="180">
        <f>Simulation!$I$228</f>
        <v/>
      </c>
      <c r="HQ19" s="180">
        <f>Simulation!$I$229</f>
        <v/>
      </c>
      <c r="HR19" s="180">
        <f>Simulation!$I$230</f>
        <v/>
      </c>
      <c r="HS19" s="180">
        <f>Simulation!$I$231</f>
        <v/>
      </c>
      <c r="HT19" s="180">
        <f>Simulation!$I$232</f>
        <v/>
      </c>
      <c r="HU19" s="180">
        <f>Simulation!$I$233</f>
        <v/>
      </c>
      <c r="HV19" s="180">
        <f>Simulation!$I$234</f>
        <v/>
      </c>
      <c r="HW19" s="180">
        <f>Simulation!$I$235</f>
        <v/>
      </c>
      <c r="HX19" s="180">
        <f>Simulation!$I$236</f>
        <v/>
      </c>
      <c r="HY19" s="180">
        <f>Simulation!$I$237</f>
        <v/>
      </c>
      <c r="HZ19" s="180">
        <f>Simulation!$I$238</f>
        <v/>
      </c>
      <c r="IA19" s="180">
        <f>Simulation!$I$239</f>
        <v/>
      </c>
      <c r="IB19" s="180">
        <f>Simulation!$I$240</f>
        <v/>
      </c>
      <c r="IC19" s="180">
        <f>Simulation!$I$241</f>
        <v/>
      </c>
      <c r="ID19" s="180">
        <f>Simulation!$I$242</f>
        <v/>
      </c>
      <c r="IE19" s="180">
        <f>Simulation!$I$243</f>
        <v/>
      </c>
      <c r="IF19" s="180">
        <f>Simulation!$I$244</f>
        <v/>
      </c>
      <c r="IG19" s="180">
        <f>Simulation!$I$245</f>
        <v/>
      </c>
      <c r="IH19" s="180">
        <f>Simulation!$I$246</f>
        <v/>
      </c>
      <c r="II19" s="180">
        <f>Simulation!$I$247</f>
        <v/>
      </c>
      <c r="IJ19" s="180">
        <f>Simulation!$I$248</f>
        <v/>
      </c>
      <c r="IK19" s="180">
        <f>Simulation!$I$249</f>
        <v/>
      </c>
      <c r="IL19" s="180">
        <f>Simulation!$I$250</f>
        <v/>
      </c>
      <c r="IM19" s="180">
        <f>Simulation!$I$251</f>
        <v/>
      </c>
      <c r="IN19" s="180">
        <f>Simulation!$I$252</f>
        <v/>
      </c>
      <c r="IO19" s="180">
        <f>Simulation!$I$253</f>
        <v/>
      </c>
      <c r="IP19" s="180">
        <f>Simulation!$I$254</f>
        <v/>
      </c>
      <c r="IQ19" s="180">
        <f>Simulation!$I$255</f>
        <v/>
      </c>
      <c r="IR19" s="180">
        <f>Simulation!$I$256</f>
        <v/>
      </c>
      <c r="IS19" s="180">
        <f>Simulation!$I$257</f>
        <v/>
      </c>
      <c r="IT19" s="180">
        <f>Simulation!$I$258</f>
        <v/>
      </c>
      <c r="IU19" s="180">
        <f>Simulation!$I$259</f>
        <v/>
      </c>
      <c r="IV19" s="180">
        <f>Simulation!$I$260</f>
        <v/>
      </c>
      <c r="IW19" s="180">
        <f>Simulation!$I$261</f>
        <v/>
      </c>
      <c r="IX19" s="180">
        <f>Simulation!$I$262</f>
        <v/>
      </c>
      <c r="IY19" s="180">
        <f>Simulation!$I$263</f>
        <v/>
      </c>
      <c r="IZ19" s="180">
        <f>Simulation!$I$264</f>
        <v/>
      </c>
      <c r="JA19" s="180">
        <f>Simulation!$I$265</f>
        <v/>
      </c>
      <c r="JB19" s="180">
        <f>Simulation!$I$266</f>
        <v/>
      </c>
      <c r="JC19" s="180">
        <f>Simulation!$I$267</f>
        <v/>
      </c>
      <c r="JD19" s="180">
        <f>Simulation!$I$268</f>
        <v/>
      </c>
      <c r="JE19" s="180">
        <f>Simulation!$I$269</f>
        <v/>
      </c>
      <c r="JF19" s="180">
        <f>Simulation!$I$270</f>
        <v/>
      </c>
      <c r="JG19" s="180">
        <f>Simulation!$I$271</f>
        <v/>
      </c>
      <c r="JH19" s="180">
        <f>Simulation!$I$272</f>
        <v/>
      </c>
      <c r="JI19" s="180">
        <f>Simulation!$I$273</f>
        <v/>
      </c>
      <c r="JJ19" s="180">
        <f>Simulation!$I$274</f>
        <v/>
      </c>
      <c r="JK19" s="180">
        <f>Simulation!$I$275</f>
        <v/>
      </c>
      <c r="JL19" s="180">
        <f>Simulation!$I$276</f>
        <v/>
      </c>
      <c r="JM19" s="180">
        <f>Simulation!$I$277</f>
        <v/>
      </c>
      <c r="JN19" s="180">
        <f>Simulation!$I$278</f>
        <v/>
      </c>
      <c r="JO19" s="180">
        <f>Simulation!$I$279</f>
        <v/>
      </c>
      <c r="JP19" s="180">
        <f>Simulation!$I$280</f>
        <v/>
      </c>
      <c r="JQ19" s="180">
        <f>Simulation!$I$281</f>
        <v/>
      </c>
      <c r="JR19" s="180">
        <f>Simulation!$I$282</f>
        <v/>
      </c>
      <c r="JS19" s="180">
        <f>Simulation!$I$283</f>
        <v/>
      </c>
      <c r="JT19" s="180">
        <f>Simulation!$I$284</f>
        <v/>
      </c>
      <c r="JU19" s="180">
        <f>Simulation!$I$285</f>
        <v/>
      </c>
      <c r="JV19" s="180">
        <f>Simulation!$I$286</f>
        <v/>
      </c>
      <c r="JW19" s="180">
        <f>Simulation!$I$287</f>
        <v/>
      </c>
      <c r="JX19" s="180">
        <f>Simulation!$I$288</f>
        <v/>
      </c>
      <c r="JY19" s="180">
        <f>Simulation!$I$289</f>
        <v/>
      </c>
      <c r="JZ19" s="180">
        <f>Simulation!$I$290</f>
        <v/>
      </c>
      <c r="KA19" s="180">
        <f>Simulation!$I$291</f>
        <v/>
      </c>
      <c r="KB19" s="180">
        <f>Simulation!$I$292</f>
        <v/>
      </c>
      <c r="KC19" s="180">
        <f>Simulation!$I$293</f>
        <v/>
      </c>
      <c r="KD19" s="180">
        <f>Simulation!$I$294</f>
        <v/>
      </c>
      <c r="KE19" s="180">
        <f>Simulation!$I$295</f>
        <v/>
      </c>
      <c r="KF19" s="180">
        <f>Simulation!$I$296</f>
        <v/>
      </c>
      <c r="KG19" s="180">
        <f>Simulation!$I$297</f>
        <v/>
      </c>
      <c r="KH19" s="180">
        <f>Simulation!$I$298</f>
        <v/>
      </c>
      <c r="KI19" s="180">
        <f>Simulation!$I$299</f>
        <v/>
      </c>
      <c r="KJ19" s="180">
        <f>Simulation!$I$300</f>
        <v/>
      </c>
      <c r="KK19" s="180">
        <f>Simulation!$I$301</f>
        <v/>
      </c>
      <c r="KL19" s="180">
        <f>Simulation!$I$302</f>
        <v/>
      </c>
      <c r="KM19" s="180">
        <f>Simulation!$I$303</f>
        <v/>
      </c>
      <c r="KN19" s="180">
        <f>Simulation!$I$304</f>
        <v/>
      </c>
      <c r="KO19" s="180">
        <f>Simulation!$I$305</f>
        <v/>
      </c>
      <c r="KP19" s="180">
        <f>Simulation!$I$306</f>
        <v/>
      </c>
    </row>
    <row r="20" ht="16" customHeight="1" s="133">
      <c r="A20" s="185" t="inlineStr">
        <is>
          <t>Revenue (EURk)</t>
        </is>
      </c>
      <c r="B20" s="186" t="inlineStr">
        <is>
          <t>EURk</t>
        </is>
      </c>
      <c r="C20" s="187">
        <f>C18*C19/1000</f>
        <v/>
      </c>
      <c r="D20" s="187">
        <f>D18*D19/1000</f>
        <v/>
      </c>
      <c r="E20" s="187">
        <f>E18*E19/1000</f>
        <v/>
      </c>
      <c r="F20" s="187">
        <f>F18*F19/1000</f>
        <v/>
      </c>
      <c r="G20" s="187">
        <f>G18*G19/1000</f>
        <v/>
      </c>
      <c r="H20" s="187">
        <f>H18*H19/1000</f>
        <v/>
      </c>
      <c r="I20" s="187">
        <f>I18*I19/1000</f>
        <v/>
      </c>
      <c r="J20" s="187">
        <f>J18*J19/1000</f>
        <v/>
      </c>
      <c r="K20" s="187">
        <f>K18*K19/1000</f>
        <v/>
      </c>
      <c r="L20" s="187">
        <f>L18*L19/1000</f>
        <v/>
      </c>
      <c r="M20" s="187">
        <f>M18*M19/1000</f>
        <v/>
      </c>
      <c r="N20" s="187">
        <f>N18*N19/1000</f>
        <v/>
      </c>
      <c r="O20" s="187">
        <f>O18*O19/1000</f>
        <v/>
      </c>
      <c r="P20" s="187">
        <f>P18*P19/1000</f>
        <v/>
      </c>
      <c r="Q20" s="187">
        <f>Q18*Q19/1000</f>
        <v/>
      </c>
      <c r="R20" s="187">
        <f>R18*R19/1000</f>
        <v/>
      </c>
      <c r="S20" s="187">
        <f>S18*S19/1000</f>
        <v/>
      </c>
      <c r="T20" s="187">
        <f>T18*T19/1000</f>
        <v/>
      </c>
      <c r="U20" s="187">
        <f>U18*U19/1000</f>
        <v/>
      </c>
      <c r="V20" s="187">
        <f>V18*V19/1000</f>
        <v/>
      </c>
      <c r="W20" s="187">
        <f>W18*W19/1000</f>
        <v/>
      </c>
      <c r="X20" s="187">
        <f>X18*X19/1000</f>
        <v/>
      </c>
      <c r="Y20" s="187">
        <f>Y18*Y19/1000</f>
        <v/>
      </c>
      <c r="Z20" s="187">
        <f>Z18*Z19/1000</f>
        <v/>
      </c>
      <c r="AA20" s="187">
        <f>AA18*AA19/1000</f>
        <v/>
      </c>
      <c r="AB20" s="187">
        <f>AB18*AB19/1000</f>
        <v/>
      </c>
      <c r="AC20" s="187">
        <f>AC18*AC19/1000</f>
        <v/>
      </c>
      <c r="AD20" s="187">
        <f>AD18*AD19/1000</f>
        <v/>
      </c>
      <c r="AE20" s="187">
        <f>AE18*AE19/1000</f>
        <v/>
      </c>
      <c r="AF20" s="187">
        <f>AF18*AF19/1000</f>
        <v/>
      </c>
      <c r="AG20" s="187">
        <f>AG18*AG19/1000</f>
        <v/>
      </c>
      <c r="AH20" s="187">
        <f>AH18*AH19/1000</f>
        <v/>
      </c>
      <c r="AI20" s="187">
        <f>AI18*AI19/1000</f>
        <v/>
      </c>
      <c r="AJ20" s="187">
        <f>AJ18*AJ19/1000</f>
        <v/>
      </c>
      <c r="AK20" s="187">
        <f>AK18*AK19/1000</f>
        <v/>
      </c>
      <c r="AL20" s="187">
        <f>AL18*AL19/1000</f>
        <v/>
      </c>
      <c r="AM20" s="187">
        <f>AM18*AM19/1000</f>
        <v/>
      </c>
      <c r="AN20" s="187">
        <f>AN18*AN19/1000</f>
        <v/>
      </c>
      <c r="AO20" s="187">
        <f>AO18*AO19/1000</f>
        <v/>
      </c>
      <c r="AP20" s="187">
        <f>AP18*AP19/1000</f>
        <v/>
      </c>
      <c r="AQ20" s="187">
        <f>AQ18*AQ19/1000</f>
        <v/>
      </c>
      <c r="AR20" s="187">
        <f>AR18*AR19/1000</f>
        <v/>
      </c>
      <c r="AS20" s="187">
        <f>AS18*AS19/1000</f>
        <v/>
      </c>
      <c r="AT20" s="187">
        <f>AT18*AT19/1000</f>
        <v/>
      </c>
      <c r="AU20" s="187">
        <f>AU18*AU19/1000</f>
        <v/>
      </c>
      <c r="AV20" s="187">
        <f>AV18*AV19/1000</f>
        <v/>
      </c>
      <c r="AW20" s="187">
        <f>AW18*AW19/1000</f>
        <v/>
      </c>
      <c r="AX20" s="187">
        <f>AX18*AX19/1000</f>
        <v/>
      </c>
      <c r="AY20" s="187">
        <f>AY18*AY19/1000</f>
        <v/>
      </c>
      <c r="AZ20" s="187">
        <f>AZ18*AZ19/1000</f>
        <v/>
      </c>
      <c r="BA20" s="187">
        <f>BA18*BA19/1000</f>
        <v/>
      </c>
      <c r="BB20" s="187">
        <f>BB18*BB19/1000</f>
        <v/>
      </c>
      <c r="BC20" s="187">
        <f>BC18*BC19/1000</f>
        <v/>
      </c>
      <c r="BD20" s="187">
        <f>BD18*BD19/1000</f>
        <v/>
      </c>
      <c r="BE20" s="187">
        <f>BE18*BE19/1000</f>
        <v/>
      </c>
      <c r="BF20" s="187">
        <f>BF18*BF19/1000</f>
        <v/>
      </c>
      <c r="BG20" s="187">
        <f>BG18*BG19/1000</f>
        <v/>
      </c>
      <c r="BH20" s="187">
        <f>BH18*BH19/1000</f>
        <v/>
      </c>
      <c r="BI20" s="187">
        <f>BI18*BI19/1000</f>
        <v/>
      </c>
      <c r="BJ20" s="187">
        <f>BJ18*BJ19/1000</f>
        <v/>
      </c>
      <c r="BK20" s="187">
        <f>BK18*BK19/1000</f>
        <v/>
      </c>
      <c r="BL20" s="187">
        <f>BL18*BL19/1000</f>
        <v/>
      </c>
      <c r="BM20" s="187">
        <f>BM18*BM19/1000</f>
        <v/>
      </c>
      <c r="BN20" s="187">
        <f>BN18*BN19/1000</f>
        <v/>
      </c>
      <c r="BO20" s="187">
        <f>BO18*BO19/1000</f>
        <v/>
      </c>
      <c r="BP20" s="187">
        <f>BP18*BP19/1000</f>
        <v/>
      </c>
      <c r="BQ20" s="187">
        <f>BQ18*BQ19/1000</f>
        <v/>
      </c>
      <c r="BR20" s="187">
        <f>BR18*BR19/1000</f>
        <v/>
      </c>
      <c r="BS20" s="187">
        <f>BS18*BS19/1000</f>
        <v/>
      </c>
      <c r="BT20" s="187">
        <f>BT18*BT19/1000</f>
        <v/>
      </c>
      <c r="BU20" s="187">
        <f>BU18*BU19/1000</f>
        <v/>
      </c>
      <c r="BV20" s="187">
        <f>BV18*BV19/1000</f>
        <v/>
      </c>
      <c r="BW20" s="187">
        <f>BW18*BW19/1000</f>
        <v/>
      </c>
      <c r="BX20" s="187">
        <f>BX18*BX19/1000</f>
        <v/>
      </c>
      <c r="BY20" s="187">
        <f>BY18*BY19/1000</f>
        <v/>
      </c>
      <c r="BZ20" s="187">
        <f>BZ18*BZ19/1000</f>
        <v/>
      </c>
      <c r="CA20" s="187">
        <f>CA18*CA19/1000</f>
        <v/>
      </c>
      <c r="CB20" s="187">
        <f>CB18*CB19/1000</f>
        <v/>
      </c>
      <c r="CC20" s="187">
        <f>CC18*CC19/1000</f>
        <v/>
      </c>
      <c r="CD20" s="187">
        <f>CD18*CD19/1000</f>
        <v/>
      </c>
      <c r="CE20" s="187">
        <f>CE18*CE19/1000</f>
        <v/>
      </c>
      <c r="CF20" s="187">
        <f>CF18*CF19/1000</f>
        <v/>
      </c>
      <c r="CG20" s="187">
        <f>CG18*CG19/1000</f>
        <v/>
      </c>
      <c r="CH20" s="187">
        <f>CH18*CH19/1000</f>
        <v/>
      </c>
      <c r="CI20" s="187">
        <f>CI18*CI19/1000</f>
        <v/>
      </c>
      <c r="CJ20" s="187">
        <f>CJ18*CJ19/1000</f>
        <v/>
      </c>
      <c r="CK20" s="187">
        <f>CK18*CK19/1000</f>
        <v/>
      </c>
      <c r="CL20" s="187">
        <f>CL18*CL19/1000</f>
        <v/>
      </c>
      <c r="CM20" s="187">
        <f>CM18*CM19/1000</f>
        <v/>
      </c>
      <c r="CN20" s="187">
        <f>CN18*CN19/1000</f>
        <v/>
      </c>
      <c r="CO20" s="187">
        <f>CO18*CO19/1000</f>
        <v/>
      </c>
      <c r="CP20" s="187">
        <f>CP18*CP19/1000</f>
        <v/>
      </c>
      <c r="CQ20" s="187">
        <f>CQ18*CQ19/1000</f>
        <v/>
      </c>
      <c r="CR20" s="187">
        <f>CR18*CR19/1000</f>
        <v/>
      </c>
      <c r="CS20" s="187">
        <f>CS18*CS19/1000</f>
        <v/>
      </c>
      <c r="CT20" s="187">
        <f>CT18*CT19/1000</f>
        <v/>
      </c>
      <c r="CU20" s="187">
        <f>CU18*CU19/1000</f>
        <v/>
      </c>
      <c r="CV20" s="187">
        <f>CV18*CV19/1000</f>
        <v/>
      </c>
      <c r="CW20" s="187">
        <f>CW18*CW19/1000</f>
        <v/>
      </c>
      <c r="CX20" s="187">
        <f>CX18*CX19/1000</f>
        <v/>
      </c>
      <c r="CY20" s="187">
        <f>CY18*CY19/1000</f>
        <v/>
      </c>
      <c r="CZ20" s="187">
        <f>CZ18*CZ19/1000</f>
        <v/>
      </c>
      <c r="DA20" s="187">
        <f>DA18*DA19/1000</f>
        <v/>
      </c>
      <c r="DB20" s="187">
        <f>DB18*DB19/1000</f>
        <v/>
      </c>
      <c r="DC20" s="187">
        <f>DC18*DC19/1000</f>
        <v/>
      </c>
      <c r="DD20" s="187">
        <f>DD18*DD19/1000</f>
        <v/>
      </c>
      <c r="DE20" s="187">
        <f>DE18*DE19/1000</f>
        <v/>
      </c>
      <c r="DF20" s="187">
        <f>DF18*DF19/1000</f>
        <v/>
      </c>
      <c r="DG20" s="187">
        <f>DG18*DG19/1000</f>
        <v/>
      </c>
      <c r="DH20" s="187">
        <f>DH18*DH19/1000</f>
        <v/>
      </c>
      <c r="DI20" s="187">
        <f>DI18*DI19/1000</f>
        <v/>
      </c>
      <c r="DJ20" s="187">
        <f>DJ18*DJ19/1000</f>
        <v/>
      </c>
      <c r="DK20" s="187">
        <f>DK18*DK19/1000</f>
        <v/>
      </c>
      <c r="DL20" s="187">
        <f>DL18*DL19/1000</f>
        <v/>
      </c>
      <c r="DM20" s="187">
        <f>DM18*DM19/1000</f>
        <v/>
      </c>
      <c r="DN20" s="187">
        <f>DN18*DN19/1000</f>
        <v/>
      </c>
      <c r="DO20" s="187">
        <f>DO18*DO19/1000</f>
        <v/>
      </c>
      <c r="DP20" s="187">
        <f>DP18*DP19/1000</f>
        <v/>
      </c>
      <c r="DQ20" s="187">
        <f>DQ18*DQ19/1000</f>
        <v/>
      </c>
      <c r="DR20" s="187">
        <f>DR18*DR19/1000</f>
        <v/>
      </c>
      <c r="DS20" s="187">
        <f>DS18*DS19/1000</f>
        <v/>
      </c>
      <c r="DT20" s="187">
        <f>DT18*DT19/1000</f>
        <v/>
      </c>
      <c r="DU20" s="187">
        <f>DU18*DU19/1000</f>
        <v/>
      </c>
      <c r="DV20" s="187">
        <f>DV18*DV19/1000</f>
        <v/>
      </c>
      <c r="DW20" s="187">
        <f>DW18*DW19/1000</f>
        <v/>
      </c>
      <c r="DX20" s="187">
        <f>DX18*DX19/1000</f>
        <v/>
      </c>
      <c r="DY20" s="187">
        <f>DY18*DY19/1000</f>
        <v/>
      </c>
      <c r="DZ20" s="187">
        <f>DZ18*DZ19/1000</f>
        <v/>
      </c>
      <c r="EA20" s="187">
        <f>EA18*EA19/1000</f>
        <v/>
      </c>
      <c r="EB20" s="187">
        <f>EB18*EB19/1000</f>
        <v/>
      </c>
      <c r="EC20" s="187">
        <f>EC18*EC19/1000</f>
        <v/>
      </c>
      <c r="ED20" s="187">
        <f>ED18*ED19/1000</f>
        <v/>
      </c>
      <c r="EE20" s="187">
        <f>EE18*EE19/1000</f>
        <v/>
      </c>
      <c r="EF20" s="187">
        <f>EF18*EF19/1000</f>
        <v/>
      </c>
      <c r="EG20" s="187">
        <f>EG18*EG19/1000</f>
        <v/>
      </c>
      <c r="EH20" s="187">
        <f>EH18*EH19/1000</f>
        <v/>
      </c>
      <c r="EI20" s="187">
        <f>EI18*EI19/1000</f>
        <v/>
      </c>
      <c r="EJ20" s="187">
        <f>EJ18*EJ19/1000</f>
        <v/>
      </c>
      <c r="EK20" s="187">
        <f>EK18*EK19/1000</f>
        <v/>
      </c>
      <c r="EL20" s="187">
        <f>EL18*EL19/1000</f>
        <v/>
      </c>
      <c r="EM20" s="187">
        <f>EM18*EM19/1000</f>
        <v/>
      </c>
      <c r="EN20" s="187">
        <f>EN18*EN19/1000</f>
        <v/>
      </c>
      <c r="EO20" s="187">
        <f>EO18*EO19/1000</f>
        <v/>
      </c>
      <c r="EP20" s="187">
        <f>EP18*EP19/1000</f>
        <v/>
      </c>
      <c r="EQ20" s="187">
        <f>EQ18*EQ19/1000</f>
        <v/>
      </c>
      <c r="ER20" s="187">
        <f>ER18*ER19/1000</f>
        <v/>
      </c>
      <c r="ES20" s="187">
        <f>ES18*ES19/1000</f>
        <v/>
      </c>
      <c r="ET20" s="187">
        <f>ET18*ET19/1000</f>
        <v/>
      </c>
      <c r="EU20" s="187">
        <f>EU18*EU19/1000</f>
        <v/>
      </c>
      <c r="EV20" s="187">
        <f>EV18*EV19/1000</f>
        <v/>
      </c>
      <c r="EW20" s="187">
        <f>EW18*EW19/1000</f>
        <v/>
      </c>
      <c r="EX20" s="187">
        <f>EX18*EX19/1000</f>
        <v/>
      </c>
      <c r="EY20" s="187">
        <f>EY18*EY19/1000</f>
        <v/>
      </c>
      <c r="EZ20" s="187">
        <f>EZ18*EZ19/1000</f>
        <v/>
      </c>
      <c r="FA20" s="187">
        <f>FA18*FA19/1000</f>
        <v/>
      </c>
      <c r="FB20" s="187">
        <f>FB18*FB19/1000</f>
        <v/>
      </c>
      <c r="FC20" s="187">
        <f>FC18*FC19/1000</f>
        <v/>
      </c>
      <c r="FD20" s="187">
        <f>FD18*FD19/1000</f>
        <v/>
      </c>
      <c r="FE20" s="187">
        <f>FE18*FE19/1000</f>
        <v/>
      </c>
      <c r="FF20" s="187">
        <f>FF18*FF19/1000</f>
        <v/>
      </c>
      <c r="FG20" s="187">
        <f>FG18*FG19/1000</f>
        <v/>
      </c>
      <c r="FH20" s="187">
        <f>FH18*FH19/1000</f>
        <v/>
      </c>
      <c r="FI20" s="187">
        <f>FI18*FI19/1000</f>
        <v/>
      </c>
      <c r="FJ20" s="187">
        <f>FJ18*FJ19/1000</f>
        <v/>
      </c>
      <c r="FK20" s="187">
        <f>FK18*FK19/1000</f>
        <v/>
      </c>
      <c r="FL20" s="187">
        <f>FL18*FL19/1000</f>
        <v/>
      </c>
      <c r="FM20" s="187">
        <f>FM18*FM19/1000</f>
        <v/>
      </c>
      <c r="FN20" s="187">
        <f>FN18*FN19/1000</f>
        <v/>
      </c>
      <c r="FO20" s="187">
        <f>FO18*FO19/1000</f>
        <v/>
      </c>
      <c r="FP20" s="187">
        <f>FP18*FP19/1000</f>
        <v/>
      </c>
      <c r="FQ20" s="187">
        <f>FQ18*FQ19/1000</f>
        <v/>
      </c>
      <c r="FR20" s="187">
        <f>FR18*FR19/1000</f>
        <v/>
      </c>
      <c r="FS20" s="187">
        <f>FS18*FS19/1000</f>
        <v/>
      </c>
      <c r="FT20" s="187">
        <f>FT18*FT19/1000</f>
        <v/>
      </c>
      <c r="FU20" s="187">
        <f>FU18*FU19/1000</f>
        <v/>
      </c>
      <c r="FV20" s="187">
        <f>FV18*FV19/1000</f>
        <v/>
      </c>
      <c r="FW20" s="187">
        <f>FW18*FW19/1000</f>
        <v/>
      </c>
      <c r="FX20" s="187">
        <f>FX18*FX19/1000</f>
        <v/>
      </c>
      <c r="FY20" s="187">
        <f>FY18*FY19/1000</f>
        <v/>
      </c>
      <c r="FZ20" s="187">
        <f>FZ18*FZ19/1000</f>
        <v/>
      </c>
      <c r="GA20" s="187">
        <f>GA18*GA19/1000</f>
        <v/>
      </c>
      <c r="GB20" s="187">
        <f>GB18*GB19/1000</f>
        <v/>
      </c>
      <c r="GC20" s="187">
        <f>GC18*GC19/1000</f>
        <v/>
      </c>
      <c r="GD20" s="187">
        <f>GD18*GD19/1000</f>
        <v/>
      </c>
      <c r="GE20" s="187">
        <f>GE18*GE19/1000</f>
        <v/>
      </c>
      <c r="GF20" s="187">
        <f>GF18*GF19/1000</f>
        <v/>
      </c>
      <c r="GG20" s="187">
        <f>GG18*GG19/1000</f>
        <v/>
      </c>
      <c r="GH20" s="187">
        <f>GH18*GH19/1000</f>
        <v/>
      </c>
      <c r="GI20" s="187">
        <f>GI18*GI19/1000</f>
        <v/>
      </c>
      <c r="GJ20" s="187">
        <f>GJ18*GJ19/1000</f>
        <v/>
      </c>
      <c r="GK20" s="187">
        <f>GK18*GK19/1000</f>
        <v/>
      </c>
      <c r="GL20" s="187">
        <f>GL18*GL19/1000</f>
        <v/>
      </c>
      <c r="GM20" s="187">
        <f>GM18*GM19/1000</f>
        <v/>
      </c>
      <c r="GN20" s="187">
        <f>GN18*GN19/1000</f>
        <v/>
      </c>
      <c r="GO20" s="187">
        <f>GO18*GO19/1000</f>
        <v/>
      </c>
      <c r="GP20" s="187">
        <f>GP18*GP19/1000</f>
        <v/>
      </c>
      <c r="GQ20" s="187">
        <f>GQ18*GQ19/1000</f>
        <v/>
      </c>
      <c r="GR20" s="187">
        <f>GR18*GR19/1000</f>
        <v/>
      </c>
      <c r="GS20" s="187">
        <f>GS18*GS19/1000</f>
        <v/>
      </c>
      <c r="GT20" s="187">
        <f>GT18*GT19/1000</f>
        <v/>
      </c>
      <c r="GU20" s="187">
        <f>GU18*GU19/1000</f>
        <v/>
      </c>
      <c r="GV20" s="187">
        <f>GV18*GV19/1000</f>
        <v/>
      </c>
      <c r="GW20" s="187">
        <f>GW18*GW19/1000</f>
        <v/>
      </c>
      <c r="GX20" s="187">
        <f>GX18*GX19/1000</f>
        <v/>
      </c>
      <c r="GY20" s="187">
        <f>GY18*GY19/1000</f>
        <v/>
      </c>
      <c r="GZ20" s="187">
        <f>GZ18*GZ19/1000</f>
        <v/>
      </c>
      <c r="HA20" s="187">
        <f>HA18*HA19/1000</f>
        <v/>
      </c>
      <c r="HB20" s="187">
        <f>HB18*HB19/1000</f>
        <v/>
      </c>
      <c r="HC20" s="187">
        <f>HC18*HC19/1000</f>
        <v/>
      </c>
      <c r="HD20" s="187">
        <f>HD18*HD19/1000</f>
        <v/>
      </c>
      <c r="HE20" s="187">
        <f>HE18*HE19/1000</f>
        <v/>
      </c>
      <c r="HF20" s="187">
        <f>HF18*HF19/1000</f>
        <v/>
      </c>
      <c r="HG20" s="187">
        <f>HG18*HG19/1000</f>
        <v/>
      </c>
      <c r="HH20" s="187">
        <f>HH18*HH19/1000</f>
        <v/>
      </c>
      <c r="HI20" s="187">
        <f>HI18*HI19/1000</f>
        <v/>
      </c>
      <c r="HJ20" s="187">
        <f>HJ18*HJ19/1000</f>
        <v/>
      </c>
      <c r="HK20" s="187">
        <f>HK18*HK19/1000</f>
        <v/>
      </c>
      <c r="HL20" s="187">
        <f>HL18*HL19/1000</f>
        <v/>
      </c>
      <c r="HM20" s="187">
        <f>HM18*HM19/1000</f>
        <v/>
      </c>
      <c r="HN20" s="187">
        <f>HN18*HN19/1000</f>
        <v/>
      </c>
      <c r="HO20" s="187">
        <f>HO18*HO19/1000</f>
        <v/>
      </c>
      <c r="HP20" s="187">
        <f>HP18*HP19/1000</f>
        <v/>
      </c>
      <c r="HQ20" s="187">
        <f>HQ18*HQ19/1000</f>
        <v/>
      </c>
      <c r="HR20" s="187">
        <f>HR18*HR19/1000</f>
        <v/>
      </c>
      <c r="HS20" s="187">
        <f>HS18*HS19/1000</f>
        <v/>
      </c>
      <c r="HT20" s="187">
        <f>HT18*HT19/1000</f>
        <v/>
      </c>
      <c r="HU20" s="187">
        <f>HU18*HU19/1000</f>
        <v/>
      </c>
      <c r="HV20" s="187">
        <f>HV18*HV19/1000</f>
        <v/>
      </c>
      <c r="HW20" s="187">
        <f>HW18*HW19/1000</f>
        <v/>
      </c>
      <c r="HX20" s="187">
        <f>HX18*HX19/1000</f>
        <v/>
      </c>
      <c r="HY20" s="187">
        <f>HY18*HY19/1000</f>
        <v/>
      </c>
      <c r="HZ20" s="187">
        <f>HZ18*HZ19/1000</f>
        <v/>
      </c>
      <c r="IA20" s="187">
        <f>IA18*IA19/1000</f>
        <v/>
      </c>
      <c r="IB20" s="187">
        <f>IB18*IB19/1000</f>
        <v/>
      </c>
      <c r="IC20" s="187">
        <f>IC18*IC19/1000</f>
        <v/>
      </c>
      <c r="ID20" s="187">
        <f>ID18*ID19/1000</f>
        <v/>
      </c>
      <c r="IE20" s="187">
        <f>IE18*IE19/1000</f>
        <v/>
      </c>
      <c r="IF20" s="187">
        <f>IF18*IF19/1000</f>
        <v/>
      </c>
      <c r="IG20" s="187">
        <f>IG18*IG19/1000</f>
        <v/>
      </c>
      <c r="IH20" s="187">
        <f>IH18*IH19/1000</f>
        <v/>
      </c>
      <c r="II20" s="187">
        <f>II18*II19/1000</f>
        <v/>
      </c>
      <c r="IJ20" s="187">
        <f>IJ18*IJ19/1000</f>
        <v/>
      </c>
      <c r="IK20" s="187">
        <f>IK18*IK19/1000</f>
        <v/>
      </c>
      <c r="IL20" s="187">
        <f>IL18*IL19/1000</f>
        <v/>
      </c>
      <c r="IM20" s="187">
        <f>IM18*IM19/1000</f>
        <v/>
      </c>
      <c r="IN20" s="187">
        <f>IN18*IN19/1000</f>
        <v/>
      </c>
      <c r="IO20" s="187">
        <f>IO18*IO19/1000</f>
        <v/>
      </c>
      <c r="IP20" s="187">
        <f>IP18*IP19/1000</f>
        <v/>
      </c>
      <c r="IQ20" s="187">
        <f>IQ18*IQ19/1000</f>
        <v/>
      </c>
      <c r="IR20" s="187">
        <f>IR18*IR19/1000</f>
        <v/>
      </c>
      <c r="IS20" s="187">
        <f>IS18*IS19/1000</f>
        <v/>
      </c>
      <c r="IT20" s="187">
        <f>IT18*IT19/1000</f>
        <v/>
      </c>
      <c r="IU20" s="187">
        <f>IU18*IU19/1000</f>
        <v/>
      </c>
      <c r="IV20" s="187">
        <f>IV18*IV19/1000</f>
        <v/>
      </c>
      <c r="IW20" s="187">
        <f>IW18*IW19/1000</f>
        <v/>
      </c>
      <c r="IX20" s="187">
        <f>IX18*IX19/1000</f>
        <v/>
      </c>
      <c r="IY20" s="187">
        <f>IY18*IY19/1000</f>
        <v/>
      </c>
      <c r="IZ20" s="187">
        <f>IZ18*IZ19/1000</f>
        <v/>
      </c>
      <c r="JA20" s="187">
        <f>JA18*JA19/1000</f>
        <v/>
      </c>
      <c r="JB20" s="187">
        <f>JB18*JB19/1000</f>
        <v/>
      </c>
      <c r="JC20" s="187">
        <f>JC18*JC19/1000</f>
        <v/>
      </c>
      <c r="JD20" s="187">
        <f>JD18*JD19/1000</f>
        <v/>
      </c>
      <c r="JE20" s="187">
        <f>JE18*JE19/1000</f>
        <v/>
      </c>
      <c r="JF20" s="187">
        <f>JF18*JF19/1000</f>
        <v/>
      </c>
      <c r="JG20" s="187">
        <f>JG18*JG19/1000</f>
        <v/>
      </c>
      <c r="JH20" s="187">
        <f>JH18*JH19/1000</f>
        <v/>
      </c>
      <c r="JI20" s="187">
        <f>JI18*JI19/1000</f>
        <v/>
      </c>
      <c r="JJ20" s="187">
        <f>JJ18*JJ19/1000</f>
        <v/>
      </c>
      <c r="JK20" s="187">
        <f>JK18*JK19/1000</f>
        <v/>
      </c>
      <c r="JL20" s="187">
        <f>JL18*JL19/1000</f>
        <v/>
      </c>
      <c r="JM20" s="187">
        <f>JM18*JM19/1000</f>
        <v/>
      </c>
      <c r="JN20" s="187">
        <f>JN18*JN19/1000</f>
        <v/>
      </c>
      <c r="JO20" s="187">
        <f>JO18*JO19/1000</f>
        <v/>
      </c>
      <c r="JP20" s="187">
        <f>JP18*JP19/1000</f>
        <v/>
      </c>
      <c r="JQ20" s="187">
        <f>JQ18*JQ19/1000</f>
        <v/>
      </c>
      <c r="JR20" s="187">
        <f>JR18*JR19/1000</f>
        <v/>
      </c>
      <c r="JS20" s="187">
        <f>JS18*JS19/1000</f>
        <v/>
      </c>
      <c r="JT20" s="187">
        <f>JT18*JT19/1000</f>
        <v/>
      </c>
      <c r="JU20" s="187">
        <f>JU18*JU19/1000</f>
        <v/>
      </c>
      <c r="JV20" s="187">
        <f>JV18*JV19/1000</f>
        <v/>
      </c>
      <c r="JW20" s="187">
        <f>JW18*JW19/1000</f>
        <v/>
      </c>
      <c r="JX20" s="187">
        <f>JX18*JX19/1000</f>
        <v/>
      </c>
      <c r="JY20" s="187">
        <f>JY18*JY19/1000</f>
        <v/>
      </c>
      <c r="JZ20" s="187">
        <f>JZ18*JZ19/1000</f>
        <v/>
      </c>
      <c r="KA20" s="187">
        <f>KA18*KA19/1000</f>
        <v/>
      </c>
      <c r="KB20" s="187">
        <f>KB18*KB19/1000</f>
        <v/>
      </c>
      <c r="KC20" s="187">
        <f>KC18*KC19/1000</f>
        <v/>
      </c>
      <c r="KD20" s="187">
        <f>KD18*KD19/1000</f>
        <v/>
      </c>
      <c r="KE20" s="187">
        <f>KE18*KE19/1000</f>
        <v/>
      </c>
      <c r="KF20" s="187">
        <f>KF18*KF19/1000</f>
        <v/>
      </c>
      <c r="KG20" s="187">
        <f>KG18*KG19/1000</f>
        <v/>
      </c>
      <c r="KH20" s="187">
        <f>KH18*KH19/1000</f>
        <v/>
      </c>
      <c r="KI20" s="187">
        <f>KI18*KI19/1000</f>
        <v/>
      </c>
      <c r="KJ20" s="187">
        <f>KJ18*KJ19/1000</f>
        <v/>
      </c>
      <c r="KK20" s="187">
        <f>KK18*KK19/1000</f>
        <v/>
      </c>
      <c r="KL20" s="187">
        <f>KL18*KL19/1000</f>
        <v/>
      </c>
      <c r="KM20" s="187">
        <f>KM18*KM19/1000</f>
        <v/>
      </c>
      <c r="KN20" s="187">
        <f>KN18*KN19/1000</f>
        <v/>
      </c>
      <c r="KO20" s="187">
        <f>KO18*KO19/1000</f>
        <v/>
      </c>
      <c r="KP20" s="187">
        <f>KP18*KP19/1000</f>
        <v/>
      </c>
    </row>
    <row r="21" ht="16" customHeight="1" s="133">
      <c r="A21" s="177" t="inlineStr">
        <is>
          <t>OPEX (EURk)</t>
        </is>
      </c>
      <c r="B21" s="178" t="inlineStr">
        <is>
          <t>EURk</t>
        </is>
      </c>
      <c r="C21" s="179">
        <f>-Assumptions!$E$35*(1+Assumptions!$E$36)^0/12</f>
        <v/>
      </c>
      <c r="D21" s="179">
        <f>-Assumptions!$E$35*(1+Assumptions!$E$36)^0/12</f>
        <v/>
      </c>
      <c r="E21" s="179">
        <f>-Assumptions!$E$35*(1+Assumptions!$E$36)^0/12</f>
        <v/>
      </c>
      <c r="F21" s="179">
        <f>-Assumptions!$E$35*(1+Assumptions!$E$36)^0/12</f>
        <v/>
      </c>
      <c r="G21" s="179">
        <f>-Assumptions!$E$35*(1+Assumptions!$E$36)^0/12</f>
        <v/>
      </c>
      <c r="H21" s="179">
        <f>-Assumptions!$E$35*(1+Assumptions!$E$36)^0/12</f>
        <v/>
      </c>
      <c r="I21" s="179">
        <f>-Assumptions!$E$35*(1+Assumptions!$E$36)^0/12</f>
        <v/>
      </c>
      <c r="J21" s="179">
        <f>-Assumptions!$E$35*(1+Assumptions!$E$36)^0/12</f>
        <v/>
      </c>
      <c r="K21" s="179">
        <f>-Assumptions!$E$35*(1+Assumptions!$E$36)^0/12</f>
        <v/>
      </c>
      <c r="L21" s="179">
        <f>-Assumptions!$E$35*(1+Assumptions!$E$36)^0/12</f>
        <v/>
      </c>
      <c r="M21" s="179">
        <f>-Assumptions!$E$35*(1+Assumptions!$E$36)^0/12</f>
        <v/>
      </c>
      <c r="N21" s="179">
        <f>-Assumptions!$E$35*(1+Assumptions!$E$36)^0/12</f>
        <v/>
      </c>
      <c r="O21" s="179">
        <f>-Assumptions!$E$35*(1+Assumptions!$E$36)^1/12</f>
        <v/>
      </c>
      <c r="P21" s="179">
        <f>-Assumptions!$E$35*(1+Assumptions!$E$36)^1/12</f>
        <v/>
      </c>
      <c r="Q21" s="179">
        <f>-Assumptions!$E$35*(1+Assumptions!$E$36)^1/12</f>
        <v/>
      </c>
      <c r="R21" s="179">
        <f>-Assumptions!$E$35*(1+Assumptions!$E$36)^1/12</f>
        <v/>
      </c>
      <c r="S21" s="179">
        <f>-Assumptions!$E$35*(1+Assumptions!$E$36)^1/12</f>
        <v/>
      </c>
      <c r="T21" s="179">
        <f>-Assumptions!$E$35*(1+Assumptions!$E$36)^1/12</f>
        <v/>
      </c>
      <c r="U21" s="179">
        <f>-Assumptions!$E$35*(1+Assumptions!$E$36)^1/12</f>
        <v/>
      </c>
      <c r="V21" s="179">
        <f>-Assumptions!$E$35*(1+Assumptions!$E$36)^1/12</f>
        <v/>
      </c>
      <c r="W21" s="179">
        <f>-Assumptions!$E$35*(1+Assumptions!$E$36)^1/12</f>
        <v/>
      </c>
      <c r="X21" s="179">
        <f>-Assumptions!$E$35*(1+Assumptions!$E$36)^1/12</f>
        <v/>
      </c>
      <c r="Y21" s="179">
        <f>-Assumptions!$E$35*(1+Assumptions!$E$36)^1/12</f>
        <v/>
      </c>
      <c r="Z21" s="179">
        <f>-Assumptions!$E$35*(1+Assumptions!$E$36)^1/12</f>
        <v/>
      </c>
      <c r="AA21" s="179">
        <f>-Assumptions!$E$35*(1+Assumptions!$E$36)^2/12</f>
        <v/>
      </c>
      <c r="AB21" s="179">
        <f>-Assumptions!$E$35*(1+Assumptions!$E$36)^2/12</f>
        <v/>
      </c>
      <c r="AC21" s="179">
        <f>-Assumptions!$E$35*(1+Assumptions!$E$36)^2/12</f>
        <v/>
      </c>
      <c r="AD21" s="179">
        <f>-Assumptions!$E$35*(1+Assumptions!$E$36)^2/12</f>
        <v/>
      </c>
      <c r="AE21" s="179">
        <f>-Assumptions!$E$35*(1+Assumptions!$E$36)^2/12</f>
        <v/>
      </c>
      <c r="AF21" s="179">
        <f>-Assumptions!$E$35*(1+Assumptions!$E$36)^2/12</f>
        <v/>
      </c>
      <c r="AG21" s="179">
        <f>-Assumptions!$E$35*(1+Assumptions!$E$36)^2/12</f>
        <v/>
      </c>
      <c r="AH21" s="179">
        <f>-Assumptions!$E$35*(1+Assumptions!$E$36)^2/12</f>
        <v/>
      </c>
      <c r="AI21" s="179">
        <f>-Assumptions!$E$35*(1+Assumptions!$E$36)^2/12</f>
        <v/>
      </c>
      <c r="AJ21" s="179">
        <f>-Assumptions!$E$35*(1+Assumptions!$E$36)^2/12</f>
        <v/>
      </c>
      <c r="AK21" s="179">
        <f>-Assumptions!$E$35*(1+Assumptions!$E$36)^2/12</f>
        <v/>
      </c>
      <c r="AL21" s="179">
        <f>-Assumptions!$E$35*(1+Assumptions!$E$36)^2/12</f>
        <v/>
      </c>
      <c r="AM21" s="179">
        <f>-Assumptions!$E$35*(1+Assumptions!$E$36)^3/12</f>
        <v/>
      </c>
      <c r="AN21" s="179">
        <f>-Assumptions!$E$35*(1+Assumptions!$E$36)^3/12</f>
        <v/>
      </c>
      <c r="AO21" s="179">
        <f>-Assumptions!$E$35*(1+Assumptions!$E$36)^3/12</f>
        <v/>
      </c>
      <c r="AP21" s="179">
        <f>-Assumptions!$E$35*(1+Assumptions!$E$36)^3/12</f>
        <v/>
      </c>
      <c r="AQ21" s="179">
        <f>-Assumptions!$E$35*(1+Assumptions!$E$36)^3/12</f>
        <v/>
      </c>
      <c r="AR21" s="179">
        <f>-Assumptions!$E$35*(1+Assumptions!$E$36)^3/12</f>
        <v/>
      </c>
      <c r="AS21" s="179">
        <f>-Assumptions!$E$35*(1+Assumptions!$E$36)^3/12</f>
        <v/>
      </c>
      <c r="AT21" s="179">
        <f>-Assumptions!$E$35*(1+Assumptions!$E$36)^3/12</f>
        <v/>
      </c>
      <c r="AU21" s="179">
        <f>-Assumptions!$E$35*(1+Assumptions!$E$36)^3/12</f>
        <v/>
      </c>
      <c r="AV21" s="179">
        <f>-Assumptions!$E$35*(1+Assumptions!$E$36)^3/12</f>
        <v/>
      </c>
      <c r="AW21" s="179">
        <f>-Assumptions!$E$35*(1+Assumptions!$E$36)^3/12</f>
        <v/>
      </c>
      <c r="AX21" s="179">
        <f>-Assumptions!$E$35*(1+Assumptions!$E$36)^3/12</f>
        <v/>
      </c>
      <c r="AY21" s="179">
        <f>-Assumptions!$E$35*(1+Assumptions!$E$36)^4/12</f>
        <v/>
      </c>
      <c r="AZ21" s="179">
        <f>-Assumptions!$E$35*(1+Assumptions!$E$36)^4/12</f>
        <v/>
      </c>
      <c r="BA21" s="179">
        <f>-Assumptions!$E$35*(1+Assumptions!$E$36)^4/12</f>
        <v/>
      </c>
      <c r="BB21" s="179">
        <f>-Assumptions!$E$35*(1+Assumptions!$E$36)^4/12</f>
        <v/>
      </c>
      <c r="BC21" s="179">
        <f>-Assumptions!$E$35*(1+Assumptions!$E$36)^4/12</f>
        <v/>
      </c>
      <c r="BD21" s="179">
        <f>-Assumptions!$E$35*(1+Assumptions!$E$36)^4/12</f>
        <v/>
      </c>
      <c r="BE21" s="179">
        <f>-Assumptions!$E$35*(1+Assumptions!$E$36)^4/12</f>
        <v/>
      </c>
      <c r="BF21" s="179">
        <f>-Assumptions!$E$35*(1+Assumptions!$E$36)^4/12</f>
        <v/>
      </c>
      <c r="BG21" s="179">
        <f>-Assumptions!$E$35*(1+Assumptions!$E$36)^4/12</f>
        <v/>
      </c>
      <c r="BH21" s="179">
        <f>-Assumptions!$E$35*(1+Assumptions!$E$36)^4/12</f>
        <v/>
      </c>
      <c r="BI21" s="179">
        <f>-Assumptions!$E$35*(1+Assumptions!$E$36)^4/12</f>
        <v/>
      </c>
      <c r="BJ21" s="179">
        <f>-Assumptions!$E$35*(1+Assumptions!$E$36)^4/12</f>
        <v/>
      </c>
      <c r="BK21" s="179">
        <f>-Assumptions!$E$35*(1+Assumptions!$E$36)^5/12</f>
        <v/>
      </c>
      <c r="BL21" s="179">
        <f>-Assumptions!$E$35*(1+Assumptions!$E$36)^5/12</f>
        <v/>
      </c>
      <c r="BM21" s="179">
        <f>-Assumptions!$E$35*(1+Assumptions!$E$36)^5/12</f>
        <v/>
      </c>
      <c r="BN21" s="179">
        <f>-Assumptions!$E$35*(1+Assumptions!$E$36)^5/12</f>
        <v/>
      </c>
      <c r="BO21" s="179">
        <f>-Assumptions!$E$35*(1+Assumptions!$E$36)^5/12</f>
        <v/>
      </c>
      <c r="BP21" s="179">
        <f>-Assumptions!$E$35*(1+Assumptions!$E$36)^5/12</f>
        <v/>
      </c>
      <c r="BQ21" s="179">
        <f>-Assumptions!$E$35*(1+Assumptions!$E$36)^5/12</f>
        <v/>
      </c>
      <c r="BR21" s="179">
        <f>-Assumptions!$E$35*(1+Assumptions!$E$36)^5/12</f>
        <v/>
      </c>
      <c r="BS21" s="179">
        <f>-Assumptions!$E$35*(1+Assumptions!$E$36)^5/12</f>
        <v/>
      </c>
      <c r="BT21" s="179">
        <f>-Assumptions!$E$35*(1+Assumptions!$E$36)^5/12</f>
        <v/>
      </c>
      <c r="BU21" s="179">
        <f>-Assumptions!$E$35*(1+Assumptions!$E$36)^5/12</f>
        <v/>
      </c>
      <c r="BV21" s="179">
        <f>-Assumptions!$E$35*(1+Assumptions!$E$36)^5/12</f>
        <v/>
      </c>
      <c r="BW21" s="179">
        <f>-Assumptions!$E$35*(1+Assumptions!$E$36)^6/12</f>
        <v/>
      </c>
      <c r="BX21" s="179">
        <f>-Assumptions!$E$35*(1+Assumptions!$E$36)^6/12</f>
        <v/>
      </c>
      <c r="BY21" s="179">
        <f>-Assumptions!$E$35*(1+Assumptions!$E$36)^6/12</f>
        <v/>
      </c>
      <c r="BZ21" s="179">
        <f>-Assumptions!$E$35*(1+Assumptions!$E$36)^6/12</f>
        <v/>
      </c>
      <c r="CA21" s="179">
        <f>-Assumptions!$E$35*(1+Assumptions!$E$36)^6/12</f>
        <v/>
      </c>
      <c r="CB21" s="179">
        <f>-Assumptions!$E$35*(1+Assumptions!$E$36)^6/12</f>
        <v/>
      </c>
      <c r="CC21" s="179">
        <f>-Assumptions!$E$35*(1+Assumptions!$E$36)^6/12</f>
        <v/>
      </c>
      <c r="CD21" s="179">
        <f>-Assumptions!$E$35*(1+Assumptions!$E$36)^6/12</f>
        <v/>
      </c>
      <c r="CE21" s="179">
        <f>-Assumptions!$E$35*(1+Assumptions!$E$36)^6/12</f>
        <v/>
      </c>
      <c r="CF21" s="179">
        <f>-Assumptions!$E$35*(1+Assumptions!$E$36)^6/12</f>
        <v/>
      </c>
      <c r="CG21" s="179">
        <f>-Assumptions!$E$35*(1+Assumptions!$E$36)^6/12</f>
        <v/>
      </c>
      <c r="CH21" s="179">
        <f>-Assumptions!$E$35*(1+Assumptions!$E$36)^6/12</f>
        <v/>
      </c>
      <c r="CI21" s="179">
        <f>-Assumptions!$E$35*(1+Assumptions!$E$36)^7/12</f>
        <v/>
      </c>
      <c r="CJ21" s="179">
        <f>-Assumptions!$E$35*(1+Assumptions!$E$36)^7/12</f>
        <v/>
      </c>
      <c r="CK21" s="179">
        <f>-Assumptions!$E$35*(1+Assumptions!$E$36)^7/12</f>
        <v/>
      </c>
      <c r="CL21" s="179">
        <f>-Assumptions!$E$35*(1+Assumptions!$E$36)^7/12</f>
        <v/>
      </c>
      <c r="CM21" s="179">
        <f>-Assumptions!$E$35*(1+Assumptions!$E$36)^7/12</f>
        <v/>
      </c>
      <c r="CN21" s="179">
        <f>-Assumptions!$E$35*(1+Assumptions!$E$36)^7/12</f>
        <v/>
      </c>
      <c r="CO21" s="179">
        <f>-Assumptions!$E$35*(1+Assumptions!$E$36)^7/12</f>
        <v/>
      </c>
      <c r="CP21" s="179">
        <f>-Assumptions!$E$35*(1+Assumptions!$E$36)^7/12</f>
        <v/>
      </c>
      <c r="CQ21" s="179">
        <f>-Assumptions!$E$35*(1+Assumptions!$E$36)^7/12</f>
        <v/>
      </c>
      <c r="CR21" s="179">
        <f>-Assumptions!$E$35*(1+Assumptions!$E$36)^7/12</f>
        <v/>
      </c>
      <c r="CS21" s="179">
        <f>-Assumptions!$E$35*(1+Assumptions!$E$36)^7/12</f>
        <v/>
      </c>
      <c r="CT21" s="179">
        <f>-Assumptions!$E$35*(1+Assumptions!$E$36)^7/12</f>
        <v/>
      </c>
      <c r="CU21" s="179">
        <f>-Assumptions!$E$35*(1+Assumptions!$E$36)^8/12</f>
        <v/>
      </c>
      <c r="CV21" s="179">
        <f>-Assumptions!$E$35*(1+Assumptions!$E$36)^8/12</f>
        <v/>
      </c>
      <c r="CW21" s="179">
        <f>-Assumptions!$E$35*(1+Assumptions!$E$36)^8/12</f>
        <v/>
      </c>
      <c r="CX21" s="179">
        <f>-Assumptions!$E$35*(1+Assumptions!$E$36)^8/12</f>
        <v/>
      </c>
      <c r="CY21" s="179">
        <f>-Assumptions!$E$35*(1+Assumptions!$E$36)^8/12</f>
        <v/>
      </c>
      <c r="CZ21" s="179">
        <f>-Assumptions!$E$35*(1+Assumptions!$E$36)^8/12</f>
        <v/>
      </c>
      <c r="DA21" s="179">
        <f>-Assumptions!$E$35*(1+Assumptions!$E$36)^8/12</f>
        <v/>
      </c>
      <c r="DB21" s="179">
        <f>-Assumptions!$E$35*(1+Assumptions!$E$36)^8/12</f>
        <v/>
      </c>
      <c r="DC21" s="179">
        <f>-Assumptions!$E$35*(1+Assumptions!$E$36)^8/12</f>
        <v/>
      </c>
      <c r="DD21" s="179">
        <f>-Assumptions!$E$35*(1+Assumptions!$E$36)^8/12</f>
        <v/>
      </c>
      <c r="DE21" s="179">
        <f>-Assumptions!$E$35*(1+Assumptions!$E$36)^8/12</f>
        <v/>
      </c>
      <c r="DF21" s="179">
        <f>-Assumptions!$E$35*(1+Assumptions!$E$36)^8/12</f>
        <v/>
      </c>
      <c r="DG21" s="179">
        <f>-Assumptions!$E$35*(1+Assumptions!$E$36)^9/12</f>
        <v/>
      </c>
      <c r="DH21" s="179">
        <f>-Assumptions!$E$35*(1+Assumptions!$E$36)^9/12</f>
        <v/>
      </c>
      <c r="DI21" s="179">
        <f>-Assumptions!$E$35*(1+Assumptions!$E$36)^9/12</f>
        <v/>
      </c>
      <c r="DJ21" s="179">
        <f>-Assumptions!$E$35*(1+Assumptions!$E$36)^9/12</f>
        <v/>
      </c>
      <c r="DK21" s="179">
        <f>-Assumptions!$E$35*(1+Assumptions!$E$36)^9/12</f>
        <v/>
      </c>
      <c r="DL21" s="179">
        <f>-Assumptions!$E$35*(1+Assumptions!$E$36)^9/12</f>
        <v/>
      </c>
      <c r="DM21" s="179">
        <f>-Assumptions!$E$35*(1+Assumptions!$E$36)^9/12</f>
        <v/>
      </c>
      <c r="DN21" s="179">
        <f>-Assumptions!$E$35*(1+Assumptions!$E$36)^9/12</f>
        <v/>
      </c>
      <c r="DO21" s="179">
        <f>-Assumptions!$E$35*(1+Assumptions!$E$36)^9/12</f>
        <v/>
      </c>
      <c r="DP21" s="179">
        <f>-Assumptions!$E$35*(1+Assumptions!$E$36)^9/12</f>
        <v/>
      </c>
      <c r="DQ21" s="179">
        <f>-Assumptions!$E$35*(1+Assumptions!$E$36)^9/12</f>
        <v/>
      </c>
      <c r="DR21" s="179">
        <f>-Assumptions!$E$35*(1+Assumptions!$E$36)^9/12</f>
        <v/>
      </c>
      <c r="DS21" s="179">
        <f>-Assumptions!$E$35*(1+Assumptions!$E$36)^10/12</f>
        <v/>
      </c>
      <c r="DT21" s="179">
        <f>-Assumptions!$E$35*(1+Assumptions!$E$36)^10/12</f>
        <v/>
      </c>
      <c r="DU21" s="179">
        <f>-Assumptions!$E$35*(1+Assumptions!$E$36)^10/12</f>
        <v/>
      </c>
      <c r="DV21" s="179">
        <f>-Assumptions!$E$35*(1+Assumptions!$E$36)^10/12</f>
        <v/>
      </c>
      <c r="DW21" s="179">
        <f>-Assumptions!$E$35*(1+Assumptions!$E$36)^10/12</f>
        <v/>
      </c>
      <c r="DX21" s="179">
        <f>-Assumptions!$E$35*(1+Assumptions!$E$36)^10/12</f>
        <v/>
      </c>
      <c r="DY21" s="179">
        <f>-Assumptions!$E$35*(1+Assumptions!$E$36)^10/12</f>
        <v/>
      </c>
      <c r="DZ21" s="179">
        <f>-Assumptions!$E$35*(1+Assumptions!$E$36)^10/12</f>
        <v/>
      </c>
      <c r="EA21" s="179">
        <f>-Assumptions!$E$35*(1+Assumptions!$E$36)^10/12</f>
        <v/>
      </c>
      <c r="EB21" s="179">
        <f>-Assumptions!$E$35*(1+Assumptions!$E$36)^10/12</f>
        <v/>
      </c>
      <c r="EC21" s="179">
        <f>-Assumptions!$E$35*(1+Assumptions!$E$36)^10/12</f>
        <v/>
      </c>
      <c r="ED21" s="179">
        <f>-Assumptions!$E$35*(1+Assumptions!$E$36)^10/12</f>
        <v/>
      </c>
      <c r="EE21" s="179">
        <f>-Assumptions!$E$35*(1+Assumptions!$E$36)^11/12</f>
        <v/>
      </c>
      <c r="EF21" s="179">
        <f>-Assumptions!$E$35*(1+Assumptions!$E$36)^11/12</f>
        <v/>
      </c>
      <c r="EG21" s="179">
        <f>-Assumptions!$E$35*(1+Assumptions!$E$36)^11/12</f>
        <v/>
      </c>
      <c r="EH21" s="179">
        <f>-Assumptions!$E$35*(1+Assumptions!$E$36)^11/12</f>
        <v/>
      </c>
      <c r="EI21" s="179">
        <f>-Assumptions!$E$35*(1+Assumptions!$E$36)^11/12</f>
        <v/>
      </c>
      <c r="EJ21" s="179">
        <f>-Assumptions!$E$35*(1+Assumptions!$E$36)^11/12</f>
        <v/>
      </c>
      <c r="EK21" s="179">
        <f>-Assumptions!$E$35*(1+Assumptions!$E$36)^11/12</f>
        <v/>
      </c>
      <c r="EL21" s="179">
        <f>-Assumptions!$E$35*(1+Assumptions!$E$36)^11/12</f>
        <v/>
      </c>
      <c r="EM21" s="179">
        <f>-Assumptions!$E$35*(1+Assumptions!$E$36)^11/12</f>
        <v/>
      </c>
      <c r="EN21" s="179">
        <f>-Assumptions!$E$35*(1+Assumptions!$E$36)^11/12</f>
        <v/>
      </c>
      <c r="EO21" s="179">
        <f>-Assumptions!$E$35*(1+Assumptions!$E$36)^11/12</f>
        <v/>
      </c>
      <c r="EP21" s="179">
        <f>-Assumptions!$E$35*(1+Assumptions!$E$36)^11/12</f>
        <v/>
      </c>
      <c r="EQ21" s="179">
        <f>-Assumptions!$E$35*(1+Assumptions!$E$36)^12/12</f>
        <v/>
      </c>
      <c r="ER21" s="179">
        <f>-Assumptions!$E$35*(1+Assumptions!$E$36)^12/12</f>
        <v/>
      </c>
      <c r="ES21" s="179">
        <f>-Assumptions!$E$35*(1+Assumptions!$E$36)^12/12</f>
        <v/>
      </c>
      <c r="ET21" s="179">
        <f>-Assumptions!$E$35*(1+Assumptions!$E$36)^12/12</f>
        <v/>
      </c>
      <c r="EU21" s="179">
        <f>-Assumptions!$E$35*(1+Assumptions!$E$36)^12/12</f>
        <v/>
      </c>
      <c r="EV21" s="179">
        <f>-Assumptions!$E$35*(1+Assumptions!$E$36)^12/12</f>
        <v/>
      </c>
      <c r="EW21" s="179">
        <f>-Assumptions!$E$35*(1+Assumptions!$E$36)^12/12</f>
        <v/>
      </c>
      <c r="EX21" s="179">
        <f>-Assumptions!$E$35*(1+Assumptions!$E$36)^12/12</f>
        <v/>
      </c>
      <c r="EY21" s="179">
        <f>-Assumptions!$E$35*(1+Assumptions!$E$36)^12/12</f>
        <v/>
      </c>
      <c r="EZ21" s="179">
        <f>-Assumptions!$E$35*(1+Assumptions!$E$36)^12/12</f>
        <v/>
      </c>
      <c r="FA21" s="179">
        <f>-Assumptions!$E$35*(1+Assumptions!$E$36)^12/12</f>
        <v/>
      </c>
      <c r="FB21" s="179">
        <f>-Assumptions!$E$35*(1+Assumptions!$E$36)^12/12</f>
        <v/>
      </c>
      <c r="FC21" s="179">
        <f>-Assumptions!$E$35*(1+Assumptions!$E$36)^13/12</f>
        <v/>
      </c>
      <c r="FD21" s="179">
        <f>-Assumptions!$E$35*(1+Assumptions!$E$36)^13/12</f>
        <v/>
      </c>
      <c r="FE21" s="179">
        <f>-Assumptions!$E$35*(1+Assumptions!$E$36)^13/12</f>
        <v/>
      </c>
      <c r="FF21" s="179">
        <f>-Assumptions!$E$35*(1+Assumptions!$E$36)^13/12</f>
        <v/>
      </c>
      <c r="FG21" s="179">
        <f>-Assumptions!$E$35*(1+Assumptions!$E$36)^13/12</f>
        <v/>
      </c>
      <c r="FH21" s="179">
        <f>-Assumptions!$E$35*(1+Assumptions!$E$36)^13/12</f>
        <v/>
      </c>
      <c r="FI21" s="179">
        <f>-Assumptions!$E$35*(1+Assumptions!$E$36)^13/12</f>
        <v/>
      </c>
      <c r="FJ21" s="179">
        <f>-Assumptions!$E$35*(1+Assumptions!$E$36)^13/12</f>
        <v/>
      </c>
      <c r="FK21" s="179">
        <f>-Assumptions!$E$35*(1+Assumptions!$E$36)^13/12</f>
        <v/>
      </c>
      <c r="FL21" s="179">
        <f>-Assumptions!$E$35*(1+Assumptions!$E$36)^13/12</f>
        <v/>
      </c>
      <c r="FM21" s="179">
        <f>-Assumptions!$E$35*(1+Assumptions!$E$36)^13/12</f>
        <v/>
      </c>
      <c r="FN21" s="179">
        <f>-Assumptions!$E$35*(1+Assumptions!$E$36)^13/12</f>
        <v/>
      </c>
      <c r="FO21" s="179">
        <f>-Assumptions!$E$35*(1+Assumptions!$E$36)^14/12</f>
        <v/>
      </c>
      <c r="FP21" s="179">
        <f>-Assumptions!$E$35*(1+Assumptions!$E$36)^14/12</f>
        <v/>
      </c>
      <c r="FQ21" s="179">
        <f>-Assumptions!$E$35*(1+Assumptions!$E$36)^14/12</f>
        <v/>
      </c>
      <c r="FR21" s="179">
        <f>-Assumptions!$E$35*(1+Assumptions!$E$36)^14/12</f>
        <v/>
      </c>
      <c r="FS21" s="179">
        <f>-Assumptions!$E$35*(1+Assumptions!$E$36)^14/12</f>
        <v/>
      </c>
      <c r="FT21" s="179">
        <f>-Assumptions!$E$35*(1+Assumptions!$E$36)^14/12</f>
        <v/>
      </c>
      <c r="FU21" s="179">
        <f>-Assumptions!$E$35*(1+Assumptions!$E$36)^14/12</f>
        <v/>
      </c>
      <c r="FV21" s="179">
        <f>-Assumptions!$E$35*(1+Assumptions!$E$36)^14/12</f>
        <v/>
      </c>
      <c r="FW21" s="179">
        <f>-Assumptions!$E$35*(1+Assumptions!$E$36)^14/12</f>
        <v/>
      </c>
      <c r="FX21" s="179">
        <f>-Assumptions!$E$35*(1+Assumptions!$E$36)^14/12</f>
        <v/>
      </c>
      <c r="FY21" s="179">
        <f>-Assumptions!$E$35*(1+Assumptions!$E$36)^14/12</f>
        <v/>
      </c>
      <c r="FZ21" s="179">
        <f>-Assumptions!$E$35*(1+Assumptions!$E$36)^14/12</f>
        <v/>
      </c>
      <c r="GA21" s="179">
        <f>-Assumptions!$E$35*(1+Assumptions!$E$36)^15/12</f>
        <v/>
      </c>
      <c r="GB21" s="179">
        <f>-Assumptions!$E$35*(1+Assumptions!$E$36)^15/12</f>
        <v/>
      </c>
      <c r="GC21" s="179">
        <f>-Assumptions!$E$35*(1+Assumptions!$E$36)^15/12</f>
        <v/>
      </c>
      <c r="GD21" s="179">
        <f>-Assumptions!$E$35*(1+Assumptions!$E$36)^15/12</f>
        <v/>
      </c>
      <c r="GE21" s="179">
        <f>-Assumptions!$E$35*(1+Assumptions!$E$36)^15/12</f>
        <v/>
      </c>
      <c r="GF21" s="179">
        <f>-Assumptions!$E$35*(1+Assumptions!$E$36)^15/12</f>
        <v/>
      </c>
      <c r="GG21" s="179">
        <f>-Assumptions!$E$35*(1+Assumptions!$E$36)^15/12</f>
        <v/>
      </c>
      <c r="GH21" s="179">
        <f>-Assumptions!$E$35*(1+Assumptions!$E$36)^15/12</f>
        <v/>
      </c>
      <c r="GI21" s="179">
        <f>-Assumptions!$E$35*(1+Assumptions!$E$36)^15/12</f>
        <v/>
      </c>
      <c r="GJ21" s="179">
        <f>-Assumptions!$E$35*(1+Assumptions!$E$36)^15/12</f>
        <v/>
      </c>
      <c r="GK21" s="179">
        <f>-Assumptions!$E$35*(1+Assumptions!$E$36)^15/12</f>
        <v/>
      </c>
      <c r="GL21" s="179">
        <f>-Assumptions!$E$35*(1+Assumptions!$E$36)^15/12</f>
        <v/>
      </c>
      <c r="GM21" s="179">
        <f>-Assumptions!$E$35*(1+Assumptions!$E$36)^16/12</f>
        <v/>
      </c>
      <c r="GN21" s="179">
        <f>-Assumptions!$E$35*(1+Assumptions!$E$36)^16/12</f>
        <v/>
      </c>
      <c r="GO21" s="179">
        <f>-Assumptions!$E$35*(1+Assumptions!$E$36)^16/12</f>
        <v/>
      </c>
      <c r="GP21" s="179">
        <f>-Assumptions!$E$35*(1+Assumptions!$E$36)^16/12</f>
        <v/>
      </c>
      <c r="GQ21" s="179">
        <f>-Assumptions!$E$35*(1+Assumptions!$E$36)^16/12</f>
        <v/>
      </c>
      <c r="GR21" s="179">
        <f>-Assumptions!$E$35*(1+Assumptions!$E$36)^16/12</f>
        <v/>
      </c>
      <c r="GS21" s="179">
        <f>-Assumptions!$E$35*(1+Assumptions!$E$36)^16/12</f>
        <v/>
      </c>
      <c r="GT21" s="179">
        <f>-Assumptions!$E$35*(1+Assumptions!$E$36)^16/12</f>
        <v/>
      </c>
      <c r="GU21" s="179">
        <f>-Assumptions!$E$35*(1+Assumptions!$E$36)^16/12</f>
        <v/>
      </c>
      <c r="GV21" s="179">
        <f>-Assumptions!$E$35*(1+Assumptions!$E$36)^16/12</f>
        <v/>
      </c>
      <c r="GW21" s="179">
        <f>-Assumptions!$E$35*(1+Assumptions!$E$36)^16/12</f>
        <v/>
      </c>
      <c r="GX21" s="179">
        <f>-Assumptions!$E$35*(1+Assumptions!$E$36)^16/12</f>
        <v/>
      </c>
      <c r="GY21" s="179">
        <f>-Assumptions!$E$35*(1+Assumptions!$E$36)^17/12</f>
        <v/>
      </c>
      <c r="GZ21" s="179">
        <f>-Assumptions!$E$35*(1+Assumptions!$E$36)^17/12</f>
        <v/>
      </c>
      <c r="HA21" s="179">
        <f>-Assumptions!$E$35*(1+Assumptions!$E$36)^17/12</f>
        <v/>
      </c>
      <c r="HB21" s="179">
        <f>-Assumptions!$E$35*(1+Assumptions!$E$36)^17/12</f>
        <v/>
      </c>
      <c r="HC21" s="179">
        <f>-Assumptions!$E$35*(1+Assumptions!$E$36)^17/12</f>
        <v/>
      </c>
      <c r="HD21" s="179">
        <f>-Assumptions!$E$35*(1+Assumptions!$E$36)^17/12</f>
        <v/>
      </c>
      <c r="HE21" s="179">
        <f>-Assumptions!$E$35*(1+Assumptions!$E$36)^17/12</f>
        <v/>
      </c>
      <c r="HF21" s="179">
        <f>-Assumptions!$E$35*(1+Assumptions!$E$36)^17/12</f>
        <v/>
      </c>
      <c r="HG21" s="179">
        <f>-Assumptions!$E$35*(1+Assumptions!$E$36)^17/12</f>
        <v/>
      </c>
      <c r="HH21" s="179">
        <f>-Assumptions!$E$35*(1+Assumptions!$E$36)^17/12</f>
        <v/>
      </c>
      <c r="HI21" s="179">
        <f>-Assumptions!$E$35*(1+Assumptions!$E$36)^17/12</f>
        <v/>
      </c>
      <c r="HJ21" s="179">
        <f>-Assumptions!$E$35*(1+Assumptions!$E$36)^17/12</f>
        <v/>
      </c>
      <c r="HK21" s="179">
        <f>-Assumptions!$E$35*(1+Assumptions!$E$36)^18/12</f>
        <v/>
      </c>
      <c r="HL21" s="179">
        <f>-Assumptions!$E$35*(1+Assumptions!$E$36)^18/12</f>
        <v/>
      </c>
      <c r="HM21" s="179">
        <f>-Assumptions!$E$35*(1+Assumptions!$E$36)^18/12</f>
        <v/>
      </c>
      <c r="HN21" s="179">
        <f>-Assumptions!$E$35*(1+Assumptions!$E$36)^18/12</f>
        <v/>
      </c>
      <c r="HO21" s="179">
        <f>-Assumptions!$E$35*(1+Assumptions!$E$36)^18/12</f>
        <v/>
      </c>
      <c r="HP21" s="179">
        <f>-Assumptions!$E$35*(1+Assumptions!$E$36)^18/12</f>
        <v/>
      </c>
      <c r="HQ21" s="179">
        <f>-Assumptions!$E$35*(1+Assumptions!$E$36)^18/12</f>
        <v/>
      </c>
      <c r="HR21" s="179">
        <f>-Assumptions!$E$35*(1+Assumptions!$E$36)^18/12</f>
        <v/>
      </c>
      <c r="HS21" s="179">
        <f>-Assumptions!$E$35*(1+Assumptions!$E$36)^18/12</f>
        <v/>
      </c>
      <c r="HT21" s="179">
        <f>-Assumptions!$E$35*(1+Assumptions!$E$36)^18/12</f>
        <v/>
      </c>
      <c r="HU21" s="179">
        <f>-Assumptions!$E$35*(1+Assumptions!$E$36)^18/12</f>
        <v/>
      </c>
      <c r="HV21" s="179">
        <f>-Assumptions!$E$35*(1+Assumptions!$E$36)^18/12</f>
        <v/>
      </c>
      <c r="HW21" s="179">
        <f>-Assumptions!$E$35*(1+Assumptions!$E$36)^19/12</f>
        <v/>
      </c>
      <c r="HX21" s="179">
        <f>-Assumptions!$E$35*(1+Assumptions!$E$36)^19/12</f>
        <v/>
      </c>
      <c r="HY21" s="179">
        <f>-Assumptions!$E$35*(1+Assumptions!$E$36)^19/12</f>
        <v/>
      </c>
      <c r="HZ21" s="179">
        <f>-Assumptions!$E$35*(1+Assumptions!$E$36)^19/12</f>
        <v/>
      </c>
      <c r="IA21" s="179">
        <f>-Assumptions!$E$35*(1+Assumptions!$E$36)^19/12</f>
        <v/>
      </c>
      <c r="IB21" s="179">
        <f>-Assumptions!$E$35*(1+Assumptions!$E$36)^19/12</f>
        <v/>
      </c>
      <c r="IC21" s="179">
        <f>-Assumptions!$E$35*(1+Assumptions!$E$36)^19/12</f>
        <v/>
      </c>
      <c r="ID21" s="179">
        <f>-Assumptions!$E$35*(1+Assumptions!$E$36)^19/12</f>
        <v/>
      </c>
      <c r="IE21" s="179">
        <f>-Assumptions!$E$35*(1+Assumptions!$E$36)^19/12</f>
        <v/>
      </c>
      <c r="IF21" s="179">
        <f>-Assumptions!$E$35*(1+Assumptions!$E$36)^19/12</f>
        <v/>
      </c>
      <c r="IG21" s="179">
        <f>-Assumptions!$E$35*(1+Assumptions!$E$36)^19/12</f>
        <v/>
      </c>
      <c r="IH21" s="179">
        <f>-Assumptions!$E$35*(1+Assumptions!$E$36)^19/12</f>
        <v/>
      </c>
      <c r="II21" s="179">
        <f>-Assumptions!$E$35*(1+Assumptions!$E$36)^20/12</f>
        <v/>
      </c>
      <c r="IJ21" s="179">
        <f>-Assumptions!$E$35*(1+Assumptions!$E$36)^20/12</f>
        <v/>
      </c>
      <c r="IK21" s="179">
        <f>-Assumptions!$E$35*(1+Assumptions!$E$36)^20/12</f>
        <v/>
      </c>
      <c r="IL21" s="179">
        <f>-Assumptions!$E$35*(1+Assumptions!$E$36)^20/12</f>
        <v/>
      </c>
      <c r="IM21" s="179">
        <f>-Assumptions!$E$35*(1+Assumptions!$E$36)^20/12</f>
        <v/>
      </c>
      <c r="IN21" s="179">
        <f>-Assumptions!$E$35*(1+Assumptions!$E$36)^20/12</f>
        <v/>
      </c>
      <c r="IO21" s="179">
        <f>-Assumptions!$E$35*(1+Assumptions!$E$36)^20/12</f>
        <v/>
      </c>
      <c r="IP21" s="179">
        <f>-Assumptions!$E$35*(1+Assumptions!$E$36)^20/12</f>
        <v/>
      </c>
      <c r="IQ21" s="179">
        <f>-Assumptions!$E$35*(1+Assumptions!$E$36)^20/12</f>
        <v/>
      </c>
      <c r="IR21" s="179">
        <f>-Assumptions!$E$35*(1+Assumptions!$E$36)^20/12</f>
        <v/>
      </c>
      <c r="IS21" s="179">
        <f>-Assumptions!$E$35*(1+Assumptions!$E$36)^20/12</f>
        <v/>
      </c>
      <c r="IT21" s="179">
        <f>-Assumptions!$E$35*(1+Assumptions!$E$36)^20/12</f>
        <v/>
      </c>
      <c r="IU21" s="179">
        <f>-Assumptions!$E$35*(1+Assumptions!$E$36)^21/12</f>
        <v/>
      </c>
      <c r="IV21" s="179">
        <f>-Assumptions!$E$35*(1+Assumptions!$E$36)^21/12</f>
        <v/>
      </c>
      <c r="IW21" s="179">
        <f>-Assumptions!$E$35*(1+Assumptions!$E$36)^21/12</f>
        <v/>
      </c>
      <c r="IX21" s="179">
        <f>-Assumptions!$E$35*(1+Assumptions!$E$36)^21/12</f>
        <v/>
      </c>
      <c r="IY21" s="179">
        <f>-Assumptions!$E$35*(1+Assumptions!$E$36)^21/12</f>
        <v/>
      </c>
      <c r="IZ21" s="179">
        <f>-Assumptions!$E$35*(1+Assumptions!$E$36)^21/12</f>
        <v/>
      </c>
      <c r="JA21" s="179">
        <f>-Assumptions!$E$35*(1+Assumptions!$E$36)^21/12</f>
        <v/>
      </c>
      <c r="JB21" s="179">
        <f>-Assumptions!$E$35*(1+Assumptions!$E$36)^21/12</f>
        <v/>
      </c>
      <c r="JC21" s="179">
        <f>-Assumptions!$E$35*(1+Assumptions!$E$36)^21/12</f>
        <v/>
      </c>
      <c r="JD21" s="179">
        <f>-Assumptions!$E$35*(1+Assumptions!$E$36)^21/12</f>
        <v/>
      </c>
      <c r="JE21" s="179">
        <f>-Assumptions!$E$35*(1+Assumptions!$E$36)^21/12</f>
        <v/>
      </c>
      <c r="JF21" s="179">
        <f>-Assumptions!$E$35*(1+Assumptions!$E$36)^21/12</f>
        <v/>
      </c>
      <c r="JG21" s="179">
        <f>-Assumptions!$E$35*(1+Assumptions!$E$36)^22/12</f>
        <v/>
      </c>
      <c r="JH21" s="179">
        <f>-Assumptions!$E$35*(1+Assumptions!$E$36)^22/12</f>
        <v/>
      </c>
      <c r="JI21" s="179">
        <f>-Assumptions!$E$35*(1+Assumptions!$E$36)^22/12</f>
        <v/>
      </c>
      <c r="JJ21" s="179">
        <f>-Assumptions!$E$35*(1+Assumptions!$E$36)^22/12</f>
        <v/>
      </c>
      <c r="JK21" s="179">
        <f>-Assumptions!$E$35*(1+Assumptions!$E$36)^22/12</f>
        <v/>
      </c>
      <c r="JL21" s="179">
        <f>-Assumptions!$E$35*(1+Assumptions!$E$36)^22/12</f>
        <v/>
      </c>
      <c r="JM21" s="179">
        <f>-Assumptions!$E$35*(1+Assumptions!$E$36)^22/12</f>
        <v/>
      </c>
      <c r="JN21" s="179">
        <f>-Assumptions!$E$35*(1+Assumptions!$E$36)^22/12</f>
        <v/>
      </c>
      <c r="JO21" s="179">
        <f>-Assumptions!$E$35*(1+Assumptions!$E$36)^22/12</f>
        <v/>
      </c>
      <c r="JP21" s="179">
        <f>-Assumptions!$E$35*(1+Assumptions!$E$36)^22/12</f>
        <v/>
      </c>
      <c r="JQ21" s="179">
        <f>-Assumptions!$E$35*(1+Assumptions!$E$36)^22/12</f>
        <v/>
      </c>
      <c r="JR21" s="179">
        <f>-Assumptions!$E$35*(1+Assumptions!$E$36)^22/12</f>
        <v/>
      </c>
      <c r="JS21" s="179">
        <f>-Assumptions!$E$35*(1+Assumptions!$E$36)^23/12</f>
        <v/>
      </c>
      <c r="JT21" s="179">
        <f>-Assumptions!$E$35*(1+Assumptions!$E$36)^23/12</f>
        <v/>
      </c>
      <c r="JU21" s="179">
        <f>-Assumptions!$E$35*(1+Assumptions!$E$36)^23/12</f>
        <v/>
      </c>
      <c r="JV21" s="179">
        <f>-Assumptions!$E$35*(1+Assumptions!$E$36)^23/12</f>
        <v/>
      </c>
      <c r="JW21" s="179">
        <f>-Assumptions!$E$35*(1+Assumptions!$E$36)^23/12</f>
        <v/>
      </c>
      <c r="JX21" s="179">
        <f>-Assumptions!$E$35*(1+Assumptions!$E$36)^23/12</f>
        <v/>
      </c>
      <c r="JY21" s="179">
        <f>-Assumptions!$E$35*(1+Assumptions!$E$36)^23/12</f>
        <v/>
      </c>
      <c r="JZ21" s="179">
        <f>-Assumptions!$E$35*(1+Assumptions!$E$36)^23/12</f>
        <v/>
      </c>
      <c r="KA21" s="179">
        <f>-Assumptions!$E$35*(1+Assumptions!$E$36)^23/12</f>
        <v/>
      </c>
      <c r="KB21" s="179">
        <f>-Assumptions!$E$35*(1+Assumptions!$E$36)^23/12</f>
        <v/>
      </c>
      <c r="KC21" s="179">
        <f>-Assumptions!$E$35*(1+Assumptions!$E$36)^23/12</f>
        <v/>
      </c>
      <c r="KD21" s="179">
        <f>-Assumptions!$E$35*(1+Assumptions!$E$36)^23/12</f>
        <v/>
      </c>
      <c r="KE21" s="179">
        <f>-Assumptions!$E$35*(1+Assumptions!$E$36)^24/12</f>
        <v/>
      </c>
      <c r="KF21" s="179">
        <f>-Assumptions!$E$35*(1+Assumptions!$E$36)^24/12</f>
        <v/>
      </c>
      <c r="KG21" s="179">
        <f>-Assumptions!$E$35*(1+Assumptions!$E$36)^24/12</f>
        <v/>
      </c>
      <c r="KH21" s="179">
        <f>-Assumptions!$E$35*(1+Assumptions!$E$36)^24/12</f>
        <v/>
      </c>
      <c r="KI21" s="179">
        <f>-Assumptions!$E$35*(1+Assumptions!$E$36)^24/12</f>
        <v/>
      </c>
      <c r="KJ21" s="179">
        <f>-Assumptions!$E$35*(1+Assumptions!$E$36)^24/12</f>
        <v/>
      </c>
      <c r="KK21" s="179">
        <f>-Assumptions!$E$35*(1+Assumptions!$E$36)^24/12</f>
        <v/>
      </c>
      <c r="KL21" s="179">
        <f>-Assumptions!$E$35*(1+Assumptions!$E$36)^24/12</f>
        <v/>
      </c>
      <c r="KM21" s="179">
        <f>-Assumptions!$E$35*(1+Assumptions!$E$36)^24/12</f>
        <v/>
      </c>
      <c r="KN21" s="179">
        <f>-Assumptions!$E$35*(1+Assumptions!$E$36)^24/12</f>
        <v/>
      </c>
      <c r="KO21" s="179">
        <f>-Assumptions!$E$35*(1+Assumptions!$E$36)^24/12</f>
        <v/>
      </c>
      <c r="KP21" s="179">
        <f>-Assumptions!$E$35*(1+Assumptions!$E$36)^24/12</f>
        <v/>
      </c>
    </row>
    <row r="22" ht="16" customHeight="1" s="133">
      <c r="A22" s="185" t="inlineStr">
        <is>
          <t>EBITDA (EURk)</t>
        </is>
      </c>
      <c r="B22" s="186" t="inlineStr">
        <is>
          <t>EURk</t>
        </is>
      </c>
      <c r="C22" s="187">
        <f>C20+C21</f>
        <v/>
      </c>
      <c r="D22" s="187">
        <f>D20+D21</f>
        <v/>
      </c>
      <c r="E22" s="187">
        <f>E20+E21</f>
        <v/>
      </c>
      <c r="F22" s="187">
        <f>F20+F21</f>
        <v/>
      </c>
      <c r="G22" s="187">
        <f>G20+G21</f>
        <v/>
      </c>
      <c r="H22" s="187">
        <f>H20+H21</f>
        <v/>
      </c>
      <c r="I22" s="187">
        <f>I20+I21</f>
        <v/>
      </c>
      <c r="J22" s="187">
        <f>J20+J21</f>
        <v/>
      </c>
      <c r="K22" s="187">
        <f>K20+K21</f>
        <v/>
      </c>
      <c r="L22" s="187">
        <f>L20+L21</f>
        <v/>
      </c>
      <c r="M22" s="187">
        <f>M20+M21</f>
        <v/>
      </c>
      <c r="N22" s="187">
        <f>N20+N21</f>
        <v/>
      </c>
      <c r="O22" s="187">
        <f>O20+O21</f>
        <v/>
      </c>
      <c r="P22" s="187">
        <f>P20+P21</f>
        <v/>
      </c>
      <c r="Q22" s="187">
        <f>Q20+Q21</f>
        <v/>
      </c>
      <c r="R22" s="187">
        <f>R20+R21</f>
        <v/>
      </c>
      <c r="S22" s="187">
        <f>S20+S21</f>
        <v/>
      </c>
      <c r="T22" s="187">
        <f>T20+T21</f>
        <v/>
      </c>
      <c r="U22" s="187">
        <f>U20+U21</f>
        <v/>
      </c>
      <c r="V22" s="187">
        <f>V20+V21</f>
        <v/>
      </c>
      <c r="W22" s="187">
        <f>W20+W21</f>
        <v/>
      </c>
      <c r="X22" s="187">
        <f>X20+X21</f>
        <v/>
      </c>
      <c r="Y22" s="187">
        <f>Y20+Y21</f>
        <v/>
      </c>
      <c r="Z22" s="187">
        <f>Z20+Z21</f>
        <v/>
      </c>
      <c r="AA22" s="187">
        <f>AA20+AA21</f>
        <v/>
      </c>
      <c r="AB22" s="187">
        <f>AB20+AB21</f>
        <v/>
      </c>
      <c r="AC22" s="187">
        <f>AC20+AC21</f>
        <v/>
      </c>
      <c r="AD22" s="187">
        <f>AD20+AD21</f>
        <v/>
      </c>
      <c r="AE22" s="187">
        <f>AE20+AE21</f>
        <v/>
      </c>
      <c r="AF22" s="187">
        <f>AF20+AF21</f>
        <v/>
      </c>
      <c r="AG22" s="187">
        <f>AG20+AG21</f>
        <v/>
      </c>
      <c r="AH22" s="187">
        <f>AH20+AH21</f>
        <v/>
      </c>
      <c r="AI22" s="187">
        <f>AI20+AI21</f>
        <v/>
      </c>
      <c r="AJ22" s="187">
        <f>AJ20+AJ21</f>
        <v/>
      </c>
      <c r="AK22" s="187">
        <f>AK20+AK21</f>
        <v/>
      </c>
      <c r="AL22" s="187">
        <f>AL20+AL21</f>
        <v/>
      </c>
      <c r="AM22" s="187">
        <f>AM20+AM21</f>
        <v/>
      </c>
      <c r="AN22" s="187">
        <f>AN20+AN21</f>
        <v/>
      </c>
      <c r="AO22" s="187">
        <f>AO20+AO21</f>
        <v/>
      </c>
      <c r="AP22" s="187">
        <f>AP20+AP21</f>
        <v/>
      </c>
      <c r="AQ22" s="187">
        <f>AQ20+AQ21</f>
        <v/>
      </c>
      <c r="AR22" s="187">
        <f>AR20+AR21</f>
        <v/>
      </c>
      <c r="AS22" s="187">
        <f>AS20+AS21</f>
        <v/>
      </c>
      <c r="AT22" s="187">
        <f>AT20+AT21</f>
        <v/>
      </c>
      <c r="AU22" s="187">
        <f>AU20+AU21</f>
        <v/>
      </c>
      <c r="AV22" s="187">
        <f>AV20+AV21</f>
        <v/>
      </c>
      <c r="AW22" s="187">
        <f>AW20+AW21</f>
        <v/>
      </c>
      <c r="AX22" s="187">
        <f>AX20+AX21</f>
        <v/>
      </c>
      <c r="AY22" s="187">
        <f>AY20+AY21</f>
        <v/>
      </c>
      <c r="AZ22" s="187">
        <f>AZ20+AZ21</f>
        <v/>
      </c>
      <c r="BA22" s="187">
        <f>BA20+BA21</f>
        <v/>
      </c>
      <c r="BB22" s="187">
        <f>BB20+BB21</f>
        <v/>
      </c>
      <c r="BC22" s="187">
        <f>BC20+BC21</f>
        <v/>
      </c>
      <c r="BD22" s="187">
        <f>BD20+BD21</f>
        <v/>
      </c>
      <c r="BE22" s="187">
        <f>BE20+BE21</f>
        <v/>
      </c>
      <c r="BF22" s="187">
        <f>BF20+BF21</f>
        <v/>
      </c>
      <c r="BG22" s="187">
        <f>BG20+BG21</f>
        <v/>
      </c>
      <c r="BH22" s="187">
        <f>BH20+BH21</f>
        <v/>
      </c>
      <c r="BI22" s="187">
        <f>BI20+BI21</f>
        <v/>
      </c>
      <c r="BJ22" s="187">
        <f>BJ20+BJ21</f>
        <v/>
      </c>
      <c r="BK22" s="187">
        <f>BK20+BK21</f>
        <v/>
      </c>
      <c r="BL22" s="187">
        <f>BL20+BL21</f>
        <v/>
      </c>
      <c r="BM22" s="187">
        <f>BM20+BM21</f>
        <v/>
      </c>
      <c r="BN22" s="187">
        <f>BN20+BN21</f>
        <v/>
      </c>
      <c r="BO22" s="187">
        <f>BO20+BO21</f>
        <v/>
      </c>
      <c r="BP22" s="187">
        <f>BP20+BP21</f>
        <v/>
      </c>
      <c r="BQ22" s="187">
        <f>BQ20+BQ21</f>
        <v/>
      </c>
      <c r="BR22" s="187">
        <f>BR20+BR21</f>
        <v/>
      </c>
      <c r="BS22" s="187">
        <f>BS20+BS21</f>
        <v/>
      </c>
      <c r="BT22" s="187">
        <f>BT20+BT21</f>
        <v/>
      </c>
      <c r="BU22" s="187">
        <f>BU20+BU21</f>
        <v/>
      </c>
      <c r="BV22" s="187">
        <f>BV20+BV21</f>
        <v/>
      </c>
      <c r="BW22" s="187">
        <f>BW20+BW21</f>
        <v/>
      </c>
      <c r="BX22" s="187">
        <f>BX20+BX21</f>
        <v/>
      </c>
      <c r="BY22" s="187">
        <f>BY20+BY21</f>
        <v/>
      </c>
      <c r="BZ22" s="187">
        <f>BZ20+BZ21</f>
        <v/>
      </c>
      <c r="CA22" s="187">
        <f>CA20+CA21</f>
        <v/>
      </c>
      <c r="CB22" s="187">
        <f>CB20+CB21</f>
        <v/>
      </c>
      <c r="CC22" s="187">
        <f>CC20+CC21</f>
        <v/>
      </c>
      <c r="CD22" s="187">
        <f>CD20+CD21</f>
        <v/>
      </c>
      <c r="CE22" s="187">
        <f>CE20+CE21</f>
        <v/>
      </c>
      <c r="CF22" s="187">
        <f>CF20+CF21</f>
        <v/>
      </c>
      <c r="CG22" s="187">
        <f>CG20+CG21</f>
        <v/>
      </c>
      <c r="CH22" s="187">
        <f>CH20+CH21</f>
        <v/>
      </c>
      <c r="CI22" s="187">
        <f>CI20+CI21</f>
        <v/>
      </c>
      <c r="CJ22" s="187">
        <f>CJ20+CJ21</f>
        <v/>
      </c>
      <c r="CK22" s="187">
        <f>CK20+CK21</f>
        <v/>
      </c>
      <c r="CL22" s="187">
        <f>CL20+CL21</f>
        <v/>
      </c>
      <c r="CM22" s="187">
        <f>CM20+CM21</f>
        <v/>
      </c>
      <c r="CN22" s="187">
        <f>CN20+CN21</f>
        <v/>
      </c>
      <c r="CO22" s="187">
        <f>CO20+CO21</f>
        <v/>
      </c>
      <c r="CP22" s="187">
        <f>CP20+CP21</f>
        <v/>
      </c>
      <c r="CQ22" s="187">
        <f>CQ20+CQ21</f>
        <v/>
      </c>
      <c r="CR22" s="187">
        <f>CR20+CR21</f>
        <v/>
      </c>
      <c r="CS22" s="187">
        <f>CS20+CS21</f>
        <v/>
      </c>
      <c r="CT22" s="187">
        <f>CT20+CT21</f>
        <v/>
      </c>
      <c r="CU22" s="187">
        <f>CU20+CU21</f>
        <v/>
      </c>
      <c r="CV22" s="187">
        <f>CV20+CV21</f>
        <v/>
      </c>
      <c r="CW22" s="187">
        <f>CW20+CW21</f>
        <v/>
      </c>
      <c r="CX22" s="187">
        <f>CX20+CX21</f>
        <v/>
      </c>
      <c r="CY22" s="187">
        <f>CY20+CY21</f>
        <v/>
      </c>
      <c r="CZ22" s="187">
        <f>CZ20+CZ21</f>
        <v/>
      </c>
      <c r="DA22" s="187">
        <f>DA20+DA21</f>
        <v/>
      </c>
      <c r="DB22" s="187">
        <f>DB20+DB21</f>
        <v/>
      </c>
      <c r="DC22" s="187">
        <f>DC20+DC21</f>
        <v/>
      </c>
      <c r="DD22" s="187">
        <f>DD20+DD21</f>
        <v/>
      </c>
      <c r="DE22" s="187">
        <f>DE20+DE21</f>
        <v/>
      </c>
      <c r="DF22" s="187">
        <f>DF20+DF21</f>
        <v/>
      </c>
      <c r="DG22" s="187">
        <f>DG20+DG21</f>
        <v/>
      </c>
      <c r="DH22" s="187">
        <f>DH20+DH21</f>
        <v/>
      </c>
      <c r="DI22" s="187">
        <f>DI20+DI21</f>
        <v/>
      </c>
      <c r="DJ22" s="187">
        <f>DJ20+DJ21</f>
        <v/>
      </c>
      <c r="DK22" s="187">
        <f>DK20+DK21</f>
        <v/>
      </c>
      <c r="DL22" s="187">
        <f>DL20+DL21</f>
        <v/>
      </c>
      <c r="DM22" s="187">
        <f>DM20+DM21</f>
        <v/>
      </c>
      <c r="DN22" s="187">
        <f>DN20+DN21</f>
        <v/>
      </c>
      <c r="DO22" s="187">
        <f>DO20+DO21</f>
        <v/>
      </c>
      <c r="DP22" s="187">
        <f>DP20+DP21</f>
        <v/>
      </c>
      <c r="DQ22" s="187">
        <f>DQ20+DQ21</f>
        <v/>
      </c>
      <c r="DR22" s="187">
        <f>DR20+DR21</f>
        <v/>
      </c>
      <c r="DS22" s="187">
        <f>DS20+DS21</f>
        <v/>
      </c>
      <c r="DT22" s="187">
        <f>DT20+DT21</f>
        <v/>
      </c>
      <c r="DU22" s="187">
        <f>DU20+DU21</f>
        <v/>
      </c>
      <c r="DV22" s="187">
        <f>DV20+DV21</f>
        <v/>
      </c>
      <c r="DW22" s="187">
        <f>DW20+DW21</f>
        <v/>
      </c>
      <c r="DX22" s="187">
        <f>DX20+DX21</f>
        <v/>
      </c>
      <c r="DY22" s="187">
        <f>DY20+DY21</f>
        <v/>
      </c>
      <c r="DZ22" s="187">
        <f>DZ20+DZ21</f>
        <v/>
      </c>
      <c r="EA22" s="187">
        <f>EA20+EA21</f>
        <v/>
      </c>
      <c r="EB22" s="187">
        <f>EB20+EB21</f>
        <v/>
      </c>
      <c r="EC22" s="187">
        <f>EC20+EC21</f>
        <v/>
      </c>
      <c r="ED22" s="187">
        <f>ED20+ED21</f>
        <v/>
      </c>
      <c r="EE22" s="187">
        <f>EE20+EE21</f>
        <v/>
      </c>
      <c r="EF22" s="187">
        <f>EF20+EF21</f>
        <v/>
      </c>
      <c r="EG22" s="187">
        <f>EG20+EG21</f>
        <v/>
      </c>
      <c r="EH22" s="187">
        <f>EH20+EH21</f>
        <v/>
      </c>
      <c r="EI22" s="187">
        <f>EI20+EI21</f>
        <v/>
      </c>
      <c r="EJ22" s="187">
        <f>EJ20+EJ21</f>
        <v/>
      </c>
      <c r="EK22" s="187">
        <f>EK20+EK21</f>
        <v/>
      </c>
      <c r="EL22" s="187">
        <f>EL20+EL21</f>
        <v/>
      </c>
      <c r="EM22" s="187">
        <f>EM20+EM21</f>
        <v/>
      </c>
      <c r="EN22" s="187">
        <f>EN20+EN21</f>
        <v/>
      </c>
      <c r="EO22" s="187">
        <f>EO20+EO21</f>
        <v/>
      </c>
      <c r="EP22" s="187">
        <f>EP20+EP21</f>
        <v/>
      </c>
      <c r="EQ22" s="187">
        <f>EQ20+EQ21</f>
        <v/>
      </c>
      <c r="ER22" s="187">
        <f>ER20+ER21</f>
        <v/>
      </c>
      <c r="ES22" s="187">
        <f>ES20+ES21</f>
        <v/>
      </c>
      <c r="ET22" s="187">
        <f>ET20+ET21</f>
        <v/>
      </c>
      <c r="EU22" s="187">
        <f>EU20+EU21</f>
        <v/>
      </c>
      <c r="EV22" s="187">
        <f>EV20+EV21</f>
        <v/>
      </c>
      <c r="EW22" s="187">
        <f>EW20+EW21</f>
        <v/>
      </c>
      <c r="EX22" s="187">
        <f>EX20+EX21</f>
        <v/>
      </c>
      <c r="EY22" s="187">
        <f>EY20+EY21</f>
        <v/>
      </c>
      <c r="EZ22" s="187">
        <f>EZ20+EZ21</f>
        <v/>
      </c>
      <c r="FA22" s="187">
        <f>FA20+FA21</f>
        <v/>
      </c>
      <c r="FB22" s="187">
        <f>FB20+FB21</f>
        <v/>
      </c>
      <c r="FC22" s="187">
        <f>FC20+FC21</f>
        <v/>
      </c>
      <c r="FD22" s="187">
        <f>FD20+FD21</f>
        <v/>
      </c>
      <c r="FE22" s="187">
        <f>FE20+FE21</f>
        <v/>
      </c>
      <c r="FF22" s="187">
        <f>FF20+FF21</f>
        <v/>
      </c>
      <c r="FG22" s="187">
        <f>FG20+FG21</f>
        <v/>
      </c>
      <c r="FH22" s="187">
        <f>FH20+FH21</f>
        <v/>
      </c>
      <c r="FI22" s="187">
        <f>FI20+FI21</f>
        <v/>
      </c>
      <c r="FJ22" s="187">
        <f>FJ20+FJ21</f>
        <v/>
      </c>
      <c r="FK22" s="187">
        <f>FK20+FK21</f>
        <v/>
      </c>
      <c r="FL22" s="187">
        <f>FL20+FL21</f>
        <v/>
      </c>
      <c r="FM22" s="187">
        <f>FM20+FM21</f>
        <v/>
      </c>
      <c r="FN22" s="187">
        <f>FN20+FN21</f>
        <v/>
      </c>
      <c r="FO22" s="187">
        <f>FO20+FO21</f>
        <v/>
      </c>
      <c r="FP22" s="187">
        <f>FP20+FP21</f>
        <v/>
      </c>
      <c r="FQ22" s="187">
        <f>FQ20+FQ21</f>
        <v/>
      </c>
      <c r="FR22" s="187">
        <f>FR20+FR21</f>
        <v/>
      </c>
      <c r="FS22" s="187">
        <f>FS20+FS21</f>
        <v/>
      </c>
      <c r="FT22" s="187">
        <f>FT20+FT21</f>
        <v/>
      </c>
      <c r="FU22" s="187">
        <f>FU20+FU21</f>
        <v/>
      </c>
      <c r="FV22" s="187">
        <f>FV20+FV21</f>
        <v/>
      </c>
      <c r="FW22" s="187">
        <f>FW20+FW21</f>
        <v/>
      </c>
      <c r="FX22" s="187">
        <f>FX20+FX21</f>
        <v/>
      </c>
      <c r="FY22" s="187">
        <f>FY20+FY21</f>
        <v/>
      </c>
      <c r="FZ22" s="187">
        <f>FZ20+FZ21</f>
        <v/>
      </c>
      <c r="GA22" s="187">
        <f>GA20+GA21</f>
        <v/>
      </c>
      <c r="GB22" s="187">
        <f>GB20+GB21</f>
        <v/>
      </c>
      <c r="GC22" s="187">
        <f>GC20+GC21</f>
        <v/>
      </c>
      <c r="GD22" s="187">
        <f>GD20+GD21</f>
        <v/>
      </c>
      <c r="GE22" s="187">
        <f>GE20+GE21</f>
        <v/>
      </c>
      <c r="GF22" s="187">
        <f>GF20+GF21</f>
        <v/>
      </c>
      <c r="GG22" s="187">
        <f>GG20+GG21</f>
        <v/>
      </c>
      <c r="GH22" s="187">
        <f>GH20+GH21</f>
        <v/>
      </c>
      <c r="GI22" s="187">
        <f>GI20+GI21</f>
        <v/>
      </c>
      <c r="GJ22" s="187">
        <f>GJ20+GJ21</f>
        <v/>
      </c>
      <c r="GK22" s="187">
        <f>GK20+GK21</f>
        <v/>
      </c>
      <c r="GL22" s="187">
        <f>GL20+GL21</f>
        <v/>
      </c>
      <c r="GM22" s="187">
        <f>GM20+GM21</f>
        <v/>
      </c>
      <c r="GN22" s="187">
        <f>GN20+GN21</f>
        <v/>
      </c>
      <c r="GO22" s="187">
        <f>GO20+GO21</f>
        <v/>
      </c>
      <c r="GP22" s="187">
        <f>GP20+GP21</f>
        <v/>
      </c>
      <c r="GQ22" s="187">
        <f>GQ20+GQ21</f>
        <v/>
      </c>
      <c r="GR22" s="187">
        <f>GR20+GR21</f>
        <v/>
      </c>
      <c r="GS22" s="187">
        <f>GS20+GS21</f>
        <v/>
      </c>
      <c r="GT22" s="187">
        <f>GT20+GT21</f>
        <v/>
      </c>
      <c r="GU22" s="187">
        <f>GU20+GU21</f>
        <v/>
      </c>
      <c r="GV22" s="187">
        <f>GV20+GV21</f>
        <v/>
      </c>
      <c r="GW22" s="187">
        <f>GW20+GW21</f>
        <v/>
      </c>
      <c r="GX22" s="187">
        <f>GX20+GX21</f>
        <v/>
      </c>
      <c r="GY22" s="187">
        <f>GY20+GY21</f>
        <v/>
      </c>
      <c r="GZ22" s="187">
        <f>GZ20+GZ21</f>
        <v/>
      </c>
      <c r="HA22" s="187">
        <f>HA20+HA21</f>
        <v/>
      </c>
      <c r="HB22" s="187">
        <f>HB20+HB21</f>
        <v/>
      </c>
      <c r="HC22" s="187">
        <f>HC20+HC21</f>
        <v/>
      </c>
      <c r="HD22" s="187">
        <f>HD20+HD21</f>
        <v/>
      </c>
      <c r="HE22" s="187">
        <f>HE20+HE21</f>
        <v/>
      </c>
      <c r="HF22" s="187">
        <f>HF20+HF21</f>
        <v/>
      </c>
      <c r="HG22" s="187">
        <f>HG20+HG21</f>
        <v/>
      </c>
      <c r="HH22" s="187">
        <f>HH20+HH21</f>
        <v/>
      </c>
      <c r="HI22" s="187">
        <f>HI20+HI21</f>
        <v/>
      </c>
      <c r="HJ22" s="187">
        <f>HJ20+HJ21</f>
        <v/>
      </c>
      <c r="HK22" s="187">
        <f>HK20+HK21</f>
        <v/>
      </c>
      <c r="HL22" s="187">
        <f>HL20+HL21</f>
        <v/>
      </c>
      <c r="HM22" s="187">
        <f>HM20+HM21</f>
        <v/>
      </c>
      <c r="HN22" s="187">
        <f>HN20+HN21</f>
        <v/>
      </c>
      <c r="HO22" s="187">
        <f>HO20+HO21</f>
        <v/>
      </c>
      <c r="HP22" s="187">
        <f>HP20+HP21</f>
        <v/>
      </c>
      <c r="HQ22" s="187">
        <f>HQ20+HQ21</f>
        <v/>
      </c>
      <c r="HR22" s="187">
        <f>HR20+HR21</f>
        <v/>
      </c>
      <c r="HS22" s="187">
        <f>HS20+HS21</f>
        <v/>
      </c>
      <c r="HT22" s="187">
        <f>HT20+HT21</f>
        <v/>
      </c>
      <c r="HU22" s="187">
        <f>HU20+HU21</f>
        <v/>
      </c>
      <c r="HV22" s="187">
        <f>HV20+HV21</f>
        <v/>
      </c>
      <c r="HW22" s="187">
        <f>HW20+HW21</f>
        <v/>
      </c>
      <c r="HX22" s="187">
        <f>HX20+HX21</f>
        <v/>
      </c>
      <c r="HY22" s="187">
        <f>HY20+HY21</f>
        <v/>
      </c>
      <c r="HZ22" s="187">
        <f>HZ20+HZ21</f>
        <v/>
      </c>
      <c r="IA22" s="187">
        <f>IA20+IA21</f>
        <v/>
      </c>
      <c r="IB22" s="187">
        <f>IB20+IB21</f>
        <v/>
      </c>
      <c r="IC22" s="187">
        <f>IC20+IC21</f>
        <v/>
      </c>
      <c r="ID22" s="187">
        <f>ID20+ID21</f>
        <v/>
      </c>
      <c r="IE22" s="187">
        <f>IE20+IE21</f>
        <v/>
      </c>
      <c r="IF22" s="187">
        <f>IF20+IF21</f>
        <v/>
      </c>
      <c r="IG22" s="187">
        <f>IG20+IG21</f>
        <v/>
      </c>
      <c r="IH22" s="187">
        <f>IH20+IH21</f>
        <v/>
      </c>
      <c r="II22" s="187">
        <f>II20+II21</f>
        <v/>
      </c>
      <c r="IJ22" s="187">
        <f>IJ20+IJ21</f>
        <v/>
      </c>
      <c r="IK22" s="187">
        <f>IK20+IK21</f>
        <v/>
      </c>
      <c r="IL22" s="187">
        <f>IL20+IL21</f>
        <v/>
      </c>
      <c r="IM22" s="187">
        <f>IM20+IM21</f>
        <v/>
      </c>
      <c r="IN22" s="187">
        <f>IN20+IN21</f>
        <v/>
      </c>
      <c r="IO22" s="187">
        <f>IO20+IO21</f>
        <v/>
      </c>
      <c r="IP22" s="187">
        <f>IP20+IP21</f>
        <v/>
      </c>
      <c r="IQ22" s="187">
        <f>IQ20+IQ21</f>
        <v/>
      </c>
      <c r="IR22" s="187">
        <f>IR20+IR21</f>
        <v/>
      </c>
      <c r="IS22" s="187">
        <f>IS20+IS21</f>
        <v/>
      </c>
      <c r="IT22" s="187">
        <f>IT20+IT21</f>
        <v/>
      </c>
      <c r="IU22" s="187">
        <f>IU20+IU21</f>
        <v/>
      </c>
      <c r="IV22" s="187">
        <f>IV20+IV21</f>
        <v/>
      </c>
      <c r="IW22" s="187">
        <f>IW20+IW21</f>
        <v/>
      </c>
      <c r="IX22" s="187">
        <f>IX20+IX21</f>
        <v/>
      </c>
      <c r="IY22" s="187">
        <f>IY20+IY21</f>
        <v/>
      </c>
      <c r="IZ22" s="187">
        <f>IZ20+IZ21</f>
        <v/>
      </c>
      <c r="JA22" s="187">
        <f>JA20+JA21</f>
        <v/>
      </c>
      <c r="JB22" s="187">
        <f>JB20+JB21</f>
        <v/>
      </c>
      <c r="JC22" s="187">
        <f>JC20+JC21</f>
        <v/>
      </c>
      <c r="JD22" s="187">
        <f>JD20+JD21</f>
        <v/>
      </c>
      <c r="JE22" s="187">
        <f>JE20+JE21</f>
        <v/>
      </c>
      <c r="JF22" s="187">
        <f>JF20+JF21</f>
        <v/>
      </c>
      <c r="JG22" s="187">
        <f>JG20+JG21</f>
        <v/>
      </c>
      <c r="JH22" s="187">
        <f>JH20+JH21</f>
        <v/>
      </c>
      <c r="JI22" s="187">
        <f>JI20+JI21</f>
        <v/>
      </c>
      <c r="JJ22" s="187">
        <f>JJ20+JJ21</f>
        <v/>
      </c>
      <c r="JK22" s="187">
        <f>JK20+JK21</f>
        <v/>
      </c>
      <c r="JL22" s="187">
        <f>JL20+JL21</f>
        <v/>
      </c>
      <c r="JM22" s="187">
        <f>JM20+JM21</f>
        <v/>
      </c>
      <c r="JN22" s="187">
        <f>JN20+JN21</f>
        <v/>
      </c>
      <c r="JO22" s="187">
        <f>JO20+JO21</f>
        <v/>
      </c>
      <c r="JP22" s="187">
        <f>JP20+JP21</f>
        <v/>
      </c>
      <c r="JQ22" s="187">
        <f>JQ20+JQ21</f>
        <v/>
      </c>
      <c r="JR22" s="187">
        <f>JR20+JR21</f>
        <v/>
      </c>
      <c r="JS22" s="187">
        <f>JS20+JS21</f>
        <v/>
      </c>
      <c r="JT22" s="187">
        <f>JT20+JT21</f>
        <v/>
      </c>
      <c r="JU22" s="187">
        <f>JU20+JU21</f>
        <v/>
      </c>
      <c r="JV22" s="187">
        <f>JV20+JV21</f>
        <v/>
      </c>
      <c r="JW22" s="187">
        <f>JW20+JW21</f>
        <v/>
      </c>
      <c r="JX22" s="187">
        <f>JX20+JX21</f>
        <v/>
      </c>
      <c r="JY22" s="187">
        <f>JY20+JY21</f>
        <v/>
      </c>
      <c r="JZ22" s="187">
        <f>JZ20+JZ21</f>
        <v/>
      </c>
      <c r="KA22" s="187">
        <f>KA20+KA21</f>
        <v/>
      </c>
      <c r="KB22" s="187">
        <f>KB20+KB21</f>
        <v/>
      </c>
      <c r="KC22" s="187">
        <f>KC20+KC21</f>
        <v/>
      </c>
      <c r="KD22" s="187">
        <f>KD20+KD21</f>
        <v/>
      </c>
      <c r="KE22" s="187">
        <f>KE20+KE21</f>
        <v/>
      </c>
      <c r="KF22" s="187">
        <f>KF20+KF21</f>
        <v/>
      </c>
      <c r="KG22" s="187">
        <f>KG20+KG21</f>
        <v/>
      </c>
      <c r="KH22" s="187">
        <f>KH20+KH21</f>
        <v/>
      </c>
      <c r="KI22" s="187">
        <f>KI20+KI21</f>
        <v/>
      </c>
      <c r="KJ22" s="187">
        <f>KJ20+KJ21</f>
        <v/>
      </c>
      <c r="KK22" s="187">
        <f>KK20+KK21</f>
        <v/>
      </c>
      <c r="KL22" s="187">
        <f>KL20+KL21</f>
        <v/>
      </c>
      <c r="KM22" s="187">
        <f>KM20+KM21</f>
        <v/>
      </c>
      <c r="KN22" s="187">
        <f>KN20+KN21</f>
        <v/>
      </c>
      <c r="KO22" s="187">
        <f>KO20+KO21</f>
        <v/>
      </c>
      <c r="KP22" s="187">
        <f>KP20+KP21</f>
        <v/>
      </c>
    </row>
    <row r="23" ht="16" customHeight="1" s="133">
      <c r="A23" s="177" t="inlineStr">
        <is>
          <t>Tax (EURk)</t>
        </is>
      </c>
      <c r="B23" s="178" t="inlineStr">
        <is>
          <t>EURk</t>
        </is>
      </c>
      <c r="C23" s="179">
        <f>IF(C22&gt;0,-C22*Assumptions!$E$47,0)</f>
        <v/>
      </c>
      <c r="D23" s="179">
        <f>IF(D22&gt;0,-D22*Assumptions!$E$47,0)</f>
        <v/>
      </c>
      <c r="E23" s="179">
        <f>IF(E22&gt;0,-E22*Assumptions!$E$47,0)</f>
        <v/>
      </c>
      <c r="F23" s="179">
        <f>IF(F22&gt;0,-F22*Assumptions!$E$47,0)</f>
        <v/>
      </c>
      <c r="G23" s="179">
        <f>IF(G22&gt;0,-G22*Assumptions!$E$47,0)</f>
        <v/>
      </c>
      <c r="H23" s="179">
        <f>IF(H22&gt;0,-H22*Assumptions!$E$47,0)</f>
        <v/>
      </c>
      <c r="I23" s="179">
        <f>IF(I22&gt;0,-I22*Assumptions!$E$47,0)</f>
        <v/>
      </c>
      <c r="J23" s="179">
        <f>IF(J22&gt;0,-J22*Assumptions!$E$47,0)</f>
        <v/>
      </c>
      <c r="K23" s="179">
        <f>IF(K22&gt;0,-K22*Assumptions!$E$47,0)</f>
        <v/>
      </c>
      <c r="L23" s="179">
        <f>IF(L22&gt;0,-L22*Assumptions!$E$47,0)</f>
        <v/>
      </c>
      <c r="M23" s="179">
        <f>IF(M22&gt;0,-M22*Assumptions!$E$47,0)</f>
        <v/>
      </c>
      <c r="N23" s="179">
        <f>IF(N22&gt;0,-N22*Assumptions!$E$47,0)</f>
        <v/>
      </c>
      <c r="O23" s="179">
        <f>IF(O22&gt;0,-O22*Assumptions!$E$47,0)</f>
        <v/>
      </c>
      <c r="P23" s="179">
        <f>IF(P22&gt;0,-P22*Assumptions!$E$47,0)</f>
        <v/>
      </c>
      <c r="Q23" s="179">
        <f>IF(Q22&gt;0,-Q22*Assumptions!$E$47,0)</f>
        <v/>
      </c>
      <c r="R23" s="179">
        <f>IF(R22&gt;0,-R22*Assumptions!$E$47,0)</f>
        <v/>
      </c>
      <c r="S23" s="179">
        <f>IF(S22&gt;0,-S22*Assumptions!$E$47,0)</f>
        <v/>
      </c>
      <c r="T23" s="179">
        <f>IF(T22&gt;0,-T22*Assumptions!$E$47,0)</f>
        <v/>
      </c>
      <c r="U23" s="179">
        <f>IF(U22&gt;0,-U22*Assumptions!$E$47,0)</f>
        <v/>
      </c>
      <c r="V23" s="179">
        <f>IF(V22&gt;0,-V22*Assumptions!$E$47,0)</f>
        <v/>
      </c>
      <c r="W23" s="179">
        <f>IF(W22&gt;0,-W22*Assumptions!$E$47,0)</f>
        <v/>
      </c>
      <c r="X23" s="179">
        <f>IF(X22&gt;0,-X22*Assumptions!$E$47,0)</f>
        <v/>
      </c>
      <c r="Y23" s="179">
        <f>IF(Y22&gt;0,-Y22*Assumptions!$E$47,0)</f>
        <v/>
      </c>
      <c r="Z23" s="179">
        <f>IF(Z22&gt;0,-Z22*Assumptions!$E$47,0)</f>
        <v/>
      </c>
      <c r="AA23" s="179">
        <f>IF(AA22&gt;0,-AA22*Assumptions!$E$47,0)</f>
        <v/>
      </c>
      <c r="AB23" s="179">
        <f>IF(AB22&gt;0,-AB22*Assumptions!$E$47,0)</f>
        <v/>
      </c>
      <c r="AC23" s="179">
        <f>IF(AC22&gt;0,-AC22*Assumptions!$E$47,0)</f>
        <v/>
      </c>
      <c r="AD23" s="179">
        <f>IF(AD22&gt;0,-AD22*Assumptions!$E$47,0)</f>
        <v/>
      </c>
      <c r="AE23" s="179">
        <f>IF(AE22&gt;0,-AE22*Assumptions!$E$47,0)</f>
        <v/>
      </c>
      <c r="AF23" s="179">
        <f>IF(AF22&gt;0,-AF22*Assumptions!$E$47,0)</f>
        <v/>
      </c>
      <c r="AG23" s="179">
        <f>IF(AG22&gt;0,-AG22*Assumptions!$E$47,0)</f>
        <v/>
      </c>
      <c r="AH23" s="179">
        <f>IF(AH22&gt;0,-AH22*Assumptions!$E$47,0)</f>
        <v/>
      </c>
      <c r="AI23" s="179">
        <f>IF(AI22&gt;0,-AI22*Assumptions!$E$47,0)</f>
        <v/>
      </c>
      <c r="AJ23" s="179">
        <f>IF(AJ22&gt;0,-AJ22*Assumptions!$E$47,0)</f>
        <v/>
      </c>
      <c r="AK23" s="179">
        <f>IF(AK22&gt;0,-AK22*Assumptions!$E$47,0)</f>
        <v/>
      </c>
      <c r="AL23" s="179">
        <f>IF(AL22&gt;0,-AL22*Assumptions!$E$47,0)</f>
        <v/>
      </c>
      <c r="AM23" s="179">
        <f>IF(AM22&gt;0,-AM22*Assumptions!$E$47,0)</f>
        <v/>
      </c>
      <c r="AN23" s="179">
        <f>IF(AN22&gt;0,-AN22*Assumptions!$E$47,0)</f>
        <v/>
      </c>
      <c r="AO23" s="179">
        <f>IF(AO22&gt;0,-AO22*Assumptions!$E$47,0)</f>
        <v/>
      </c>
      <c r="AP23" s="179">
        <f>IF(AP22&gt;0,-AP22*Assumptions!$E$47,0)</f>
        <v/>
      </c>
      <c r="AQ23" s="179">
        <f>IF(AQ22&gt;0,-AQ22*Assumptions!$E$47,0)</f>
        <v/>
      </c>
      <c r="AR23" s="179">
        <f>IF(AR22&gt;0,-AR22*Assumptions!$E$47,0)</f>
        <v/>
      </c>
      <c r="AS23" s="179">
        <f>IF(AS22&gt;0,-AS22*Assumptions!$E$47,0)</f>
        <v/>
      </c>
      <c r="AT23" s="179">
        <f>IF(AT22&gt;0,-AT22*Assumptions!$E$47,0)</f>
        <v/>
      </c>
      <c r="AU23" s="179">
        <f>IF(AU22&gt;0,-AU22*Assumptions!$E$47,0)</f>
        <v/>
      </c>
      <c r="AV23" s="179">
        <f>IF(AV22&gt;0,-AV22*Assumptions!$E$47,0)</f>
        <v/>
      </c>
      <c r="AW23" s="179">
        <f>IF(AW22&gt;0,-AW22*Assumptions!$E$47,0)</f>
        <v/>
      </c>
      <c r="AX23" s="179">
        <f>IF(AX22&gt;0,-AX22*Assumptions!$E$47,0)</f>
        <v/>
      </c>
      <c r="AY23" s="179">
        <f>IF(AY22&gt;0,-AY22*Assumptions!$E$47,0)</f>
        <v/>
      </c>
      <c r="AZ23" s="179">
        <f>IF(AZ22&gt;0,-AZ22*Assumptions!$E$47,0)</f>
        <v/>
      </c>
      <c r="BA23" s="179">
        <f>IF(BA22&gt;0,-BA22*Assumptions!$E$47,0)</f>
        <v/>
      </c>
      <c r="BB23" s="179">
        <f>IF(BB22&gt;0,-BB22*Assumptions!$E$47,0)</f>
        <v/>
      </c>
      <c r="BC23" s="179">
        <f>IF(BC22&gt;0,-BC22*Assumptions!$E$47,0)</f>
        <v/>
      </c>
      <c r="BD23" s="179">
        <f>IF(BD22&gt;0,-BD22*Assumptions!$E$47,0)</f>
        <v/>
      </c>
      <c r="BE23" s="179">
        <f>IF(BE22&gt;0,-BE22*Assumptions!$E$47,0)</f>
        <v/>
      </c>
      <c r="BF23" s="179">
        <f>IF(BF22&gt;0,-BF22*Assumptions!$E$47,0)</f>
        <v/>
      </c>
      <c r="BG23" s="179">
        <f>IF(BG22&gt;0,-BG22*Assumptions!$E$47,0)</f>
        <v/>
      </c>
      <c r="BH23" s="179">
        <f>IF(BH22&gt;0,-BH22*Assumptions!$E$47,0)</f>
        <v/>
      </c>
      <c r="BI23" s="179">
        <f>IF(BI22&gt;0,-BI22*Assumptions!$E$47,0)</f>
        <v/>
      </c>
      <c r="BJ23" s="179">
        <f>IF(BJ22&gt;0,-BJ22*Assumptions!$E$47,0)</f>
        <v/>
      </c>
      <c r="BK23" s="179">
        <f>IF(BK22&gt;0,-BK22*Assumptions!$E$47,0)</f>
        <v/>
      </c>
      <c r="BL23" s="179">
        <f>IF(BL22&gt;0,-BL22*Assumptions!$E$47,0)</f>
        <v/>
      </c>
      <c r="BM23" s="179">
        <f>IF(BM22&gt;0,-BM22*Assumptions!$E$47,0)</f>
        <v/>
      </c>
      <c r="BN23" s="179">
        <f>IF(BN22&gt;0,-BN22*Assumptions!$E$47,0)</f>
        <v/>
      </c>
      <c r="BO23" s="179">
        <f>IF(BO22&gt;0,-BO22*Assumptions!$E$47,0)</f>
        <v/>
      </c>
      <c r="BP23" s="179">
        <f>IF(BP22&gt;0,-BP22*Assumptions!$E$47,0)</f>
        <v/>
      </c>
      <c r="BQ23" s="179">
        <f>IF(BQ22&gt;0,-BQ22*Assumptions!$E$47,0)</f>
        <v/>
      </c>
      <c r="BR23" s="179">
        <f>IF(BR22&gt;0,-BR22*Assumptions!$E$47,0)</f>
        <v/>
      </c>
      <c r="BS23" s="179">
        <f>IF(BS22&gt;0,-BS22*Assumptions!$E$47,0)</f>
        <v/>
      </c>
      <c r="BT23" s="179">
        <f>IF(BT22&gt;0,-BT22*Assumptions!$E$47,0)</f>
        <v/>
      </c>
      <c r="BU23" s="179">
        <f>IF(BU22&gt;0,-BU22*Assumptions!$E$47,0)</f>
        <v/>
      </c>
      <c r="BV23" s="179">
        <f>IF(BV22&gt;0,-BV22*Assumptions!$E$47,0)</f>
        <v/>
      </c>
      <c r="BW23" s="179">
        <f>IF(BW22&gt;0,-BW22*Assumptions!$E$47,0)</f>
        <v/>
      </c>
      <c r="BX23" s="179">
        <f>IF(BX22&gt;0,-BX22*Assumptions!$E$47,0)</f>
        <v/>
      </c>
      <c r="BY23" s="179">
        <f>IF(BY22&gt;0,-BY22*Assumptions!$E$47,0)</f>
        <v/>
      </c>
      <c r="BZ23" s="179">
        <f>IF(BZ22&gt;0,-BZ22*Assumptions!$E$47,0)</f>
        <v/>
      </c>
      <c r="CA23" s="179">
        <f>IF(CA22&gt;0,-CA22*Assumptions!$E$47,0)</f>
        <v/>
      </c>
      <c r="CB23" s="179">
        <f>IF(CB22&gt;0,-CB22*Assumptions!$E$47,0)</f>
        <v/>
      </c>
      <c r="CC23" s="179">
        <f>IF(CC22&gt;0,-CC22*Assumptions!$E$47,0)</f>
        <v/>
      </c>
      <c r="CD23" s="179">
        <f>IF(CD22&gt;0,-CD22*Assumptions!$E$47,0)</f>
        <v/>
      </c>
      <c r="CE23" s="179">
        <f>IF(CE22&gt;0,-CE22*Assumptions!$E$47,0)</f>
        <v/>
      </c>
      <c r="CF23" s="179">
        <f>IF(CF22&gt;0,-CF22*Assumptions!$E$47,0)</f>
        <v/>
      </c>
      <c r="CG23" s="179">
        <f>IF(CG22&gt;0,-CG22*Assumptions!$E$47,0)</f>
        <v/>
      </c>
      <c r="CH23" s="179">
        <f>IF(CH22&gt;0,-CH22*Assumptions!$E$47,0)</f>
        <v/>
      </c>
      <c r="CI23" s="179">
        <f>IF(CI22&gt;0,-CI22*Assumptions!$E$47,0)</f>
        <v/>
      </c>
      <c r="CJ23" s="179">
        <f>IF(CJ22&gt;0,-CJ22*Assumptions!$E$47,0)</f>
        <v/>
      </c>
      <c r="CK23" s="179">
        <f>IF(CK22&gt;0,-CK22*Assumptions!$E$47,0)</f>
        <v/>
      </c>
      <c r="CL23" s="179">
        <f>IF(CL22&gt;0,-CL22*Assumptions!$E$47,0)</f>
        <v/>
      </c>
      <c r="CM23" s="179">
        <f>IF(CM22&gt;0,-CM22*Assumptions!$E$47,0)</f>
        <v/>
      </c>
      <c r="CN23" s="179">
        <f>IF(CN22&gt;0,-CN22*Assumptions!$E$47,0)</f>
        <v/>
      </c>
      <c r="CO23" s="179">
        <f>IF(CO22&gt;0,-CO22*Assumptions!$E$47,0)</f>
        <v/>
      </c>
      <c r="CP23" s="179">
        <f>IF(CP22&gt;0,-CP22*Assumptions!$E$47,0)</f>
        <v/>
      </c>
      <c r="CQ23" s="179">
        <f>IF(CQ22&gt;0,-CQ22*Assumptions!$E$47,0)</f>
        <v/>
      </c>
      <c r="CR23" s="179">
        <f>IF(CR22&gt;0,-CR22*Assumptions!$E$47,0)</f>
        <v/>
      </c>
      <c r="CS23" s="179">
        <f>IF(CS22&gt;0,-CS22*Assumptions!$E$47,0)</f>
        <v/>
      </c>
      <c r="CT23" s="179">
        <f>IF(CT22&gt;0,-CT22*Assumptions!$E$47,0)</f>
        <v/>
      </c>
      <c r="CU23" s="179">
        <f>IF(CU22&gt;0,-CU22*Assumptions!$E$47,0)</f>
        <v/>
      </c>
      <c r="CV23" s="179">
        <f>IF(CV22&gt;0,-CV22*Assumptions!$E$47,0)</f>
        <v/>
      </c>
      <c r="CW23" s="179">
        <f>IF(CW22&gt;0,-CW22*Assumptions!$E$47,0)</f>
        <v/>
      </c>
      <c r="CX23" s="179">
        <f>IF(CX22&gt;0,-CX22*Assumptions!$E$47,0)</f>
        <v/>
      </c>
      <c r="CY23" s="179">
        <f>IF(CY22&gt;0,-CY22*Assumptions!$E$47,0)</f>
        <v/>
      </c>
      <c r="CZ23" s="179">
        <f>IF(CZ22&gt;0,-CZ22*Assumptions!$E$47,0)</f>
        <v/>
      </c>
      <c r="DA23" s="179">
        <f>IF(DA22&gt;0,-DA22*Assumptions!$E$47,0)</f>
        <v/>
      </c>
      <c r="DB23" s="179">
        <f>IF(DB22&gt;0,-DB22*Assumptions!$E$47,0)</f>
        <v/>
      </c>
      <c r="DC23" s="179">
        <f>IF(DC22&gt;0,-DC22*Assumptions!$E$47,0)</f>
        <v/>
      </c>
      <c r="DD23" s="179">
        <f>IF(DD22&gt;0,-DD22*Assumptions!$E$47,0)</f>
        <v/>
      </c>
      <c r="DE23" s="179">
        <f>IF(DE22&gt;0,-DE22*Assumptions!$E$47,0)</f>
        <v/>
      </c>
      <c r="DF23" s="179">
        <f>IF(DF22&gt;0,-DF22*Assumptions!$E$47,0)</f>
        <v/>
      </c>
      <c r="DG23" s="179">
        <f>IF(DG22&gt;0,-DG22*Assumptions!$E$47,0)</f>
        <v/>
      </c>
      <c r="DH23" s="179">
        <f>IF(DH22&gt;0,-DH22*Assumptions!$E$47,0)</f>
        <v/>
      </c>
      <c r="DI23" s="179">
        <f>IF(DI22&gt;0,-DI22*Assumptions!$E$47,0)</f>
        <v/>
      </c>
      <c r="DJ23" s="179">
        <f>IF(DJ22&gt;0,-DJ22*Assumptions!$E$47,0)</f>
        <v/>
      </c>
      <c r="DK23" s="179">
        <f>IF(DK22&gt;0,-DK22*Assumptions!$E$47,0)</f>
        <v/>
      </c>
      <c r="DL23" s="179">
        <f>IF(DL22&gt;0,-DL22*Assumptions!$E$47,0)</f>
        <v/>
      </c>
      <c r="DM23" s="179">
        <f>IF(DM22&gt;0,-DM22*Assumptions!$E$47,0)</f>
        <v/>
      </c>
      <c r="DN23" s="179">
        <f>IF(DN22&gt;0,-DN22*Assumptions!$E$47,0)</f>
        <v/>
      </c>
      <c r="DO23" s="179">
        <f>IF(DO22&gt;0,-DO22*Assumptions!$E$47,0)</f>
        <v/>
      </c>
      <c r="DP23" s="179">
        <f>IF(DP22&gt;0,-DP22*Assumptions!$E$47,0)</f>
        <v/>
      </c>
      <c r="DQ23" s="179">
        <f>IF(DQ22&gt;0,-DQ22*Assumptions!$E$47,0)</f>
        <v/>
      </c>
      <c r="DR23" s="179">
        <f>IF(DR22&gt;0,-DR22*Assumptions!$E$47,0)</f>
        <v/>
      </c>
      <c r="DS23" s="179">
        <f>IF(DS22&gt;0,-DS22*Assumptions!$E$47,0)</f>
        <v/>
      </c>
      <c r="DT23" s="179">
        <f>IF(DT22&gt;0,-DT22*Assumptions!$E$47,0)</f>
        <v/>
      </c>
      <c r="DU23" s="179">
        <f>IF(DU22&gt;0,-DU22*Assumptions!$E$47,0)</f>
        <v/>
      </c>
      <c r="DV23" s="179">
        <f>IF(DV22&gt;0,-DV22*Assumptions!$E$47,0)</f>
        <v/>
      </c>
      <c r="DW23" s="179">
        <f>IF(DW22&gt;0,-DW22*Assumptions!$E$47,0)</f>
        <v/>
      </c>
      <c r="DX23" s="179">
        <f>IF(DX22&gt;0,-DX22*Assumptions!$E$47,0)</f>
        <v/>
      </c>
      <c r="DY23" s="179">
        <f>IF(DY22&gt;0,-DY22*Assumptions!$E$47,0)</f>
        <v/>
      </c>
      <c r="DZ23" s="179">
        <f>IF(DZ22&gt;0,-DZ22*Assumptions!$E$47,0)</f>
        <v/>
      </c>
      <c r="EA23" s="179">
        <f>IF(EA22&gt;0,-EA22*Assumptions!$E$47,0)</f>
        <v/>
      </c>
      <c r="EB23" s="179">
        <f>IF(EB22&gt;0,-EB22*Assumptions!$E$47,0)</f>
        <v/>
      </c>
      <c r="EC23" s="179">
        <f>IF(EC22&gt;0,-EC22*Assumptions!$E$47,0)</f>
        <v/>
      </c>
      <c r="ED23" s="179">
        <f>IF(ED22&gt;0,-ED22*Assumptions!$E$47,0)</f>
        <v/>
      </c>
      <c r="EE23" s="179">
        <f>IF(EE22&gt;0,-EE22*Assumptions!$E$47,0)</f>
        <v/>
      </c>
      <c r="EF23" s="179">
        <f>IF(EF22&gt;0,-EF22*Assumptions!$E$47,0)</f>
        <v/>
      </c>
      <c r="EG23" s="179">
        <f>IF(EG22&gt;0,-EG22*Assumptions!$E$47,0)</f>
        <v/>
      </c>
      <c r="EH23" s="179">
        <f>IF(EH22&gt;0,-EH22*Assumptions!$E$47,0)</f>
        <v/>
      </c>
      <c r="EI23" s="179">
        <f>IF(EI22&gt;0,-EI22*Assumptions!$E$47,0)</f>
        <v/>
      </c>
      <c r="EJ23" s="179">
        <f>IF(EJ22&gt;0,-EJ22*Assumptions!$E$47,0)</f>
        <v/>
      </c>
      <c r="EK23" s="179">
        <f>IF(EK22&gt;0,-EK22*Assumptions!$E$47,0)</f>
        <v/>
      </c>
      <c r="EL23" s="179">
        <f>IF(EL22&gt;0,-EL22*Assumptions!$E$47,0)</f>
        <v/>
      </c>
      <c r="EM23" s="179">
        <f>IF(EM22&gt;0,-EM22*Assumptions!$E$47,0)</f>
        <v/>
      </c>
      <c r="EN23" s="179">
        <f>IF(EN22&gt;0,-EN22*Assumptions!$E$47,0)</f>
        <v/>
      </c>
      <c r="EO23" s="179">
        <f>IF(EO22&gt;0,-EO22*Assumptions!$E$47,0)</f>
        <v/>
      </c>
      <c r="EP23" s="179">
        <f>IF(EP22&gt;0,-EP22*Assumptions!$E$47,0)</f>
        <v/>
      </c>
      <c r="EQ23" s="179">
        <f>IF(EQ22&gt;0,-EQ22*Assumptions!$E$47,0)</f>
        <v/>
      </c>
      <c r="ER23" s="179">
        <f>IF(ER22&gt;0,-ER22*Assumptions!$E$47,0)</f>
        <v/>
      </c>
      <c r="ES23" s="179">
        <f>IF(ES22&gt;0,-ES22*Assumptions!$E$47,0)</f>
        <v/>
      </c>
      <c r="ET23" s="179">
        <f>IF(ET22&gt;0,-ET22*Assumptions!$E$47,0)</f>
        <v/>
      </c>
      <c r="EU23" s="179">
        <f>IF(EU22&gt;0,-EU22*Assumptions!$E$47,0)</f>
        <v/>
      </c>
      <c r="EV23" s="179">
        <f>IF(EV22&gt;0,-EV22*Assumptions!$E$47,0)</f>
        <v/>
      </c>
      <c r="EW23" s="179">
        <f>IF(EW22&gt;0,-EW22*Assumptions!$E$47,0)</f>
        <v/>
      </c>
      <c r="EX23" s="179">
        <f>IF(EX22&gt;0,-EX22*Assumptions!$E$47,0)</f>
        <v/>
      </c>
      <c r="EY23" s="179">
        <f>IF(EY22&gt;0,-EY22*Assumptions!$E$47,0)</f>
        <v/>
      </c>
      <c r="EZ23" s="179">
        <f>IF(EZ22&gt;0,-EZ22*Assumptions!$E$47,0)</f>
        <v/>
      </c>
      <c r="FA23" s="179">
        <f>IF(FA22&gt;0,-FA22*Assumptions!$E$47,0)</f>
        <v/>
      </c>
      <c r="FB23" s="179">
        <f>IF(FB22&gt;0,-FB22*Assumptions!$E$47,0)</f>
        <v/>
      </c>
      <c r="FC23" s="179">
        <f>IF(FC22&gt;0,-FC22*Assumptions!$E$47,0)</f>
        <v/>
      </c>
      <c r="FD23" s="179">
        <f>IF(FD22&gt;0,-FD22*Assumptions!$E$47,0)</f>
        <v/>
      </c>
      <c r="FE23" s="179">
        <f>IF(FE22&gt;0,-FE22*Assumptions!$E$47,0)</f>
        <v/>
      </c>
      <c r="FF23" s="179">
        <f>IF(FF22&gt;0,-FF22*Assumptions!$E$47,0)</f>
        <v/>
      </c>
      <c r="FG23" s="179">
        <f>IF(FG22&gt;0,-FG22*Assumptions!$E$47,0)</f>
        <v/>
      </c>
      <c r="FH23" s="179">
        <f>IF(FH22&gt;0,-FH22*Assumptions!$E$47,0)</f>
        <v/>
      </c>
      <c r="FI23" s="179">
        <f>IF(FI22&gt;0,-FI22*Assumptions!$E$47,0)</f>
        <v/>
      </c>
      <c r="FJ23" s="179">
        <f>IF(FJ22&gt;0,-FJ22*Assumptions!$E$47,0)</f>
        <v/>
      </c>
      <c r="FK23" s="179">
        <f>IF(FK22&gt;0,-FK22*Assumptions!$E$47,0)</f>
        <v/>
      </c>
      <c r="FL23" s="179">
        <f>IF(FL22&gt;0,-FL22*Assumptions!$E$47,0)</f>
        <v/>
      </c>
      <c r="FM23" s="179">
        <f>IF(FM22&gt;0,-FM22*Assumptions!$E$47,0)</f>
        <v/>
      </c>
      <c r="FN23" s="179">
        <f>IF(FN22&gt;0,-FN22*Assumptions!$E$47,0)</f>
        <v/>
      </c>
      <c r="FO23" s="179">
        <f>IF(FO22&gt;0,-FO22*Assumptions!$E$47,0)</f>
        <v/>
      </c>
      <c r="FP23" s="179">
        <f>IF(FP22&gt;0,-FP22*Assumptions!$E$47,0)</f>
        <v/>
      </c>
      <c r="FQ23" s="179">
        <f>IF(FQ22&gt;0,-FQ22*Assumptions!$E$47,0)</f>
        <v/>
      </c>
      <c r="FR23" s="179">
        <f>IF(FR22&gt;0,-FR22*Assumptions!$E$47,0)</f>
        <v/>
      </c>
      <c r="FS23" s="179">
        <f>IF(FS22&gt;0,-FS22*Assumptions!$E$47,0)</f>
        <v/>
      </c>
      <c r="FT23" s="179">
        <f>IF(FT22&gt;0,-FT22*Assumptions!$E$47,0)</f>
        <v/>
      </c>
      <c r="FU23" s="179">
        <f>IF(FU22&gt;0,-FU22*Assumptions!$E$47,0)</f>
        <v/>
      </c>
      <c r="FV23" s="179">
        <f>IF(FV22&gt;0,-FV22*Assumptions!$E$47,0)</f>
        <v/>
      </c>
      <c r="FW23" s="179">
        <f>IF(FW22&gt;0,-FW22*Assumptions!$E$47,0)</f>
        <v/>
      </c>
      <c r="FX23" s="179">
        <f>IF(FX22&gt;0,-FX22*Assumptions!$E$47,0)</f>
        <v/>
      </c>
      <c r="FY23" s="179">
        <f>IF(FY22&gt;0,-FY22*Assumptions!$E$47,0)</f>
        <v/>
      </c>
      <c r="FZ23" s="179">
        <f>IF(FZ22&gt;0,-FZ22*Assumptions!$E$47,0)</f>
        <v/>
      </c>
      <c r="GA23" s="179">
        <f>IF(GA22&gt;0,-GA22*Assumptions!$E$47,0)</f>
        <v/>
      </c>
      <c r="GB23" s="179">
        <f>IF(GB22&gt;0,-GB22*Assumptions!$E$47,0)</f>
        <v/>
      </c>
      <c r="GC23" s="179">
        <f>IF(GC22&gt;0,-GC22*Assumptions!$E$47,0)</f>
        <v/>
      </c>
      <c r="GD23" s="179">
        <f>IF(GD22&gt;0,-GD22*Assumptions!$E$47,0)</f>
        <v/>
      </c>
      <c r="GE23" s="179">
        <f>IF(GE22&gt;0,-GE22*Assumptions!$E$47,0)</f>
        <v/>
      </c>
      <c r="GF23" s="179">
        <f>IF(GF22&gt;0,-GF22*Assumptions!$E$47,0)</f>
        <v/>
      </c>
      <c r="GG23" s="179">
        <f>IF(GG22&gt;0,-GG22*Assumptions!$E$47,0)</f>
        <v/>
      </c>
      <c r="GH23" s="179">
        <f>IF(GH22&gt;0,-GH22*Assumptions!$E$47,0)</f>
        <v/>
      </c>
      <c r="GI23" s="179">
        <f>IF(GI22&gt;0,-GI22*Assumptions!$E$47,0)</f>
        <v/>
      </c>
      <c r="GJ23" s="179">
        <f>IF(GJ22&gt;0,-GJ22*Assumptions!$E$47,0)</f>
        <v/>
      </c>
      <c r="GK23" s="179">
        <f>IF(GK22&gt;0,-GK22*Assumptions!$E$47,0)</f>
        <v/>
      </c>
      <c r="GL23" s="179">
        <f>IF(GL22&gt;0,-GL22*Assumptions!$E$47,0)</f>
        <v/>
      </c>
      <c r="GM23" s="179">
        <f>IF(GM22&gt;0,-GM22*Assumptions!$E$47,0)</f>
        <v/>
      </c>
      <c r="GN23" s="179">
        <f>IF(GN22&gt;0,-GN22*Assumptions!$E$47,0)</f>
        <v/>
      </c>
      <c r="GO23" s="179">
        <f>IF(GO22&gt;0,-GO22*Assumptions!$E$47,0)</f>
        <v/>
      </c>
      <c r="GP23" s="179">
        <f>IF(GP22&gt;0,-GP22*Assumptions!$E$47,0)</f>
        <v/>
      </c>
      <c r="GQ23" s="179">
        <f>IF(GQ22&gt;0,-GQ22*Assumptions!$E$47,0)</f>
        <v/>
      </c>
      <c r="GR23" s="179">
        <f>IF(GR22&gt;0,-GR22*Assumptions!$E$47,0)</f>
        <v/>
      </c>
      <c r="GS23" s="179">
        <f>IF(GS22&gt;0,-GS22*Assumptions!$E$47,0)</f>
        <v/>
      </c>
      <c r="GT23" s="179">
        <f>IF(GT22&gt;0,-GT22*Assumptions!$E$47,0)</f>
        <v/>
      </c>
      <c r="GU23" s="179">
        <f>IF(GU22&gt;0,-GU22*Assumptions!$E$47,0)</f>
        <v/>
      </c>
      <c r="GV23" s="179">
        <f>IF(GV22&gt;0,-GV22*Assumptions!$E$47,0)</f>
        <v/>
      </c>
      <c r="GW23" s="179">
        <f>IF(GW22&gt;0,-GW22*Assumptions!$E$47,0)</f>
        <v/>
      </c>
      <c r="GX23" s="179">
        <f>IF(GX22&gt;0,-GX22*Assumptions!$E$47,0)</f>
        <v/>
      </c>
      <c r="GY23" s="179">
        <f>IF(GY22&gt;0,-GY22*Assumptions!$E$47,0)</f>
        <v/>
      </c>
      <c r="GZ23" s="179">
        <f>IF(GZ22&gt;0,-GZ22*Assumptions!$E$47,0)</f>
        <v/>
      </c>
      <c r="HA23" s="179">
        <f>IF(HA22&gt;0,-HA22*Assumptions!$E$47,0)</f>
        <v/>
      </c>
      <c r="HB23" s="179">
        <f>IF(HB22&gt;0,-HB22*Assumptions!$E$47,0)</f>
        <v/>
      </c>
      <c r="HC23" s="179">
        <f>IF(HC22&gt;0,-HC22*Assumptions!$E$47,0)</f>
        <v/>
      </c>
      <c r="HD23" s="179">
        <f>IF(HD22&gt;0,-HD22*Assumptions!$E$47,0)</f>
        <v/>
      </c>
      <c r="HE23" s="179">
        <f>IF(HE22&gt;0,-HE22*Assumptions!$E$47,0)</f>
        <v/>
      </c>
      <c r="HF23" s="179">
        <f>IF(HF22&gt;0,-HF22*Assumptions!$E$47,0)</f>
        <v/>
      </c>
      <c r="HG23" s="179">
        <f>IF(HG22&gt;0,-HG22*Assumptions!$E$47,0)</f>
        <v/>
      </c>
      <c r="HH23" s="179">
        <f>IF(HH22&gt;0,-HH22*Assumptions!$E$47,0)</f>
        <v/>
      </c>
      <c r="HI23" s="179">
        <f>IF(HI22&gt;0,-HI22*Assumptions!$E$47,0)</f>
        <v/>
      </c>
      <c r="HJ23" s="179">
        <f>IF(HJ22&gt;0,-HJ22*Assumptions!$E$47,0)</f>
        <v/>
      </c>
      <c r="HK23" s="179">
        <f>IF(HK22&gt;0,-HK22*Assumptions!$E$47,0)</f>
        <v/>
      </c>
      <c r="HL23" s="179">
        <f>IF(HL22&gt;0,-HL22*Assumptions!$E$47,0)</f>
        <v/>
      </c>
      <c r="HM23" s="179">
        <f>IF(HM22&gt;0,-HM22*Assumptions!$E$47,0)</f>
        <v/>
      </c>
      <c r="HN23" s="179">
        <f>IF(HN22&gt;0,-HN22*Assumptions!$E$47,0)</f>
        <v/>
      </c>
      <c r="HO23" s="179">
        <f>IF(HO22&gt;0,-HO22*Assumptions!$E$47,0)</f>
        <v/>
      </c>
      <c r="HP23" s="179">
        <f>IF(HP22&gt;0,-HP22*Assumptions!$E$47,0)</f>
        <v/>
      </c>
      <c r="HQ23" s="179">
        <f>IF(HQ22&gt;0,-HQ22*Assumptions!$E$47,0)</f>
        <v/>
      </c>
      <c r="HR23" s="179">
        <f>IF(HR22&gt;0,-HR22*Assumptions!$E$47,0)</f>
        <v/>
      </c>
      <c r="HS23" s="179">
        <f>IF(HS22&gt;0,-HS22*Assumptions!$E$47,0)</f>
        <v/>
      </c>
      <c r="HT23" s="179">
        <f>IF(HT22&gt;0,-HT22*Assumptions!$E$47,0)</f>
        <v/>
      </c>
      <c r="HU23" s="179">
        <f>IF(HU22&gt;0,-HU22*Assumptions!$E$47,0)</f>
        <v/>
      </c>
      <c r="HV23" s="179">
        <f>IF(HV22&gt;0,-HV22*Assumptions!$E$47,0)</f>
        <v/>
      </c>
      <c r="HW23" s="179">
        <f>IF(HW22&gt;0,-HW22*Assumptions!$E$47,0)</f>
        <v/>
      </c>
      <c r="HX23" s="179">
        <f>IF(HX22&gt;0,-HX22*Assumptions!$E$47,0)</f>
        <v/>
      </c>
      <c r="HY23" s="179">
        <f>IF(HY22&gt;0,-HY22*Assumptions!$E$47,0)</f>
        <v/>
      </c>
      <c r="HZ23" s="179">
        <f>IF(HZ22&gt;0,-HZ22*Assumptions!$E$47,0)</f>
        <v/>
      </c>
      <c r="IA23" s="179">
        <f>IF(IA22&gt;0,-IA22*Assumptions!$E$47,0)</f>
        <v/>
      </c>
      <c r="IB23" s="179">
        <f>IF(IB22&gt;0,-IB22*Assumptions!$E$47,0)</f>
        <v/>
      </c>
      <c r="IC23" s="179">
        <f>IF(IC22&gt;0,-IC22*Assumptions!$E$47,0)</f>
        <v/>
      </c>
      <c r="ID23" s="179">
        <f>IF(ID22&gt;0,-ID22*Assumptions!$E$47,0)</f>
        <v/>
      </c>
      <c r="IE23" s="179">
        <f>IF(IE22&gt;0,-IE22*Assumptions!$E$47,0)</f>
        <v/>
      </c>
      <c r="IF23" s="179">
        <f>IF(IF22&gt;0,-IF22*Assumptions!$E$47,0)</f>
        <v/>
      </c>
      <c r="IG23" s="179">
        <f>IF(IG22&gt;0,-IG22*Assumptions!$E$47,0)</f>
        <v/>
      </c>
      <c r="IH23" s="179">
        <f>IF(IH22&gt;0,-IH22*Assumptions!$E$47,0)</f>
        <v/>
      </c>
      <c r="II23" s="179">
        <f>IF(II22&gt;0,-II22*Assumptions!$E$47,0)</f>
        <v/>
      </c>
      <c r="IJ23" s="179">
        <f>IF(IJ22&gt;0,-IJ22*Assumptions!$E$47,0)</f>
        <v/>
      </c>
      <c r="IK23" s="179">
        <f>IF(IK22&gt;0,-IK22*Assumptions!$E$47,0)</f>
        <v/>
      </c>
      <c r="IL23" s="179">
        <f>IF(IL22&gt;0,-IL22*Assumptions!$E$47,0)</f>
        <v/>
      </c>
      <c r="IM23" s="179">
        <f>IF(IM22&gt;0,-IM22*Assumptions!$E$47,0)</f>
        <v/>
      </c>
      <c r="IN23" s="179">
        <f>IF(IN22&gt;0,-IN22*Assumptions!$E$47,0)</f>
        <v/>
      </c>
      <c r="IO23" s="179">
        <f>IF(IO22&gt;0,-IO22*Assumptions!$E$47,0)</f>
        <v/>
      </c>
      <c r="IP23" s="179">
        <f>IF(IP22&gt;0,-IP22*Assumptions!$E$47,0)</f>
        <v/>
      </c>
      <c r="IQ23" s="179">
        <f>IF(IQ22&gt;0,-IQ22*Assumptions!$E$47,0)</f>
        <v/>
      </c>
      <c r="IR23" s="179">
        <f>IF(IR22&gt;0,-IR22*Assumptions!$E$47,0)</f>
        <v/>
      </c>
      <c r="IS23" s="179">
        <f>IF(IS22&gt;0,-IS22*Assumptions!$E$47,0)</f>
        <v/>
      </c>
      <c r="IT23" s="179">
        <f>IF(IT22&gt;0,-IT22*Assumptions!$E$47,0)</f>
        <v/>
      </c>
      <c r="IU23" s="179">
        <f>IF(IU22&gt;0,-IU22*Assumptions!$E$47,0)</f>
        <v/>
      </c>
      <c r="IV23" s="179">
        <f>IF(IV22&gt;0,-IV22*Assumptions!$E$47,0)</f>
        <v/>
      </c>
      <c r="IW23" s="179">
        <f>IF(IW22&gt;0,-IW22*Assumptions!$E$47,0)</f>
        <v/>
      </c>
      <c r="IX23" s="179">
        <f>IF(IX22&gt;0,-IX22*Assumptions!$E$47,0)</f>
        <v/>
      </c>
      <c r="IY23" s="179">
        <f>IF(IY22&gt;0,-IY22*Assumptions!$E$47,0)</f>
        <v/>
      </c>
      <c r="IZ23" s="179">
        <f>IF(IZ22&gt;0,-IZ22*Assumptions!$E$47,0)</f>
        <v/>
      </c>
      <c r="JA23" s="179">
        <f>IF(JA22&gt;0,-JA22*Assumptions!$E$47,0)</f>
        <v/>
      </c>
      <c r="JB23" s="179">
        <f>IF(JB22&gt;0,-JB22*Assumptions!$E$47,0)</f>
        <v/>
      </c>
      <c r="JC23" s="179">
        <f>IF(JC22&gt;0,-JC22*Assumptions!$E$47,0)</f>
        <v/>
      </c>
      <c r="JD23" s="179">
        <f>IF(JD22&gt;0,-JD22*Assumptions!$E$47,0)</f>
        <v/>
      </c>
      <c r="JE23" s="179">
        <f>IF(JE22&gt;0,-JE22*Assumptions!$E$47,0)</f>
        <v/>
      </c>
      <c r="JF23" s="179">
        <f>IF(JF22&gt;0,-JF22*Assumptions!$E$47,0)</f>
        <v/>
      </c>
      <c r="JG23" s="179">
        <f>IF(JG22&gt;0,-JG22*Assumptions!$E$47,0)</f>
        <v/>
      </c>
      <c r="JH23" s="179">
        <f>IF(JH22&gt;0,-JH22*Assumptions!$E$47,0)</f>
        <v/>
      </c>
      <c r="JI23" s="179">
        <f>IF(JI22&gt;0,-JI22*Assumptions!$E$47,0)</f>
        <v/>
      </c>
      <c r="JJ23" s="179">
        <f>IF(JJ22&gt;0,-JJ22*Assumptions!$E$47,0)</f>
        <v/>
      </c>
      <c r="JK23" s="179">
        <f>IF(JK22&gt;0,-JK22*Assumptions!$E$47,0)</f>
        <v/>
      </c>
      <c r="JL23" s="179">
        <f>IF(JL22&gt;0,-JL22*Assumptions!$E$47,0)</f>
        <v/>
      </c>
      <c r="JM23" s="179">
        <f>IF(JM22&gt;0,-JM22*Assumptions!$E$47,0)</f>
        <v/>
      </c>
      <c r="JN23" s="179">
        <f>IF(JN22&gt;0,-JN22*Assumptions!$E$47,0)</f>
        <v/>
      </c>
      <c r="JO23" s="179">
        <f>IF(JO22&gt;0,-JO22*Assumptions!$E$47,0)</f>
        <v/>
      </c>
      <c r="JP23" s="179">
        <f>IF(JP22&gt;0,-JP22*Assumptions!$E$47,0)</f>
        <v/>
      </c>
      <c r="JQ23" s="179">
        <f>IF(JQ22&gt;0,-JQ22*Assumptions!$E$47,0)</f>
        <v/>
      </c>
      <c r="JR23" s="179">
        <f>IF(JR22&gt;0,-JR22*Assumptions!$E$47,0)</f>
        <v/>
      </c>
      <c r="JS23" s="179">
        <f>IF(JS22&gt;0,-JS22*Assumptions!$E$47,0)</f>
        <v/>
      </c>
      <c r="JT23" s="179">
        <f>IF(JT22&gt;0,-JT22*Assumptions!$E$47,0)</f>
        <v/>
      </c>
      <c r="JU23" s="179">
        <f>IF(JU22&gt;0,-JU22*Assumptions!$E$47,0)</f>
        <v/>
      </c>
      <c r="JV23" s="179">
        <f>IF(JV22&gt;0,-JV22*Assumptions!$E$47,0)</f>
        <v/>
      </c>
      <c r="JW23" s="179">
        <f>IF(JW22&gt;0,-JW22*Assumptions!$E$47,0)</f>
        <v/>
      </c>
      <c r="JX23" s="179">
        <f>IF(JX22&gt;0,-JX22*Assumptions!$E$47,0)</f>
        <v/>
      </c>
      <c r="JY23" s="179">
        <f>IF(JY22&gt;0,-JY22*Assumptions!$E$47,0)</f>
        <v/>
      </c>
      <c r="JZ23" s="179">
        <f>IF(JZ22&gt;0,-JZ22*Assumptions!$E$47,0)</f>
        <v/>
      </c>
      <c r="KA23" s="179">
        <f>IF(KA22&gt;0,-KA22*Assumptions!$E$47,0)</f>
        <v/>
      </c>
      <c r="KB23" s="179">
        <f>IF(KB22&gt;0,-KB22*Assumptions!$E$47,0)</f>
        <v/>
      </c>
      <c r="KC23" s="179">
        <f>IF(KC22&gt;0,-KC22*Assumptions!$E$47,0)</f>
        <v/>
      </c>
      <c r="KD23" s="179">
        <f>IF(KD22&gt;0,-KD22*Assumptions!$E$47,0)</f>
        <v/>
      </c>
      <c r="KE23" s="179">
        <f>IF(KE22&gt;0,-KE22*Assumptions!$E$47,0)</f>
        <v/>
      </c>
      <c r="KF23" s="179">
        <f>IF(KF22&gt;0,-KF22*Assumptions!$E$47,0)</f>
        <v/>
      </c>
      <c r="KG23" s="179">
        <f>IF(KG22&gt;0,-KG22*Assumptions!$E$47,0)</f>
        <v/>
      </c>
      <c r="KH23" s="179">
        <f>IF(KH22&gt;0,-KH22*Assumptions!$E$47,0)</f>
        <v/>
      </c>
      <c r="KI23" s="179">
        <f>IF(KI22&gt;0,-KI22*Assumptions!$E$47,0)</f>
        <v/>
      </c>
      <c r="KJ23" s="179">
        <f>IF(KJ22&gt;0,-KJ22*Assumptions!$E$47,0)</f>
        <v/>
      </c>
      <c r="KK23" s="179">
        <f>IF(KK22&gt;0,-KK22*Assumptions!$E$47,0)</f>
        <v/>
      </c>
      <c r="KL23" s="179">
        <f>IF(KL22&gt;0,-KL22*Assumptions!$E$47,0)</f>
        <v/>
      </c>
      <c r="KM23" s="179">
        <f>IF(KM22&gt;0,-KM22*Assumptions!$E$47,0)</f>
        <v/>
      </c>
      <c r="KN23" s="179">
        <f>IF(KN22&gt;0,-KN22*Assumptions!$E$47,0)</f>
        <v/>
      </c>
      <c r="KO23" s="179">
        <f>IF(KO22&gt;0,-KO22*Assumptions!$E$47,0)</f>
        <v/>
      </c>
      <c r="KP23" s="179">
        <f>IF(KP22&gt;0,-KP22*Assumptions!$E$47,0)</f>
        <v/>
      </c>
    </row>
    <row r="24" ht="16" customHeight="1" s="133">
      <c r="A24" s="185" t="inlineStr">
        <is>
          <t>FCFF (EURk)</t>
        </is>
      </c>
      <c r="B24" s="186" t="inlineStr">
        <is>
          <t>EURk</t>
        </is>
      </c>
      <c r="C24" s="187">
        <f>C22+C23</f>
        <v/>
      </c>
      <c r="D24" s="187">
        <f>D22+D23</f>
        <v/>
      </c>
      <c r="E24" s="187">
        <f>E22+E23</f>
        <v/>
      </c>
      <c r="F24" s="187">
        <f>F22+F23</f>
        <v/>
      </c>
      <c r="G24" s="187">
        <f>G22+G23</f>
        <v/>
      </c>
      <c r="H24" s="187">
        <f>H22+H23</f>
        <v/>
      </c>
      <c r="I24" s="187">
        <f>I22+I23</f>
        <v/>
      </c>
      <c r="J24" s="187">
        <f>J22+J23</f>
        <v/>
      </c>
      <c r="K24" s="187">
        <f>K22+K23</f>
        <v/>
      </c>
      <c r="L24" s="187">
        <f>L22+L23</f>
        <v/>
      </c>
      <c r="M24" s="187">
        <f>M22+M23</f>
        <v/>
      </c>
      <c r="N24" s="187">
        <f>N22+N23</f>
        <v/>
      </c>
      <c r="O24" s="187">
        <f>O22+O23</f>
        <v/>
      </c>
      <c r="P24" s="187">
        <f>P22+P23</f>
        <v/>
      </c>
      <c r="Q24" s="187">
        <f>Q22+Q23</f>
        <v/>
      </c>
      <c r="R24" s="187">
        <f>R22+R23</f>
        <v/>
      </c>
      <c r="S24" s="187">
        <f>S22+S23</f>
        <v/>
      </c>
      <c r="T24" s="187">
        <f>T22+T23</f>
        <v/>
      </c>
      <c r="U24" s="187">
        <f>U22+U23</f>
        <v/>
      </c>
      <c r="V24" s="187">
        <f>V22+V23</f>
        <v/>
      </c>
      <c r="W24" s="187">
        <f>W22+W23</f>
        <v/>
      </c>
      <c r="X24" s="187">
        <f>X22+X23</f>
        <v/>
      </c>
      <c r="Y24" s="187">
        <f>Y22+Y23</f>
        <v/>
      </c>
      <c r="Z24" s="187">
        <f>Z22+Z23</f>
        <v/>
      </c>
      <c r="AA24" s="187">
        <f>AA22+AA23</f>
        <v/>
      </c>
      <c r="AB24" s="187">
        <f>AB22+AB23</f>
        <v/>
      </c>
      <c r="AC24" s="187">
        <f>AC22+AC23</f>
        <v/>
      </c>
      <c r="AD24" s="187">
        <f>AD22+AD23</f>
        <v/>
      </c>
      <c r="AE24" s="187">
        <f>AE22+AE23</f>
        <v/>
      </c>
      <c r="AF24" s="187">
        <f>AF22+AF23</f>
        <v/>
      </c>
      <c r="AG24" s="187">
        <f>AG22+AG23</f>
        <v/>
      </c>
      <c r="AH24" s="187">
        <f>AH22+AH23</f>
        <v/>
      </c>
      <c r="AI24" s="187">
        <f>AI22+AI23</f>
        <v/>
      </c>
      <c r="AJ24" s="187">
        <f>AJ22+AJ23</f>
        <v/>
      </c>
      <c r="AK24" s="187">
        <f>AK22+AK23</f>
        <v/>
      </c>
      <c r="AL24" s="187">
        <f>AL22+AL23</f>
        <v/>
      </c>
      <c r="AM24" s="187">
        <f>AM22+AM23</f>
        <v/>
      </c>
      <c r="AN24" s="187">
        <f>AN22+AN23</f>
        <v/>
      </c>
      <c r="AO24" s="187">
        <f>AO22+AO23</f>
        <v/>
      </c>
      <c r="AP24" s="187">
        <f>AP22+AP23</f>
        <v/>
      </c>
      <c r="AQ24" s="187">
        <f>AQ22+AQ23</f>
        <v/>
      </c>
      <c r="AR24" s="187">
        <f>AR22+AR23</f>
        <v/>
      </c>
      <c r="AS24" s="187">
        <f>AS22+AS23</f>
        <v/>
      </c>
      <c r="AT24" s="187">
        <f>AT22+AT23</f>
        <v/>
      </c>
      <c r="AU24" s="187">
        <f>AU22+AU23</f>
        <v/>
      </c>
      <c r="AV24" s="187">
        <f>AV22+AV23</f>
        <v/>
      </c>
      <c r="AW24" s="187">
        <f>AW22+AW23</f>
        <v/>
      </c>
      <c r="AX24" s="187">
        <f>AX22+AX23</f>
        <v/>
      </c>
      <c r="AY24" s="187">
        <f>AY22+AY23</f>
        <v/>
      </c>
      <c r="AZ24" s="187">
        <f>AZ22+AZ23</f>
        <v/>
      </c>
      <c r="BA24" s="187">
        <f>BA22+BA23</f>
        <v/>
      </c>
      <c r="BB24" s="187">
        <f>BB22+BB23</f>
        <v/>
      </c>
      <c r="BC24" s="187">
        <f>BC22+BC23</f>
        <v/>
      </c>
      <c r="BD24" s="187">
        <f>BD22+BD23</f>
        <v/>
      </c>
      <c r="BE24" s="187">
        <f>BE22+BE23</f>
        <v/>
      </c>
      <c r="BF24" s="187">
        <f>BF22+BF23</f>
        <v/>
      </c>
      <c r="BG24" s="187">
        <f>BG22+BG23</f>
        <v/>
      </c>
      <c r="BH24" s="187">
        <f>BH22+BH23</f>
        <v/>
      </c>
      <c r="BI24" s="187">
        <f>BI22+BI23</f>
        <v/>
      </c>
      <c r="BJ24" s="187">
        <f>BJ22+BJ23</f>
        <v/>
      </c>
      <c r="BK24" s="187">
        <f>BK22+BK23</f>
        <v/>
      </c>
      <c r="BL24" s="187">
        <f>BL22+BL23</f>
        <v/>
      </c>
      <c r="BM24" s="187">
        <f>BM22+BM23</f>
        <v/>
      </c>
      <c r="BN24" s="187">
        <f>BN22+BN23</f>
        <v/>
      </c>
      <c r="BO24" s="187">
        <f>BO22+BO23</f>
        <v/>
      </c>
      <c r="BP24" s="187">
        <f>BP22+BP23</f>
        <v/>
      </c>
      <c r="BQ24" s="187">
        <f>BQ22+BQ23</f>
        <v/>
      </c>
      <c r="BR24" s="187">
        <f>BR22+BR23</f>
        <v/>
      </c>
      <c r="BS24" s="187">
        <f>BS22+BS23</f>
        <v/>
      </c>
      <c r="BT24" s="187">
        <f>BT22+BT23</f>
        <v/>
      </c>
      <c r="BU24" s="187">
        <f>BU22+BU23</f>
        <v/>
      </c>
      <c r="BV24" s="187">
        <f>BV22+BV23</f>
        <v/>
      </c>
      <c r="BW24" s="187">
        <f>BW22+BW23</f>
        <v/>
      </c>
      <c r="BX24" s="187">
        <f>BX22+BX23</f>
        <v/>
      </c>
      <c r="BY24" s="187">
        <f>BY22+BY23</f>
        <v/>
      </c>
      <c r="BZ24" s="187">
        <f>BZ22+BZ23</f>
        <v/>
      </c>
      <c r="CA24" s="187">
        <f>CA22+CA23</f>
        <v/>
      </c>
      <c r="CB24" s="187">
        <f>CB22+CB23</f>
        <v/>
      </c>
      <c r="CC24" s="187">
        <f>CC22+CC23</f>
        <v/>
      </c>
      <c r="CD24" s="187">
        <f>CD22+CD23</f>
        <v/>
      </c>
      <c r="CE24" s="187">
        <f>CE22+CE23</f>
        <v/>
      </c>
      <c r="CF24" s="187">
        <f>CF22+CF23</f>
        <v/>
      </c>
      <c r="CG24" s="187">
        <f>CG22+CG23</f>
        <v/>
      </c>
      <c r="CH24" s="187">
        <f>CH22+CH23</f>
        <v/>
      </c>
      <c r="CI24" s="187">
        <f>CI22+CI23</f>
        <v/>
      </c>
      <c r="CJ24" s="187">
        <f>CJ22+CJ23</f>
        <v/>
      </c>
      <c r="CK24" s="187">
        <f>CK22+CK23</f>
        <v/>
      </c>
      <c r="CL24" s="187">
        <f>CL22+CL23</f>
        <v/>
      </c>
      <c r="CM24" s="187">
        <f>CM22+CM23</f>
        <v/>
      </c>
      <c r="CN24" s="187">
        <f>CN22+CN23</f>
        <v/>
      </c>
      <c r="CO24" s="187">
        <f>CO22+CO23</f>
        <v/>
      </c>
      <c r="CP24" s="187">
        <f>CP22+CP23</f>
        <v/>
      </c>
      <c r="CQ24" s="187">
        <f>CQ22+CQ23</f>
        <v/>
      </c>
      <c r="CR24" s="187">
        <f>CR22+CR23</f>
        <v/>
      </c>
      <c r="CS24" s="187">
        <f>CS22+CS23</f>
        <v/>
      </c>
      <c r="CT24" s="187">
        <f>CT22+CT23</f>
        <v/>
      </c>
      <c r="CU24" s="187">
        <f>CU22+CU23</f>
        <v/>
      </c>
      <c r="CV24" s="187">
        <f>CV22+CV23</f>
        <v/>
      </c>
      <c r="CW24" s="187">
        <f>CW22+CW23</f>
        <v/>
      </c>
      <c r="CX24" s="187">
        <f>CX22+CX23</f>
        <v/>
      </c>
      <c r="CY24" s="187">
        <f>CY22+CY23</f>
        <v/>
      </c>
      <c r="CZ24" s="187">
        <f>CZ22+CZ23</f>
        <v/>
      </c>
      <c r="DA24" s="187">
        <f>DA22+DA23</f>
        <v/>
      </c>
      <c r="DB24" s="187">
        <f>DB22+DB23</f>
        <v/>
      </c>
      <c r="DC24" s="187">
        <f>DC22+DC23</f>
        <v/>
      </c>
      <c r="DD24" s="187">
        <f>DD22+DD23</f>
        <v/>
      </c>
      <c r="DE24" s="187">
        <f>DE22+DE23</f>
        <v/>
      </c>
      <c r="DF24" s="187">
        <f>DF22+DF23</f>
        <v/>
      </c>
      <c r="DG24" s="187">
        <f>DG22+DG23</f>
        <v/>
      </c>
      <c r="DH24" s="187">
        <f>DH22+DH23</f>
        <v/>
      </c>
      <c r="DI24" s="187">
        <f>DI22+DI23</f>
        <v/>
      </c>
      <c r="DJ24" s="187">
        <f>DJ22+DJ23</f>
        <v/>
      </c>
      <c r="DK24" s="187">
        <f>DK22+DK23</f>
        <v/>
      </c>
      <c r="DL24" s="187">
        <f>DL22+DL23</f>
        <v/>
      </c>
      <c r="DM24" s="187">
        <f>DM22+DM23</f>
        <v/>
      </c>
      <c r="DN24" s="187">
        <f>DN22+DN23</f>
        <v/>
      </c>
      <c r="DO24" s="187">
        <f>DO22+DO23</f>
        <v/>
      </c>
      <c r="DP24" s="187">
        <f>DP22+DP23</f>
        <v/>
      </c>
      <c r="DQ24" s="187">
        <f>DQ22+DQ23</f>
        <v/>
      </c>
      <c r="DR24" s="187">
        <f>DR22+DR23</f>
        <v/>
      </c>
      <c r="DS24" s="187">
        <f>DS22+DS23</f>
        <v/>
      </c>
      <c r="DT24" s="187">
        <f>DT22+DT23</f>
        <v/>
      </c>
      <c r="DU24" s="187">
        <f>DU22+DU23</f>
        <v/>
      </c>
      <c r="DV24" s="187">
        <f>DV22+DV23</f>
        <v/>
      </c>
      <c r="DW24" s="187">
        <f>DW22+DW23</f>
        <v/>
      </c>
      <c r="DX24" s="187">
        <f>DX22+DX23</f>
        <v/>
      </c>
      <c r="DY24" s="187">
        <f>DY22+DY23</f>
        <v/>
      </c>
      <c r="DZ24" s="187">
        <f>DZ22+DZ23</f>
        <v/>
      </c>
      <c r="EA24" s="187">
        <f>EA22+EA23</f>
        <v/>
      </c>
      <c r="EB24" s="187">
        <f>EB22+EB23</f>
        <v/>
      </c>
      <c r="EC24" s="187">
        <f>EC22+EC23</f>
        <v/>
      </c>
      <c r="ED24" s="187">
        <f>ED22+ED23</f>
        <v/>
      </c>
      <c r="EE24" s="187">
        <f>EE22+EE23</f>
        <v/>
      </c>
      <c r="EF24" s="187">
        <f>EF22+EF23</f>
        <v/>
      </c>
      <c r="EG24" s="187">
        <f>EG22+EG23</f>
        <v/>
      </c>
      <c r="EH24" s="187">
        <f>EH22+EH23</f>
        <v/>
      </c>
      <c r="EI24" s="187">
        <f>EI22+EI23</f>
        <v/>
      </c>
      <c r="EJ24" s="187">
        <f>EJ22+EJ23</f>
        <v/>
      </c>
      <c r="EK24" s="187">
        <f>EK22+EK23</f>
        <v/>
      </c>
      <c r="EL24" s="187">
        <f>EL22+EL23</f>
        <v/>
      </c>
      <c r="EM24" s="187">
        <f>EM22+EM23</f>
        <v/>
      </c>
      <c r="EN24" s="187">
        <f>EN22+EN23</f>
        <v/>
      </c>
      <c r="EO24" s="187">
        <f>EO22+EO23</f>
        <v/>
      </c>
      <c r="EP24" s="187">
        <f>EP22+EP23</f>
        <v/>
      </c>
      <c r="EQ24" s="187">
        <f>EQ22+EQ23</f>
        <v/>
      </c>
      <c r="ER24" s="187">
        <f>ER22+ER23</f>
        <v/>
      </c>
      <c r="ES24" s="187">
        <f>ES22+ES23</f>
        <v/>
      </c>
      <c r="ET24" s="187">
        <f>ET22+ET23</f>
        <v/>
      </c>
      <c r="EU24" s="187">
        <f>EU22+EU23</f>
        <v/>
      </c>
      <c r="EV24" s="187">
        <f>EV22+EV23</f>
        <v/>
      </c>
      <c r="EW24" s="187">
        <f>EW22+EW23</f>
        <v/>
      </c>
      <c r="EX24" s="187">
        <f>EX22+EX23</f>
        <v/>
      </c>
      <c r="EY24" s="187">
        <f>EY22+EY23</f>
        <v/>
      </c>
      <c r="EZ24" s="187">
        <f>EZ22+EZ23</f>
        <v/>
      </c>
      <c r="FA24" s="187">
        <f>FA22+FA23</f>
        <v/>
      </c>
      <c r="FB24" s="187">
        <f>FB22+FB23</f>
        <v/>
      </c>
      <c r="FC24" s="187">
        <f>FC22+FC23</f>
        <v/>
      </c>
      <c r="FD24" s="187">
        <f>FD22+FD23</f>
        <v/>
      </c>
      <c r="FE24" s="187">
        <f>FE22+FE23</f>
        <v/>
      </c>
      <c r="FF24" s="187">
        <f>FF22+FF23</f>
        <v/>
      </c>
      <c r="FG24" s="187">
        <f>FG22+FG23</f>
        <v/>
      </c>
      <c r="FH24" s="187">
        <f>FH22+FH23</f>
        <v/>
      </c>
      <c r="FI24" s="187">
        <f>FI22+FI23</f>
        <v/>
      </c>
      <c r="FJ24" s="187">
        <f>FJ22+FJ23</f>
        <v/>
      </c>
      <c r="FK24" s="187">
        <f>FK22+FK23</f>
        <v/>
      </c>
      <c r="FL24" s="187">
        <f>FL22+FL23</f>
        <v/>
      </c>
      <c r="FM24" s="187">
        <f>FM22+FM23</f>
        <v/>
      </c>
      <c r="FN24" s="187">
        <f>FN22+FN23</f>
        <v/>
      </c>
      <c r="FO24" s="187">
        <f>FO22+FO23</f>
        <v/>
      </c>
      <c r="FP24" s="187">
        <f>FP22+FP23</f>
        <v/>
      </c>
      <c r="FQ24" s="187">
        <f>FQ22+FQ23</f>
        <v/>
      </c>
      <c r="FR24" s="187">
        <f>FR22+FR23</f>
        <v/>
      </c>
      <c r="FS24" s="187">
        <f>FS22+FS23</f>
        <v/>
      </c>
      <c r="FT24" s="187">
        <f>FT22+FT23</f>
        <v/>
      </c>
      <c r="FU24" s="187">
        <f>FU22+FU23</f>
        <v/>
      </c>
      <c r="FV24" s="187">
        <f>FV22+FV23</f>
        <v/>
      </c>
      <c r="FW24" s="187">
        <f>FW22+FW23</f>
        <v/>
      </c>
      <c r="FX24" s="187">
        <f>FX22+FX23</f>
        <v/>
      </c>
      <c r="FY24" s="187">
        <f>FY22+FY23</f>
        <v/>
      </c>
      <c r="FZ24" s="187">
        <f>FZ22+FZ23</f>
        <v/>
      </c>
      <c r="GA24" s="187">
        <f>GA22+GA23</f>
        <v/>
      </c>
      <c r="GB24" s="187">
        <f>GB22+GB23</f>
        <v/>
      </c>
      <c r="GC24" s="187">
        <f>GC22+GC23</f>
        <v/>
      </c>
      <c r="GD24" s="187">
        <f>GD22+GD23</f>
        <v/>
      </c>
      <c r="GE24" s="187">
        <f>GE22+GE23</f>
        <v/>
      </c>
      <c r="GF24" s="187">
        <f>GF22+GF23</f>
        <v/>
      </c>
      <c r="GG24" s="187">
        <f>GG22+GG23</f>
        <v/>
      </c>
      <c r="GH24" s="187">
        <f>GH22+GH23</f>
        <v/>
      </c>
      <c r="GI24" s="187">
        <f>GI22+GI23</f>
        <v/>
      </c>
      <c r="GJ24" s="187">
        <f>GJ22+GJ23</f>
        <v/>
      </c>
      <c r="GK24" s="187">
        <f>GK22+GK23</f>
        <v/>
      </c>
      <c r="GL24" s="187">
        <f>GL22+GL23</f>
        <v/>
      </c>
      <c r="GM24" s="187">
        <f>GM22+GM23</f>
        <v/>
      </c>
      <c r="GN24" s="187">
        <f>GN22+GN23</f>
        <v/>
      </c>
      <c r="GO24" s="187">
        <f>GO22+GO23</f>
        <v/>
      </c>
      <c r="GP24" s="187">
        <f>GP22+GP23</f>
        <v/>
      </c>
      <c r="GQ24" s="187">
        <f>GQ22+GQ23</f>
        <v/>
      </c>
      <c r="GR24" s="187">
        <f>GR22+GR23</f>
        <v/>
      </c>
      <c r="GS24" s="187">
        <f>GS22+GS23</f>
        <v/>
      </c>
      <c r="GT24" s="187">
        <f>GT22+GT23</f>
        <v/>
      </c>
      <c r="GU24" s="187">
        <f>GU22+GU23</f>
        <v/>
      </c>
      <c r="GV24" s="187">
        <f>GV22+GV23</f>
        <v/>
      </c>
      <c r="GW24" s="187">
        <f>GW22+GW23</f>
        <v/>
      </c>
      <c r="GX24" s="187">
        <f>GX22+GX23</f>
        <v/>
      </c>
      <c r="GY24" s="187">
        <f>GY22+GY23</f>
        <v/>
      </c>
      <c r="GZ24" s="187">
        <f>GZ22+GZ23</f>
        <v/>
      </c>
      <c r="HA24" s="187">
        <f>HA22+HA23</f>
        <v/>
      </c>
      <c r="HB24" s="187">
        <f>HB22+HB23</f>
        <v/>
      </c>
      <c r="HC24" s="187">
        <f>HC22+HC23</f>
        <v/>
      </c>
      <c r="HD24" s="187">
        <f>HD22+HD23</f>
        <v/>
      </c>
      <c r="HE24" s="187">
        <f>HE22+HE23</f>
        <v/>
      </c>
      <c r="HF24" s="187">
        <f>HF22+HF23</f>
        <v/>
      </c>
      <c r="HG24" s="187">
        <f>HG22+HG23</f>
        <v/>
      </c>
      <c r="HH24" s="187">
        <f>HH22+HH23</f>
        <v/>
      </c>
      <c r="HI24" s="187">
        <f>HI22+HI23</f>
        <v/>
      </c>
      <c r="HJ24" s="187">
        <f>HJ22+HJ23</f>
        <v/>
      </c>
      <c r="HK24" s="187">
        <f>HK22+HK23</f>
        <v/>
      </c>
      <c r="HL24" s="187">
        <f>HL22+HL23</f>
        <v/>
      </c>
      <c r="HM24" s="187">
        <f>HM22+HM23</f>
        <v/>
      </c>
      <c r="HN24" s="187">
        <f>HN22+HN23</f>
        <v/>
      </c>
      <c r="HO24" s="187">
        <f>HO22+HO23</f>
        <v/>
      </c>
      <c r="HP24" s="187">
        <f>HP22+HP23</f>
        <v/>
      </c>
      <c r="HQ24" s="187">
        <f>HQ22+HQ23</f>
        <v/>
      </c>
      <c r="HR24" s="187">
        <f>HR22+HR23</f>
        <v/>
      </c>
      <c r="HS24" s="187">
        <f>HS22+HS23</f>
        <v/>
      </c>
      <c r="HT24" s="187">
        <f>HT22+HT23</f>
        <v/>
      </c>
      <c r="HU24" s="187">
        <f>HU22+HU23</f>
        <v/>
      </c>
      <c r="HV24" s="187">
        <f>HV22+HV23</f>
        <v/>
      </c>
      <c r="HW24" s="187">
        <f>HW22+HW23</f>
        <v/>
      </c>
      <c r="HX24" s="187">
        <f>HX22+HX23</f>
        <v/>
      </c>
      <c r="HY24" s="187">
        <f>HY22+HY23</f>
        <v/>
      </c>
      <c r="HZ24" s="187">
        <f>HZ22+HZ23</f>
        <v/>
      </c>
      <c r="IA24" s="187">
        <f>IA22+IA23</f>
        <v/>
      </c>
      <c r="IB24" s="187">
        <f>IB22+IB23</f>
        <v/>
      </c>
      <c r="IC24" s="187">
        <f>IC22+IC23</f>
        <v/>
      </c>
      <c r="ID24" s="187">
        <f>ID22+ID23</f>
        <v/>
      </c>
      <c r="IE24" s="187">
        <f>IE22+IE23</f>
        <v/>
      </c>
      <c r="IF24" s="187">
        <f>IF22+IF23</f>
        <v/>
      </c>
      <c r="IG24" s="187">
        <f>IG22+IG23</f>
        <v/>
      </c>
      <c r="IH24" s="187">
        <f>IH22+IH23</f>
        <v/>
      </c>
      <c r="II24" s="187">
        <f>II22+II23</f>
        <v/>
      </c>
      <c r="IJ24" s="187">
        <f>IJ22+IJ23</f>
        <v/>
      </c>
      <c r="IK24" s="187">
        <f>IK22+IK23</f>
        <v/>
      </c>
      <c r="IL24" s="187">
        <f>IL22+IL23</f>
        <v/>
      </c>
      <c r="IM24" s="187">
        <f>IM22+IM23</f>
        <v/>
      </c>
      <c r="IN24" s="187">
        <f>IN22+IN23</f>
        <v/>
      </c>
      <c r="IO24" s="187">
        <f>IO22+IO23</f>
        <v/>
      </c>
      <c r="IP24" s="187">
        <f>IP22+IP23</f>
        <v/>
      </c>
      <c r="IQ24" s="187">
        <f>IQ22+IQ23</f>
        <v/>
      </c>
      <c r="IR24" s="187">
        <f>IR22+IR23</f>
        <v/>
      </c>
      <c r="IS24" s="187">
        <f>IS22+IS23</f>
        <v/>
      </c>
      <c r="IT24" s="187">
        <f>IT22+IT23</f>
        <v/>
      </c>
      <c r="IU24" s="187">
        <f>IU22+IU23</f>
        <v/>
      </c>
      <c r="IV24" s="187">
        <f>IV22+IV23</f>
        <v/>
      </c>
      <c r="IW24" s="187">
        <f>IW22+IW23</f>
        <v/>
      </c>
      <c r="IX24" s="187">
        <f>IX22+IX23</f>
        <v/>
      </c>
      <c r="IY24" s="187">
        <f>IY22+IY23</f>
        <v/>
      </c>
      <c r="IZ24" s="187">
        <f>IZ22+IZ23</f>
        <v/>
      </c>
      <c r="JA24" s="187">
        <f>JA22+JA23</f>
        <v/>
      </c>
      <c r="JB24" s="187">
        <f>JB22+JB23</f>
        <v/>
      </c>
      <c r="JC24" s="187">
        <f>JC22+JC23</f>
        <v/>
      </c>
      <c r="JD24" s="187">
        <f>JD22+JD23</f>
        <v/>
      </c>
      <c r="JE24" s="187">
        <f>JE22+JE23</f>
        <v/>
      </c>
      <c r="JF24" s="187">
        <f>JF22+JF23</f>
        <v/>
      </c>
      <c r="JG24" s="187">
        <f>JG22+JG23</f>
        <v/>
      </c>
      <c r="JH24" s="187">
        <f>JH22+JH23</f>
        <v/>
      </c>
      <c r="JI24" s="187">
        <f>JI22+JI23</f>
        <v/>
      </c>
      <c r="JJ24" s="187">
        <f>JJ22+JJ23</f>
        <v/>
      </c>
      <c r="JK24" s="187">
        <f>JK22+JK23</f>
        <v/>
      </c>
      <c r="JL24" s="187">
        <f>JL22+JL23</f>
        <v/>
      </c>
      <c r="JM24" s="187">
        <f>JM22+JM23</f>
        <v/>
      </c>
      <c r="JN24" s="187">
        <f>JN22+JN23</f>
        <v/>
      </c>
      <c r="JO24" s="187">
        <f>JO22+JO23</f>
        <v/>
      </c>
      <c r="JP24" s="187">
        <f>JP22+JP23</f>
        <v/>
      </c>
      <c r="JQ24" s="187">
        <f>JQ22+JQ23</f>
        <v/>
      </c>
      <c r="JR24" s="187">
        <f>JR22+JR23</f>
        <v/>
      </c>
      <c r="JS24" s="187">
        <f>JS22+JS23</f>
        <v/>
      </c>
      <c r="JT24" s="187">
        <f>JT22+JT23</f>
        <v/>
      </c>
      <c r="JU24" s="187">
        <f>JU22+JU23</f>
        <v/>
      </c>
      <c r="JV24" s="187">
        <f>JV22+JV23</f>
        <v/>
      </c>
      <c r="JW24" s="187">
        <f>JW22+JW23</f>
        <v/>
      </c>
      <c r="JX24" s="187">
        <f>JX22+JX23</f>
        <v/>
      </c>
      <c r="JY24" s="187">
        <f>JY22+JY23</f>
        <v/>
      </c>
      <c r="JZ24" s="187">
        <f>JZ22+JZ23</f>
        <v/>
      </c>
      <c r="KA24" s="187">
        <f>KA22+KA23</f>
        <v/>
      </c>
      <c r="KB24" s="187">
        <f>KB22+KB23</f>
        <v/>
      </c>
      <c r="KC24" s="187">
        <f>KC22+KC23</f>
        <v/>
      </c>
      <c r="KD24" s="187">
        <f>KD22+KD23</f>
        <v/>
      </c>
      <c r="KE24" s="187">
        <f>KE22+KE23</f>
        <v/>
      </c>
      <c r="KF24" s="187">
        <f>KF22+KF23</f>
        <v/>
      </c>
      <c r="KG24" s="187">
        <f>KG22+KG23</f>
        <v/>
      </c>
      <c r="KH24" s="187">
        <f>KH22+KH23</f>
        <v/>
      </c>
      <c r="KI24" s="187">
        <f>KI22+KI23</f>
        <v/>
      </c>
      <c r="KJ24" s="187">
        <f>KJ22+KJ23</f>
        <v/>
      </c>
      <c r="KK24" s="187">
        <f>KK22+KK23</f>
        <v/>
      </c>
      <c r="KL24" s="187">
        <f>KL22+KL23</f>
        <v/>
      </c>
      <c r="KM24" s="187">
        <f>KM22+KM23</f>
        <v/>
      </c>
      <c r="KN24" s="187">
        <f>KN22+KN23</f>
        <v/>
      </c>
      <c r="KO24" s="187">
        <f>KO22+KO23</f>
        <v/>
      </c>
      <c r="KP24" s="187">
        <f>KP22+KP23</f>
        <v/>
      </c>
    </row>
    <row r="25" ht="16" customHeight="1" s="133">
      <c r="A25" s="177" t="inlineStr">
        <is>
          <t>Discount Factor</t>
        </is>
      </c>
      <c r="B25" s="178" t="inlineStr">
        <is>
          <t>-</t>
        </is>
      </c>
      <c r="C25" s="184">
        <f>1/(1+WACC!$E$34)^1</f>
        <v/>
      </c>
      <c r="D25" s="184">
        <f>1/(1+WACC!$E$34)^2</f>
        <v/>
      </c>
      <c r="E25" s="184">
        <f>1/(1+WACC!$E$34)^3</f>
        <v/>
      </c>
      <c r="F25" s="184">
        <f>1/(1+WACC!$E$34)^4</f>
        <v/>
      </c>
      <c r="G25" s="184">
        <f>1/(1+WACC!$E$34)^5</f>
        <v/>
      </c>
      <c r="H25" s="184">
        <f>1/(1+WACC!$E$34)^6</f>
        <v/>
      </c>
      <c r="I25" s="184">
        <f>1/(1+WACC!$E$34)^7</f>
        <v/>
      </c>
      <c r="J25" s="184">
        <f>1/(1+WACC!$E$34)^8</f>
        <v/>
      </c>
      <c r="K25" s="184">
        <f>1/(1+WACC!$E$34)^9</f>
        <v/>
      </c>
      <c r="L25" s="184">
        <f>1/(1+WACC!$E$34)^10</f>
        <v/>
      </c>
      <c r="M25" s="184">
        <f>1/(1+WACC!$E$34)^11</f>
        <v/>
      </c>
      <c r="N25" s="184">
        <f>1/(1+WACC!$E$34)^12</f>
        <v/>
      </c>
      <c r="O25" s="184">
        <f>1/(1+WACC!$E$34)^13</f>
        <v/>
      </c>
      <c r="P25" s="184">
        <f>1/(1+WACC!$E$34)^14</f>
        <v/>
      </c>
      <c r="Q25" s="184">
        <f>1/(1+WACC!$E$34)^15</f>
        <v/>
      </c>
      <c r="R25" s="184">
        <f>1/(1+WACC!$E$34)^16</f>
        <v/>
      </c>
      <c r="S25" s="184">
        <f>1/(1+WACC!$E$34)^17</f>
        <v/>
      </c>
      <c r="T25" s="184">
        <f>1/(1+WACC!$E$34)^18</f>
        <v/>
      </c>
      <c r="U25" s="184">
        <f>1/(1+WACC!$E$34)^19</f>
        <v/>
      </c>
      <c r="V25" s="184">
        <f>1/(1+WACC!$E$34)^20</f>
        <v/>
      </c>
      <c r="W25" s="184">
        <f>1/(1+WACC!$E$34)^21</f>
        <v/>
      </c>
      <c r="X25" s="184">
        <f>1/(1+WACC!$E$34)^22</f>
        <v/>
      </c>
      <c r="Y25" s="184">
        <f>1/(1+WACC!$E$34)^23</f>
        <v/>
      </c>
      <c r="Z25" s="184">
        <f>1/(1+WACC!$E$34)^24</f>
        <v/>
      </c>
      <c r="AA25" s="184">
        <f>1/(1+WACC!$E$34)^25</f>
        <v/>
      </c>
      <c r="AB25" s="184">
        <f>1/(1+WACC!$E$34)^26</f>
        <v/>
      </c>
      <c r="AC25" s="184">
        <f>1/(1+WACC!$E$34)^27</f>
        <v/>
      </c>
      <c r="AD25" s="184">
        <f>1/(1+WACC!$E$34)^28</f>
        <v/>
      </c>
      <c r="AE25" s="184">
        <f>1/(1+WACC!$E$34)^29</f>
        <v/>
      </c>
      <c r="AF25" s="184">
        <f>1/(1+WACC!$E$34)^30</f>
        <v/>
      </c>
      <c r="AG25" s="184">
        <f>1/(1+WACC!$E$34)^31</f>
        <v/>
      </c>
      <c r="AH25" s="184">
        <f>1/(1+WACC!$E$34)^32</f>
        <v/>
      </c>
      <c r="AI25" s="184">
        <f>1/(1+WACC!$E$34)^33</f>
        <v/>
      </c>
      <c r="AJ25" s="184">
        <f>1/(1+WACC!$E$34)^34</f>
        <v/>
      </c>
      <c r="AK25" s="184">
        <f>1/(1+WACC!$E$34)^35</f>
        <v/>
      </c>
      <c r="AL25" s="184">
        <f>1/(1+WACC!$E$34)^36</f>
        <v/>
      </c>
      <c r="AM25" s="184">
        <f>1/(1+WACC!$E$34)^37</f>
        <v/>
      </c>
      <c r="AN25" s="184">
        <f>1/(1+WACC!$E$34)^38</f>
        <v/>
      </c>
      <c r="AO25" s="184">
        <f>1/(1+WACC!$E$34)^39</f>
        <v/>
      </c>
      <c r="AP25" s="184">
        <f>1/(1+WACC!$E$34)^40</f>
        <v/>
      </c>
      <c r="AQ25" s="184">
        <f>1/(1+WACC!$E$34)^41</f>
        <v/>
      </c>
      <c r="AR25" s="184">
        <f>1/(1+WACC!$E$34)^42</f>
        <v/>
      </c>
      <c r="AS25" s="184">
        <f>1/(1+WACC!$E$34)^43</f>
        <v/>
      </c>
      <c r="AT25" s="184">
        <f>1/(1+WACC!$E$34)^44</f>
        <v/>
      </c>
      <c r="AU25" s="184">
        <f>1/(1+WACC!$E$34)^45</f>
        <v/>
      </c>
      <c r="AV25" s="184">
        <f>1/(1+WACC!$E$34)^46</f>
        <v/>
      </c>
      <c r="AW25" s="184">
        <f>1/(1+WACC!$E$34)^47</f>
        <v/>
      </c>
      <c r="AX25" s="184">
        <f>1/(1+WACC!$E$34)^48</f>
        <v/>
      </c>
      <c r="AY25" s="184">
        <f>1/(1+WACC!$E$34)^49</f>
        <v/>
      </c>
      <c r="AZ25" s="184">
        <f>1/(1+WACC!$E$34)^50</f>
        <v/>
      </c>
      <c r="BA25" s="184">
        <f>1/(1+WACC!$E$34)^51</f>
        <v/>
      </c>
      <c r="BB25" s="184">
        <f>1/(1+WACC!$E$34)^52</f>
        <v/>
      </c>
      <c r="BC25" s="184">
        <f>1/(1+WACC!$E$34)^53</f>
        <v/>
      </c>
      <c r="BD25" s="184">
        <f>1/(1+WACC!$E$34)^54</f>
        <v/>
      </c>
      <c r="BE25" s="184">
        <f>1/(1+WACC!$E$34)^55</f>
        <v/>
      </c>
      <c r="BF25" s="184">
        <f>1/(1+WACC!$E$34)^56</f>
        <v/>
      </c>
      <c r="BG25" s="184">
        <f>1/(1+WACC!$E$34)^57</f>
        <v/>
      </c>
      <c r="BH25" s="184">
        <f>1/(1+WACC!$E$34)^58</f>
        <v/>
      </c>
      <c r="BI25" s="184">
        <f>1/(1+WACC!$E$34)^59</f>
        <v/>
      </c>
      <c r="BJ25" s="184">
        <f>1/(1+WACC!$E$34)^60</f>
        <v/>
      </c>
      <c r="BK25" s="184">
        <f>1/(1+WACC!$E$34)^61</f>
        <v/>
      </c>
      <c r="BL25" s="184">
        <f>1/(1+WACC!$E$34)^62</f>
        <v/>
      </c>
      <c r="BM25" s="184">
        <f>1/(1+WACC!$E$34)^63</f>
        <v/>
      </c>
      <c r="BN25" s="184">
        <f>1/(1+WACC!$E$34)^64</f>
        <v/>
      </c>
      <c r="BO25" s="184">
        <f>1/(1+WACC!$E$34)^65</f>
        <v/>
      </c>
      <c r="BP25" s="184">
        <f>1/(1+WACC!$E$34)^66</f>
        <v/>
      </c>
      <c r="BQ25" s="184">
        <f>1/(1+WACC!$E$34)^67</f>
        <v/>
      </c>
      <c r="BR25" s="184">
        <f>1/(1+WACC!$E$34)^68</f>
        <v/>
      </c>
      <c r="BS25" s="184">
        <f>1/(1+WACC!$E$34)^69</f>
        <v/>
      </c>
      <c r="BT25" s="184">
        <f>1/(1+WACC!$E$34)^70</f>
        <v/>
      </c>
      <c r="BU25" s="184">
        <f>1/(1+WACC!$E$34)^71</f>
        <v/>
      </c>
      <c r="BV25" s="184">
        <f>1/(1+WACC!$E$34)^72</f>
        <v/>
      </c>
      <c r="BW25" s="184">
        <f>1/(1+WACC!$E$34)^73</f>
        <v/>
      </c>
      <c r="BX25" s="184">
        <f>1/(1+WACC!$E$34)^74</f>
        <v/>
      </c>
      <c r="BY25" s="184">
        <f>1/(1+WACC!$E$34)^75</f>
        <v/>
      </c>
      <c r="BZ25" s="184">
        <f>1/(1+WACC!$E$34)^76</f>
        <v/>
      </c>
      <c r="CA25" s="184">
        <f>1/(1+WACC!$E$34)^77</f>
        <v/>
      </c>
      <c r="CB25" s="184">
        <f>1/(1+WACC!$E$34)^78</f>
        <v/>
      </c>
      <c r="CC25" s="184">
        <f>1/(1+WACC!$E$34)^79</f>
        <v/>
      </c>
      <c r="CD25" s="184">
        <f>1/(1+WACC!$E$34)^80</f>
        <v/>
      </c>
      <c r="CE25" s="184">
        <f>1/(1+WACC!$E$34)^81</f>
        <v/>
      </c>
      <c r="CF25" s="184">
        <f>1/(1+WACC!$E$34)^82</f>
        <v/>
      </c>
      <c r="CG25" s="184">
        <f>1/(1+WACC!$E$34)^83</f>
        <v/>
      </c>
      <c r="CH25" s="184">
        <f>1/(1+WACC!$E$34)^84</f>
        <v/>
      </c>
      <c r="CI25" s="184">
        <f>1/(1+WACC!$E$34)^85</f>
        <v/>
      </c>
      <c r="CJ25" s="184">
        <f>1/(1+WACC!$E$34)^86</f>
        <v/>
      </c>
      <c r="CK25" s="184">
        <f>1/(1+WACC!$E$34)^87</f>
        <v/>
      </c>
      <c r="CL25" s="184">
        <f>1/(1+WACC!$E$34)^88</f>
        <v/>
      </c>
      <c r="CM25" s="184">
        <f>1/(1+WACC!$E$34)^89</f>
        <v/>
      </c>
      <c r="CN25" s="184">
        <f>1/(1+WACC!$E$34)^90</f>
        <v/>
      </c>
      <c r="CO25" s="184">
        <f>1/(1+WACC!$E$34)^91</f>
        <v/>
      </c>
      <c r="CP25" s="184">
        <f>1/(1+WACC!$E$34)^92</f>
        <v/>
      </c>
      <c r="CQ25" s="184">
        <f>1/(1+WACC!$E$34)^93</f>
        <v/>
      </c>
      <c r="CR25" s="184">
        <f>1/(1+WACC!$E$34)^94</f>
        <v/>
      </c>
      <c r="CS25" s="184">
        <f>1/(1+WACC!$E$34)^95</f>
        <v/>
      </c>
      <c r="CT25" s="184">
        <f>1/(1+WACC!$E$34)^96</f>
        <v/>
      </c>
      <c r="CU25" s="184">
        <f>1/(1+WACC!$E$34)^97</f>
        <v/>
      </c>
      <c r="CV25" s="184">
        <f>1/(1+WACC!$E$34)^98</f>
        <v/>
      </c>
      <c r="CW25" s="184">
        <f>1/(1+WACC!$E$34)^99</f>
        <v/>
      </c>
      <c r="CX25" s="184">
        <f>1/(1+WACC!$E$34)^100</f>
        <v/>
      </c>
      <c r="CY25" s="184">
        <f>1/(1+WACC!$E$34)^101</f>
        <v/>
      </c>
      <c r="CZ25" s="184">
        <f>1/(1+WACC!$E$34)^102</f>
        <v/>
      </c>
      <c r="DA25" s="184">
        <f>1/(1+WACC!$E$34)^103</f>
        <v/>
      </c>
      <c r="DB25" s="184">
        <f>1/(1+WACC!$E$34)^104</f>
        <v/>
      </c>
      <c r="DC25" s="184">
        <f>1/(1+WACC!$E$34)^105</f>
        <v/>
      </c>
      <c r="DD25" s="184">
        <f>1/(1+WACC!$E$34)^106</f>
        <v/>
      </c>
      <c r="DE25" s="184">
        <f>1/(1+WACC!$E$34)^107</f>
        <v/>
      </c>
      <c r="DF25" s="184">
        <f>1/(1+WACC!$E$34)^108</f>
        <v/>
      </c>
      <c r="DG25" s="184">
        <f>1/(1+WACC!$E$34)^109</f>
        <v/>
      </c>
      <c r="DH25" s="184">
        <f>1/(1+WACC!$E$34)^110</f>
        <v/>
      </c>
      <c r="DI25" s="184">
        <f>1/(1+WACC!$E$34)^111</f>
        <v/>
      </c>
      <c r="DJ25" s="184">
        <f>1/(1+WACC!$E$34)^112</f>
        <v/>
      </c>
      <c r="DK25" s="184">
        <f>1/(1+WACC!$E$34)^113</f>
        <v/>
      </c>
      <c r="DL25" s="184">
        <f>1/(1+WACC!$E$34)^114</f>
        <v/>
      </c>
      <c r="DM25" s="184">
        <f>1/(1+WACC!$E$34)^115</f>
        <v/>
      </c>
      <c r="DN25" s="184">
        <f>1/(1+WACC!$E$34)^116</f>
        <v/>
      </c>
      <c r="DO25" s="184">
        <f>1/(1+WACC!$E$34)^117</f>
        <v/>
      </c>
      <c r="DP25" s="184">
        <f>1/(1+WACC!$E$34)^118</f>
        <v/>
      </c>
      <c r="DQ25" s="184">
        <f>1/(1+WACC!$E$34)^119</f>
        <v/>
      </c>
      <c r="DR25" s="184">
        <f>1/(1+WACC!$E$34)^120</f>
        <v/>
      </c>
      <c r="DS25" s="184">
        <f>(1/(1+WACC!$E$34)^120)*(1/(1+WACC!$E$35)^1)</f>
        <v/>
      </c>
      <c r="DT25" s="184">
        <f>(1/(1+WACC!$E$34)^120)*(1/(1+WACC!$E$35)^2)</f>
        <v/>
      </c>
      <c r="DU25" s="184">
        <f>(1/(1+WACC!$E$34)^120)*(1/(1+WACC!$E$35)^3)</f>
        <v/>
      </c>
      <c r="DV25" s="184">
        <f>(1/(1+WACC!$E$34)^120)*(1/(1+WACC!$E$35)^4)</f>
        <v/>
      </c>
      <c r="DW25" s="184">
        <f>(1/(1+WACC!$E$34)^120)*(1/(1+WACC!$E$35)^5)</f>
        <v/>
      </c>
      <c r="DX25" s="184">
        <f>(1/(1+WACC!$E$34)^120)*(1/(1+WACC!$E$35)^6)</f>
        <v/>
      </c>
      <c r="DY25" s="184">
        <f>(1/(1+WACC!$E$34)^120)*(1/(1+WACC!$E$35)^7)</f>
        <v/>
      </c>
      <c r="DZ25" s="184">
        <f>(1/(1+WACC!$E$34)^120)*(1/(1+WACC!$E$35)^8)</f>
        <v/>
      </c>
      <c r="EA25" s="184">
        <f>(1/(1+WACC!$E$34)^120)*(1/(1+WACC!$E$35)^9)</f>
        <v/>
      </c>
      <c r="EB25" s="184">
        <f>(1/(1+WACC!$E$34)^120)*(1/(1+WACC!$E$35)^10)</f>
        <v/>
      </c>
      <c r="EC25" s="184">
        <f>(1/(1+WACC!$E$34)^120)*(1/(1+WACC!$E$35)^11)</f>
        <v/>
      </c>
      <c r="ED25" s="184">
        <f>(1/(1+WACC!$E$34)^120)*(1/(1+WACC!$E$35)^12)</f>
        <v/>
      </c>
      <c r="EE25" s="184">
        <f>(1/(1+WACC!$E$34)^120)*(1/(1+WACC!$E$35)^13)</f>
        <v/>
      </c>
      <c r="EF25" s="184">
        <f>(1/(1+WACC!$E$34)^120)*(1/(1+WACC!$E$35)^14)</f>
        <v/>
      </c>
      <c r="EG25" s="184">
        <f>(1/(1+WACC!$E$34)^120)*(1/(1+WACC!$E$35)^15)</f>
        <v/>
      </c>
      <c r="EH25" s="184">
        <f>(1/(1+WACC!$E$34)^120)*(1/(1+WACC!$E$35)^16)</f>
        <v/>
      </c>
      <c r="EI25" s="184">
        <f>(1/(1+WACC!$E$34)^120)*(1/(1+WACC!$E$35)^17)</f>
        <v/>
      </c>
      <c r="EJ25" s="184">
        <f>(1/(1+WACC!$E$34)^120)*(1/(1+WACC!$E$35)^18)</f>
        <v/>
      </c>
      <c r="EK25" s="184">
        <f>(1/(1+WACC!$E$34)^120)*(1/(1+WACC!$E$35)^19)</f>
        <v/>
      </c>
      <c r="EL25" s="184">
        <f>(1/(1+WACC!$E$34)^120)*(1/(1+WACC!$E$35)^20)</f>
        <v/>
      </c>
      <c r="EM25" s="184">
        <f>(1/(1+WACC!$E$34)^120)*(1/(1+WACC!$E$35)^21)</f>
        <v/>
      </c>
      <c r="EN25" s="184">
        <f>(1/(1+WACC!$E$34)^120)*(1/(1+WACC!$E$35)^22)</f>
        <v/>
      </c>
      <c r="EO25" s="184">
        <f>(1/(1+WACC!$E$34)^120)*(1/(1+WACC!$E$35)^23)</f>
        <v/>
      </c>
      <c r="EP25" s="184">
        <f>(1/(1+WACC!$E$34)^120)*(1/(1+WACC!$E$35)^24)</f>
        <v/>
      </c>
      <c r="EQ25" s="184">
        <f>(1/(1+WACC!$E$34)^120)*(1/(1+WACC!$E$35)^25)</f>
        <v/>
      </c>
      <c r="ER25" s="184">
        <f>(1/(1+WACC!$E$34)^120)*(1/(1+WACC!$E$35)^26)</f>
        <v/>
      </c>
      <c r="ES25" s="184">
        <f>(1/(1+WACC!$E$34)^120)*(1/(1+WACC!$E$35)^27)</f>
        <v/>
      </c>
      <c r="ET25" s="184">
        <f>(1/(1+WACC!$E$34)^120)*(1/(1+WACC!$E$35)^28)</f>
        <v/>
      </c>
      <c r="EU25" s="184">
        <f>(1/(1+WACC!$E$34)^120)*(1/(1+WACC!$E$35)^29)</f>
        <v/>
      </c>
      <c r="EV25" s="184">
        <f>(1/(1+WACC!$E$34)^120)*(1/(1+WACC!$E$35)^30)</f>
        <v/>
      </c>
      <c r="EW25" s="184">
        <f>(1/(1+WACC!$E$34)^120)*(1/(1+WACC!$E$35)^31)</f>
        <v/>
      </c>
      <c r="EX25" s="184">
        <f>(1/(1+WACC!$E$34)^120)*(1/(1+WACC!$E$35)^32)</f>
        <v/>
      </c>
      <c r="EY25" s="184">
        <f>(1/(1+WACC!$E$34)^120)*(1/(1+WACC!$E$35)^33)</f>
        <v/>
      </c>
      <c r="EZ25" s="184">
        <f>(1/(1+WACC!$E$34)^120)*(1/(1+WACC!$E$35)^34)</f>
        <v/>
      </c>
      <c r="FA25" s="184">
        <f>(1/(1+WACC!$E$34)^120)*(1/(1+WACC!$E$35)^35)</f>
        <v/>
      </c>
      <c r="FB25" s="184">
        <f>(1/(1+WACC!$E$34)^120)*(1/(1+WACC!$E$35)^36)</f>
        <v/>
      </c>
      <c r="FC25" s="184">
        <f>(1/(1+WACC!$E$34)^120)*(1/(1+WACC!$E$35)^37)</f>
        <v/>
      </c>
      <c r="FD25" s="184">
        <f>(1/(1+WACC!$E$34)^120)*(1/(1+WACC!$E$35)^38)</f>
        <v/>
      </c>
      <c r="FE25" s="184">
        <f>(1/(1+WACC!$E$34)^120)*(1/(1+WACC!$E$35)^39)</f>
        <v/>
      </c>
      <c r="FF25" s="184">
        <f>(1/(1+WACC!$E$34)^120)*(1/(1+WACC!$E$35)^40)</f>
        <v/>
      </c>
      <c r="FG25" s="184">
        <f>(1/(1+WACC!$E$34)^120)*(1/(1+WACC!$E$35)^41)</f>
        <v/>
      </c>
      <c r="FH25" s="184">
        <f>(1/(1+WACC!$E$34)^120)*(1/(1+WACC!$E$35)^42)</f>
        <v/>
      </c>
      <c r="FI25" s="184">
        <f>(1/(1+WACC!$E$34)^120)*(1/(1+WACC!$E$35)^43)</f>
        <v/>
      </c>
      <c r="FJ25" s="184">
        <f>(1/(1+WACC!$E$34)^120)*(1/(1+WACC!$E$35)^44)</f>
        <v/>
      </c>
      <c r="FK25" s="184">
        <f>(1/(1+WACC!$E$34)^120)*(1/(1+WACC!$E$35)^45)</f>
        <v/>
      </c>
      <c r="FL25" s="184">
        <f>(1/(1+WACC!$E$34)^120)*(1/(1+WACC!$E$35)^46)</f>
        <v/>
      </c>
      <c r="FM25" s="184">
        <f>(1/(1+WACC!$E$34)^120)*(1/(1+WACC!$E$35)^47)</f>
        <v/>
      </c>
      <c r="FN25" s="184">
        <f>(1/(1+WACC!$E$34)^120)*(1/(1+WACC!$E$35)^48)</f>
        <v/>
      </c>
      <c r="FO25" s="184">
        <f>(1/(1+WACC!$E$34)^120)*(1/(1+WACC!$E$35)^49)</f>
        <v/>
      </c>
      <c r="FP25" s="184">
        <f>(1/(1+WACC!$E$34)^120)*(1/(1+WACC!$E$35)^50)</f>
        <v/>
      </c>
      <c r="FQ25" s="184">
        <f>(1/(1+WACC!$E$34)^120)*(1/(1+WACC!$E$35)^51)</f>
        <v/>
      </c>
      <c r="FR25" s="184">
        <f>(1/(1+WACC!$E$34)^120)*(1/(1+WACC!$E$35)^52)</f>
        <v/>
      </c>
      <c r="FS25" s="184">
        <f>(1/(1+WACC!$E$34)^120)*(1/(1+WACC!$E$35)^53)</f>
        <v/>
      </c>
      <c r="FT25" s="184">
        <f>(1/(1+WACC!$E$34)^120)*(1/(1+WACC!$E$35)^54)</f>
        <v/>
      </c>
      <c r="FU25" s="184">
        <f>(1/(1+WACC!$E$34)^120)*(1/(1+WACC!$E$35)^55)</f>
        <v/>
      </c>
      <c r="FV25" s="184">
        <f>(1/(1+WACC!$E$34)^120)*(1/(1+WACC!$E$35)^56)</f>
        <v/>
      </c>
      <c r="FW25" s="184">
        <f>(1/(1+WACC!$E$34)^120)*(1/(1+WACC!$E$35)^57)</f>
        <v/>
      </c>
      <c r="FX25" s="184">
        <f>(1/(1+WACC!$E$34)^120)*(1/(1+WACC!$E$35)^58)</f>
        <v/>
      </c>
      <c r="FY25" s="184">
        <f>(1/(1+WACC!$E$34)^120)*(1/(1+WACC!$E$35)^59)</f>
        <v/>
      </c>
      <c r="FZ25" s="184">
        <f>(1/(1+WACC!$E$34)^120)*(1/(1+WACC!$E$35)^60)</f>
        <v/>
      </c>
      <c r="GA25" s="184">
        <f>(1/(1+WACC!$E$34)^120)*(1/(1+WACC!$E$35)^61)</f>
        <v/>
      </c>
      <c r="GB25" s="184">
        <f>(1/(1+WACC!$E$34)^120)*(1/(1+WACC!$E$35)^62)</f>
        <v/>
      </c>
      <c r="GC25" s="184">
        <f>(1/(1+WACC!$E$34)^120)*(1/(1+WACC!$E$35)^63)</f>
        <v/>
      </c>
      <c r="GD25" s="184">
        <f>(1/(1+WACC!$E$34)^120)*(1/(1+WACC!$E$35)^64)</f>
        <v/>
      </c>
      <c r="GE25" s="184">
        <f>(1/(1+WACC!$E$34)^120)*(1/(1+WACC!$E$35)^65)</f>
        <v/>
      </c>
      <c r="GF25" s="184">
        <f>(1/(1+WACC!$E$34)^120)*(1/(1+WACC!$E$35)^66)</f>
        <v/>
      </c>
      <c r="GG25" s="184">
        <f>(1/(1+WACC!$E$34)^120)*(1/(1+WACC!$E$35)^67)</f>
        <v/>
      </c>
      <c r="GH25" s="184">
        <f>(1/(1+WACC!$E$34)^120)*(1/(1+WACC!$E$35)^68)</f>
        <v/>
      </c>
      <c r="GI25" s="184">
        <f>(1/(1+WACC!$E$34)^120)*(1/(1+WACC!$E$35)^69)</f>
        <v/>
      </c>
      <c r="GJ25" s="184">
        <f>(1/(1+WACC!$E$34)^120)*(1/(1+WACC!$E$35)^70)</f>
        <v/>
      </c>
      <c r="GK25" s="184">
        <f>(1/(1+WACC!$E$34)^120)*(1/(1+WACC!$E$35)^71)</f>
        <v/>
      </c>
      <c r="GL25" s="184">
        <f>(1/(1+WACC!$E$34)^120)*(1/(1+WACC!$E$35)^72)</f>
        <v/>
      </c>
      <c r="GM25" s="184">
        <f>(1/(1+WACC!$E$34)^120)*(1/(1+WACC!$E$35)^73)</f>
        <v/>
      </c>
      <c r="GN25" s="184">
        <f>(1/(1+WACC!$E$34)^120)*(1/(1+WACC!$E$35)^74)</f>
        <v/>
      </c>
      <c r="GO25" s="184">
        <f>(1/(1+WACC!$E$34)^120)*(1/(1+WACC!$E$35)^75)</f>
        <v/>
      </c>
      <c r="GP25" s="184">
        <f>(1/(1+WACC!$E$34)^120)*(1/(1+WACC!$E$35)^76)</f>
        <v/>
      </c>
      <c r="GQ25" s="184">
        <f>(1/(1+WACC!$E$34)^120)*(1/(1+WACC!$E$35)^77)</f>
        <v/>
      </c>
      <c r="GR25" s="184">
        <f>(1/(1+WACC!$E$34)^120)*(1/(1+WACC!$E$35)^78)</f>
        <v/>
      </c>
      <c r="GS25" s="184">
        <f>(1/(1+WACC!$E$34)^120)*(1/(1+WACC!$E$35)^79)</f>
        <v/>
      </c>
      <c r="GT25" s="184">
        <f>(1/(1+WACC!$E$34)^120)*(1/(1+WACC!$E$35)^80)</f>
        <v/>
      </c>
      <c r="GU25" s="184">
        <f>(1/(1+WACC!$E$34)^120)*(1/(1+WACC!$E$35)^81)</f>
        <v/>
      </c>
      <c r="GV25" s="184">
        <f>(1/(1+WACC!$E$34)^120)*(1/(1+WACC!$E$35)^82)</f>
        <v/>
      </c>
      <c r="GW25" s="184">
        <f>(1/(1+WACC!$E$34)^120)*(1/(1+WACC!$E$35)^83)</f>
        <v/>
      </c>
      <c r="GX25" s="184">
        <f>(1/(1+WACC!$E$34)^120)*(1/(1+WACC!$E$35)^84)</f>
        <v/>
      </c>
      <c r="GY25" s="184">
        <f>(1/(1+WACC!$E$34)^120)*(1/(1+WACC!$E$35)^85)</f>
        <v/>
      </c>
      <c r="GZ25" s="184">
        <f>(1/(1+WACC!$E$34)^120)*(1/(1+WACC!$E$35)^86)</f>
        <v/>
      </c>
      <c r="HA25" s="184">
        <f>(1/(1+WACC!$E$34)^120)*(1/(1+WACC!$E$35)^87)</f>
        <v/>
      </c>
      <c r="HB25" s="184">
        <f>(1/(1+WACC!$E$34)^120)*(1/(1+WACC!$E$35)^88)</f>
        <v/>
      </c>
      <c r="HC25" s="184">
        <f>(1/(1+WACC!$E$34)^120)*(1/(1+WACC!$E$35)^89)</f>
        <v/>
      </c>
      <c r="HD25" s="184">
        <f>(1/(1+WACC!$E$34)^120)*(1/(1+WACC!$E$35)^90)</f>
        <v/>
      </c>
      <c r="HE25" s="184">
        <f>(1/(1+WACC!$E$34)^120)*(1/(1+WACC!$E$35)^91)</f>
        <v/>
      </c>
      <c r="HF25" s="184">
        <f>(1/(1+WACC!$E$34)^120)*(1/(1+WACC!$E$35)^92)</f>
        <v/>
      </c>
      <c r="HG25" s="184">
        <f>(1/(1+WACC!$E$34)^120)*(1/(1+WACC!$E$35)^93)</f>
        <v/>
      </c>
      <c r="HH25" s="184">
        <f>(1/(1+WACC!$E$34)^120)*(1/(1+WACC!$E$35)^94)</f>
        <v/>
      </c>
      <c r="HI25" s="184">
        <f>(1/(1+WACC!$E$34)^120)*(1/(1+WACC!$E$35)^95)</f>
        <v/>
      </c>
      <c r="HJ25" s="184">
        <f>(1/(1+WACC!$E$34)^120)*(1/(1+WACC!$E$35)^96)</f>
        <v/>
      </c>
      <c r="HK25" s="184">
        <f>(1/(1+WACC!$E$34)^120)*(1/(1+WACC!$E$35)^97)</f>
        <v/>
      </c>
      <c r="HL25" s="184">
        <f>(1/(1+WACC!$E$34)^120)*(1/(1+WACC!$E$35)^98)</f>
        <v/>
      </c>
      <c r="HM25" s="184">
        <f>(1/(1+WACC!$E$34)^120)*(1/(1+WACC!$E$35)^99)</f>
        <v/>
      </c>
      <c r="HN25" s="184">
        <f>(1/(1+WACC!$E$34)^120)*(1/(1+WACC!$E$35)^100)</f>
        <v/>
      </c>
      <c r="HO25" s="184">
        <f>(1/(1+WACC!$E$34)^120)*(1/(1+WACC!$E$35)^101)</f>
        <v/>
      </c>
      <c r="HP25" s="184">
        <f>(1/(1+WACC!$E$34)^120)*(1/(1+WACC!$E$35)^102)</f>
        <v/>
      </c>
      <c r="HQ25" s="184">
        <f>(1/(1+WACC!$E$34)^120)*(1/(1+WACC!$E$35)^103)</f>
        <v/>
      </c>
      <c r="HR25" s="184">
        <f>(1/(1+WACC!$E$34)^120)*(1/(1+WACC!$E$35)^104)</f>
        <v/>
      </c>
      <c r="HS25" s="184">
        <f>(1/(1+WACC!$E$34)^120)*(1/(1+WACC!$E$35)^105)</f>
        <v/>
      </c>
      <c r="HT25" s="184">
        <f>(1/(1+WACC!$E$34)^120)*(1/(1+WACC!$E$35)^106)</f>
        <v/>
      </c>
      <c r="HU25" s="184">
        <f>(1/(1+WACC!$E$34)^120)*(1/(1+WACC!$E$35)^107)</f>
        <v/>
      </c>
      <c r="HV25" s="184">
        <f>(1/(1+WACC!$E$34)^120)*(1/(1+WACC!$E$35)^108)</f>
        <v/>
      </c>
      <c r="HW25" s="184">
        <f>(1/(1+WACC!$E$34)^120)*(1/(1+WACC!$E$35)^109)</f>
        <v/>
      </c>
      <c r="HX25" s="184">
        <f>(1/(1+WACC!$E$34)^120)*(1/(1+WACC!$E$35)^110)</f>
        <v/>
      </c>
      <c r="HY25" s="184">
        <f>(1/(1+WACC!$E$34)^120)*(1/(1+WACC!$E$35)^111)</f>
        <v/>
      </c>
      <c r="HZ25" s="184">
        <f>(1/(1+WACC!$E$34)^120)*(1/(1+WACC!$E$35)^112)</f>
        <v/>
      </c>
      <c r="IA25" s="184">
        <f>(1/(1+WACC!$E$34)^120)*(1/(1+WACC!$E$35)^113)</f>
        <v/>
      </c>
      <c r="IB25" s="184">
        <f>(1/(1+WACC!$E$34)^120)*(1/(1+WACC!$E$35)^114)</f>
        <v/>
      </c>
      <c r="IC25" s="184">
        <f>(1/(1+WACC!$E$34)^120)*(1/(1+WACC!$E$35)^115)</f>
        <v/>
      </c>
      <c r="ID25" s="184">
        <f>(1/(1+WACC!$E$34)^120)*(1/(1+WACC!$E$35)^116)</f>
        <v/>
      </c>
      <c r="IE25" s="184">
        <f>(1/(1+WACC!$E$34)^120)*(1/(1+WACC!$E$35)^117)</f>
        <v/>
      </c>
      <c r="IF25" s="184">
        <f>(1/(1+WACC!$E$34)^120)*(1/(1+WACC!$E$35)^118)</f>
        <v/>
      </c>
      <c r="IG25" s="184">
        <f>(1/(1+WACC!$E$34)^120)*(1/(1+WACC!$E$35)^119)</f>
        <v/>
      </c>
      <c r="IH25" s="184">
        <f>(1/(1+WACC!$E$34)^120)*(1/(1+WACC!$E$35)^120)</f>
        <v/>
      </c>
      <c r="II25" s="184">
        <f>(1/(1+WACC!$E$34)^120)*(1/(1+WACC!$E$35)^121)</f>
        <v/>
      </c>
      <c r="IJ25" s="184">
        <f>(1/(1+WACC!$E$34)^120)*(1/(1+WACC!$E$35)^122)</f>
        <v/>
      </c>
      <c r="IK25" s="184">
        <f>(1/(1+WACC!$E$34)^120)*(1/(1+WACC!$E$35)^123)</f>
        <v/>
      </c>
      <c r="IL25" s="184">
        <f>(1/(1+WACC!$E$34)^120)*(1/(1+WACC!$E$35)^124)</f>
        <v/>
      </c>
      <c r="IM25" s="184">
        <f>(1/(1+WACC!$E$34)^120)*(1/(1+WACC!$E$35)^125)</f>
        <v/>
      </c>
      <c r="IN25" s="184">
        <f>(1/(1+WACC!$E$34)^120)*(1/(1+WACC!$E$35)^126)</f>
        <v/>
      </c>
      <c r="IO25" s="184">
        <f>(1/(1+WACC!$E$34)^120)*(1/(1+WACC!$E$35)^127)</f>
        <v/>
      </c>
      <c r="IP25" s="184">
        <f>(1/(1+WACC!$E$34)^120)*(1/(1+WACC!$E$35)^128)</f>
        <v/>
      </c>
      <c r="IQ25" s="184">
        <f>(1/(1+WACC!$E$34)^120)*(1/(1+WACC!$E$35)^129)</f>
        <v/>
      </c>
      <c r="IR25" s="184">
        <f>(1/(1+WACC!$E$34)^120)*(1/(1+WACC!$E$35)^130)</f>
        <v/>
      </c>
      <c r="IS25" s="184">
        <f>(1/(1+WACC!$E$34)^120)*(1/(1+WACC!$E$35)^131)</f>
        <v/>
      </c>
      <c r="IT25" s="184">
        <f>(1/(1+WACC!$E$34)^120)*(1/(1+WACC!$E$35)^132)</f>
        <v/>
      </c>
      <c r="IU25" s="184">
        <f>(1/(1+WACC!$E$34)^120)*(1/(1+WACC!$E$35)^133)</f>
        <v/>
      </c>
      <c r="IV25" s="184">
        <f>(1/(1+WACC!$E$34)^120)*(1/(1+WACC!$E$35)^134)</f>
        <v/>
      </c>
      <c r="IW25" s="184">
        <f>(1/(1+WACC!$E$34)^120)*(1/(1+WACC!$E$35)^135)</f>
        <v/>
      </c>
      <c r="IX25" s="184">
        <f>(1/(1+WACC!$E$34)^120)*(1/(1+WACC!$E$35)^136)</f>
        <v/>
      </c>
      <c r="IY25" s="184">
        <f>(1/(1+WACC!$E$34)^120)*(1/(1+WACC!$E$35)^137)</f>
        <v/>
      </c>
      <c r="IZ25" s="184">
        <f>(1/(1+WACC!$E$34)^120)*(1/(1+WACC!$E$35)^138)</f>
        <v/>
      </c>
      <c r="JA25" s="184">
        <f>(1/(1+WACC!$E$34)^120)*(1/(1+WACC!$E$35)^139)</f>
        <v/>
      </c>
      <c r="JB25" s="184">
        <f>(1/(1+WACC!$E$34)^120)*(1/(1+WACC!$E$35)^140)</f>
        <v/>
      </c>
      <c r="JC25" s="184">
        <f>(1/(1+WACC!$E$34)^120)*(1/(1+WACC!$E$35)^141)</f>
        <v/>
      </c>
      <c r="JD25" s="184">
        <f>(1/(1+WACC!$E$34)^120)*(1/(1+WACC!$E$35)^142)</f>
        <v/>
      </c>
      <c r="JE25" s="184">
        <f>(1/(1+WACC!$E$34)^120)*(1/(1+WACC!$E$35)^143)</f>
        <v/>
      </c>
      <c r="JF25" s="184">
        <f>(1/(1+WACC!$E$34)^120)*(1/(1+WACC!$E$35)^144)</f>
        <v/>
      </c>
      <c r="JG25" s="184">
        <f>(1/(1+WACC!$E$34)^120)*(1/(1+WACC!$E$35)^145)</f>
        <v/>
      </c>
      <c r="JH25" s="184">
        <f>(1/(1+WACC!$E$34)^120)*(1/(1+WACC!$E$35)^146)</f>
        <v/>
      </c>
      <c r="JI25" s="184">
        <f>(1/(1+WACC!$E$34)^120)*(1/(1+WACC!$E$35)^147)</f>
        <v/>
      </c>
      <c r="JJ25" s="184">
        <f>(1/(1+WACC!$E$34)^120)*(1/(1+WACC!$E$35)^148)</f>
        <v/>
      </c>
      <c r="JK25" s="184">
        <f>(1/(1+WACC!$E$34)^120)*(1/(1+WACC!$E$35)^149)</f>
        <v/>
      </c>
      <c r="JL25" s="184">
        <f>(1/(1+WACC!$E$34)^120)*(1/(1+WACC!$E$35)^150)</f>
        <v/>
      </c>
      <c r="JM25" s="184">
        <f>(1/(1+WACC!$E$34)^120)*(1/(1+WACC!$E$35)^151)</f>
        <v/>
      </c>
      <c r="JN25" s="184">
        <f>(1/(1+WACC!$E$34)^120)*(1/(1+WACC!$E$35)^152)</f>
        <v/>
      </c>
      <c r="JO25" s="184">
        <f>(1/(1+WACC!$E$34)^120)*(1/(1+WACC!$E$35)^153)</f>
        <v/>
      </c>
      <c r="JP25" s="184">
        <f>(1/(1+WACC!$E$34)^120)*(1/(1+WACC!$E$35)^154)</f>
        <v/>
      </c>
      <c r="JQ25" s="184">
        <f>(1/(1+WACC!$E$34)^120)*(1/(1+WACC!$E$35)^155)</f>
        <v/>
      </c>
      <c r="JR25" s="184">
        <f>(1/(1+WACC!$E$34)^120)*(1/(1+WACC!$E$35)^156)</f>
        <v/>
      </c>
      <c r="JS25" s="184">
        <f>(1/(1+WACC!$E$34)^120)*(1/(1+WACC!$E$35)^157)</f>
        <v/>
      </c>
      <c r="JT25" s="184">
        <f>(1/(1+WACC!$E$34)^120)*(1/(1+WACC!$E$35)^158)</f>
        <v/>
      </c>
      <c r="JU25" s="184">
        <f>(1/(1+WACC!$E$34)^120)*(1/(1+WACC!$E$35)^159)</f>
        <v/>
      </c>
      <c r="JV25" s="184">
        <f>(1/(1+WACC!$E$34)^120)*(1/(1+WACC!$E$35)^160)</f>
        <v/>
      </c>
      <c r="JW25" s="184">
        <f>(1/(1+WACC!$E$34)^120)*(1/(1+WACC!$E$35)^161)</f>
        <v/>
      </c>
      <c r="JX25" s="184">
        <f>(1/(1+WACC!$E$34)^120)*(1/(1+WACC!$E$35)^162)</f>
        <v/>
      </c>
      <c r="JY25" s="184">
        <f>(1/(1+WACC!$E$34)^120)*(1/(1+WACC!$E$35)^163)</f>
        <v/>
      </c>
      <c r="JZ25" s="184">
        <f>(1/(1+WACC!$E$34)^120)*(1/(1+WACC!$E$35)^164)</f>
        <v/>
      </c>
      <c r="KA25" s="184">
        <f>(1/(1+WACC!$E$34)^120)*(1/(1+WACC!$E$35)^165)</f>
        <v/>
      </c>
      <c r="KB25" s="184">
        <f>(1/(1+WACC!$E$34)^120)*(1/(1+WACC!$E$35)^166)</f>
        <v/>
      </c>
      <c r="KC25" s="184">
        <f>(1/(1+WACC!$E$34)^120)*(1/(1+WACC!$E$35)^167)</f>
        <v/>
      </c>
      <c r="KD25" s="184">
        <f>(1/(1+WACC!$E$34)^120)*(1/(1+WACC!$E$35)^168)</f>
        <v/>
      </c>
      <c r="KE25" s="184">
        <f>(1/(1+WACC!$E$34)^120)*(1/(1+WACC!$E$35)^169)</f>
        <v/>
      </c>
      <c r="KF25" s="184">
        <f>(1/(1+WACC!$E$34)^120)*(1/(1+WACC!$E$35)^170)</f>
        <v/>
      </c>
      <c r="KG25" s="184">
        <f>(1/(1+WACC!$E$34)^120)*(1/(1+WACC!$E$35)^171)</f>
        <v/>
      </c>
      <c r="KH25" s="184">
        <f>(1/(1+WACC!$E$34)^120)*(1/(1+WACC!$E$35)^172)</f>
        <v/>
      </c>
      <c r="KI25" s="184">
        <f>(1/(1+WACC!$E$34)^120)*(1/(1+WACC!$E$35)^173)</f>
        <v/>
      </c>
      <c r="KJ25" s="184">
        <f>(1/(1+WACC!$E$34)^120)*(1/(1+WACC!$E$35)^174)</f>
        <v/>
      </c>
      <c r="KK25" s="184">
        <f>(1/(1+WACC!$E$34)^120)*(1/(1+WACC!$E$35)^175)</f>
        <v/>
      </c>
      <c r="KL25" s="184">
        <f>(1/(1+WACC!$E$34)^120)*(1/(1+WACC!$E$35)^176)</f>
        <v/>
      </c>
      <c r="KM25" s="184">
        <f>(1/(1+WACC!$E$34)^120)*(1/(1+WACC!$E$35)^177)</f>
        <v/>
      </c>
      <c r="KN25" s="184">
        <f>(1/(1+WACC!$E$34)^120)*(1/(1+WACC!$E$35)^178)</f>
        <v/>
      </c>
      <c r="KO25" s="184">
        <f>(1/(1+WACC!$E$34)^120)*(1/(1+WACC!$E$35)^179)</f>
        <v/>
      </c>
      <c r="KP25" s="184">
        <f>(1/(1+WACC!$E$34)^120)*(1/(1+WACC!$E$35)^180)</f>
        <v/>
      </c>
    </row>
    <row r="26" ht="16" customHeight="1" s="133">
      <c r="A26" s="185" t="inlineStr">
        <is>
          <t>Discounted FCFF</t>
        </is>
      </c>
      <c r="B26" s="186" t="inlineStr">
        <is>
          <t>EURk</t>
        </is>
      </c>
      <c r="C26" s="187">
        <f>C24*C25</f>
        <v/>
      </c>
      <c r="D26" s="187">
        <f>D24*D25</f>
        <v/>
      </c>
      <c r="E26" s="187">
        <f>E24*E25</f>
        <v/>
      </c>
      <c r="F26" s="187">
        <f>F24*F25</f>
        <v/>
      </c>
      <c r="G26" s="187">
        <f>G24*G25</f>
        <v/>
      </c>
      <c r="H26" s="187">
        <f>H24*H25</f>
        <v/>
      </c>
      <c r="I26" s="187">
        <f>I24*I25</f>
        <v/>
      </c>
      <c r="J26" s="187">
        <f>J24*J25</f>
        <v/>
      </c>
      <c r="K26" s="187">
        <f>K24*K25</f>
        <v/>
      </c>
      <c r="L26" s="187">
        <f>L24*L25</f>
        <v/>
      </c>
      <c r="M26" s="187">
        <f>M24*M25</f>
        <v/>
      </c>
      <c r="N26" s="187">
        <f>N24*N25</f>
        <v/>
      </c>
      <c r="O26" s="187">
        <f>O24*O25</f>
        <v/>
      </c>
      <c r="P26" s="187">
        <f>P24*P25</f>
        <v/>
      </c>
      <c r="Q26" s="187">
        <f>Q24*Q25</f>
        <v/>
      </c>
      <c r="R26" s="187">
        <f>R24*R25</f>
        <v/>
      </c>
      <c r="S26" s="187">
        <f>S24*S25</f>
        <v/>
      </c>
      <c r="T26" s="187">
        <f>T24*T25</f>
        <v/>
      </c>
      <c r="U26" s="187">
        <f>U24*U25</f>
        <v/>
      </c>
      <c r="V26" s="187">
        <f>V24*V25</f>
        <v/>
      </c>
      <c r="W26" s="187">
        <f>W24*W25</f>
        <v/>
      </c>
      <c r="X26" s="187">
        <f>X24*X25</f>
        <v/>
      </c>
      <c r="Y26" s="187">
        <f>Y24*Y25</f>
        <v/>
      </c>
      <c r="Z26" s="187">
        <f>Z24*Z25</f>
        <v/>
      </c>
      <c r="AA26" s="187">
        <f>AA24*AA25</f>
        <v/>
      </c>
      <c r="AB26" s="187">
        <f>AB24*AB25</f>
        <v/>
      </c>
      <c r="AC26" s="187">
        <f>AC24*AC25</f>
        <v/>
      </c>
      <c r="AD26" s="187">
        <f>AD24*AD25</f>
        <v/>
      </c>
      <c r="AE26" s="187">
        <f>AE24*AE25</f>
        <v/>
      </c>
      <c r="AF26" s="187">
        <f>AF24*AF25</f>
        <v/>
      </c>
      <c r="AG26" s="187">
        <f>AG24*AG25</f>
        <v/>
      </c>
      <c r="AH26" s="187">
        <f>AH24*AH25</f>
        <v/>
      </c>
      <c r="AI26" s="187">
        <f>AI24*AI25</f>
        <v/>
      </c>
      <c r="AJ26" s="187">
        <f>AJ24*AJ25</f>
        <v/>
      </c>
      <c r="AK26" s="187">
        <f>AK24*AK25</f>
        <v/>
      </c>
      <c r="AL26" s="187">
        <f>AL24*AL25</f>
        <v/>
      </c>
      <c r="AM26" s="187">
        <f>AM24*AM25</f>
        <v/>
      </c>
      <c r="AN26" s="187">
        <f>AN24*AN25</f>
        <v/>
      </c>
      <c r="AO26" s="187">
        <f>AO24*AO25</f>
        <v/>
      </c>
      <c r="AP26" s="187">
        <f>AP24*AP25</f>
        <v/>
      </c>
      <c r="AQ26" s="187">
        <f>AQ24*AQ25</f>
        <v/>
      </c>
      <c r="AR26" s="187">
        <f>AR24*AR25</f>
        <v/>
      </c>
      <c r="AS26" s="187">
        <f>AS24*AS25</f>
        <v/>
      </c>
      <c r="AT26" s="187">
        <f>AT24*AT25</f>
        <v/>
      </c>
      <c r="AU26" s="187">
        <f>AU24*AU25</f>
        <v/>
      </c>
      <c r="AV26" s="187">
        <f>AV24*AV25</f>
        <v/>
      </c>
      <c r="AW26" s="187">
        <f>AW24*AW25</f>
        <v/>
      </c>
      <c r="AX26" s="187">
        <f>AX24*AX25</f>
        <v/>
      </c>
      <c r="AY26" s="187">
        <f>AY24*AY25</f>
        <v/>
      </c>
      <c r="AZ26" s="187">
        <f>AZ24*AZ25</f>
        <v/>
      </c>
      <c r="BA26" s="187">
        <f>BA24*BA25</f>
        <v/>
      </c>
      <c r="BB26" s="187">
        <f>BB24*BB25</f>
        <v/>
      </c>
      <c r="BC26" s="187">
        <f>BC24*BC25</f>
        <v/>
      </c>
      <c r="BD26" s="187">
        <f>BD24*BD25</f>
        <v/>
      </c>
      <c r="BE26" s="187">
        <f>BE24*BE25</f>
        <v/>
      </c>
      <c r="BF26" s="187">
        <f>BF24*BF25</f>
        <v/>
      </c>
      <c r="BG26" s="187">
        <f>BG24*BG25</f>
        <v/>
      </c>
      <c r="BH26" s="187">
        <f>BH24*BH25</f>
        <v/>
      </c>
      <c r="BI26" s="187">
        <f>BI24*BI25</f>
        <v/>
      </c>
      <c r="BJ26" s="187">
        <f>BJ24*BJ25</f>
        <v/>
      </c>
      <c r="BK26" s="187">
        <f>BK24*BK25</f>
        <v/>
      </c>
      <c r="BL26" s="187">
        <f>BL24*BL25</f>
        <v/>
      </c>
      <c r="BM26" s="187">
        <f>BM24*BM25</f>
        <v/>
      </c>
      <c r="BN26" s="187">
        <f>BN24*BN25</f>
        <v/>
      </c>
      <c r="BO26" s="187">
        <f>BO24*BO25</f>
        <v/>
      </c>
      <c r="BP26" s="187">
        <f>BP24*BP25</f>
        <v/>
      </c>
      <c r="BQ26" s="187">
        <f>BQ24*BQ25</f>
        <v/>
      </c>
      <c r="BR26" s="187">
        <f>BR24*BR25</f>
        <v/>
      </c>
      <c r="BS26" s="187">
        <f>BS24*BS25</f>
        <v/>
      </c>
      <c r="BT26" s="187">
        <f>BT24*BT25</f>
        <v/>
      </c>
      <c r="BU26" s="187">
        <f>BU24*BU25</f>
        <v/>
      </c>
      <c r="BV26" s="187">
        <f>BV24*BV25</f>
        <v/>
      </c>
      <c r="BW26" s="187">
        <f>BW24*BW25</f>
        <v/>
      </c>
      <c r="BX26" s="187">
        <f>BX24*BX25</f>
        <v/>
      </c>
      <c r="BY26" s="187">
        <f>BY24*BY25</f>
        <v/>
      </c>
      <c r="BZ26" s="187">
        <f>BZ24*BZ25</f>
        <v/>
      </c>
      <c r="CA26" s="187">
        <f>CA24*CA25</f>
        <v/>
      </c>
      <c r="CB26" s="187">
        <f>CB24*CB25</f>
        <v/>
      </c>
      <c r="CC26" s="187">
        <f>CC24*CC25</f>
        <v/>
      </c>
      <c r="CD26" s="187">
        <f>CD24*CD25</f>
        <v/>
      </c>
      <c r="CE26" s="187">
        <f>CE24*CE25</f>
        <v/>
      </c>
      <c r="CF26" s="187">
        <f>CF24*CF25</f>
        <v/>
      </c>
      <c r="CG26" s="187">
        <f>CG24*CG25</f>
        <v/>
      </c>
      <c r="CH26" s="187">
        <f>CH24*CH25</f>
        <v/>
      </c>
      <c r="CI26" s="187">
        <f>CI24*CI25</f>
        <v/>
      </c>
      <c r="CJ26" s="187">
        <f>CJ24*CJ25</f>
        <v/>
      </c>
      <c r="CK26" s="187">
        <f>CK24*CK25</f>
        <v/>
      </c>
      <c r="CL26" s="187">
        <f>CL24*CL25</f>
        <v/>
      </c>
      <c r="CM26" s="187">
        <f>CM24*CM25</f>
        <v/>
      </c>
      <c r="CN26" s="187">
        <f>CN24*CN25</f>
        <v/>
      </c>
      <c r="CO26" s="187">
        <f>CO24*CO25</f>
        <v/>
      </c>
      <c r="CP26" s="187">
        <f>CP24*CP25</f>
        <v/>
      </c>
      <c r="CQ26" s="187">
        <f>CQ24*CQ25</f>
        <v/>
      </c>
      <c r="CR26" s="187">
        <f>CR24*CR25</f>
        <v/>
      </c>
      <c r="CS26" s="187">
        <f>CS24*CS25</f>
        <v/>
      </c>
      <c r="CT26" s="187">
        <f>CT24*CT25</f>
        <v/>
      </c>
      <c r="CU26" s="187">
        <f>CU24*CU25</f>
        <v/>
      </c>
      <c r="CV26" s="187">
        <f>CV24*CV25</f>
        <v/>
      </c>
      <c r="CW26" s="187">
        <f>CW24*CW25</f>
        <v/>
      </c>
      <c r="CX26" s="187">
        <f>CX24*CX25</f>
        <v/>
      </c>
      <c r="CY26" s="187">
        <f>CY24*CY25</f>
        <v/>
      </c>
      <c r="CZ26" s="187">
        <f>CZ24*CZ25</f>
        <v/>
      </c>
      <c r="DA26" s="187">
        <f>DA24*DA25</f>
        <v/>
      </c>
      <c r="DB26" s="187">
        <f>DB24*DB25</f>
        <v/>
      </c>
      <c r="DC26" s="187">
        <f>DC24*DC25</f>
        <v/>
      </c>
      <c r="DD26" s="187">
        <f>DD24*DD25</f>
        <v/>
      </c>
      <c r="DE26" s="187">
        <f>DE24*DE25</f>
        <v/>
      </c>
      <c r="DF26" s="187">
        <f>DF24*DF25</f>
        <v/>
      </c>
      <c r="DG26" s="187">
        <f>DG24*DG25</f>
        <v/>
      </c>
      <c r="DH26" s="187">
        <f>DH24*DH25</f>
        <v/>
      </c>
      <c r="DI26" s="187">
        <f>DI24*DI25</f>
        <v/>
      </c>
      <c r="DJ26" s="187">
        <f>DJ24*DJ25</f>
        <v/>
      </c>
      <c r="DK26" s="187">
        <f>DK24*DK25</f>
        <v/>
      </c>
      <c r="DL26" s="187">
        <f>DL24*DL25</f>
        <v/>
      </c>
      <c r="DM26" s="187">
        <f>DM24*DM25</f>
        <v/>
      </c>
      <c r="DN26" s="187">
        <f>DN24*DN25</f>
        <v/>
      </c>
      <c r="DO26" s="187">
        <f>DO24*DO25</f>
        <v/>
      </c>
      <c r="DP26" s="187">
        <f>DP24*DP25</f>
        <v/>
      </c>
      <c r="DQ26" s="187">
        <f>DQ24*DQ25</f>
        <v/>
      </c>
      <c r="DR26" s="187">
        <f>DR24*DR25</f>
        <v/>
      </c>
      <c r="DS26" s="187">
        <f>DS24*DS25</f>
        <v/>
      </c>
      <c r="DT26" s="187">
        <f>DT24*DT25</f>
        <v/>
      </c>
      <c r="DU26" s="187">
        <f>DU24*DU25</f>
        <v/>
      </c>
      <c r="DV26" s="187">
        <f>DV24*DV25</f>
        <v/>
      </c>
      <c r="DW26" s="187">
        <f>DW24*DW25</f>
        <v/>
      </c>
      <c r="DX26" s="187">
        <f>DX24*DX25</f>
        <v/>
      </c>
      <c r="DY26" s="187">
        <f>DY24*DY25</f>
        <v/>
      </c>
      <c r="DZ26" s="187">
        <f>DZ24*DZ25</f>
        <v/>
      </c>
      <c r="EA26" s="187">
        <f>EA24*EA25</f>
        <v/>
      </c>
      <c r="EB26" s="187">
        <f>EB24*EB25</f>
        <v/>
      </c>
      <c r="EC26" s="187">
        <f>EC24*EC25</f>
        <v/>
      </c>
      <c r="ED26" s="187">
        <f>ED24*ED25</f>
        <v/>
      </c>
      <c r="EE26" s="187">
        <f>EE24*EE25</f>
        <v/>
      </c>
      <c r="EF26" s="187">
        <f>EF24*EF25</f>
        <v/>
      </c>
      <c r="EG26" s="187">
        <f>EG24*EG25</f>
        <v/>
      </c>
      <c r="EH26" s="187">
        <f>EH24*EH25</f>
        <v/>
      </c>
      <c r="EI26" s="187">
        <f>EI24*EI25</f>
        <v/>
      </c>
      <c r="EJ26" s="187">
        <f>EJ24*EJ25</f>
        <v/>
      </c>
      <c r="EK26" s="187">
        <f>EK24*EK25</f>
        <v/>
      </c>
      <c r="EL26" s="187">
        <f>EL24*EL25</f>
        <v/>
      </c>
      <c r="EM26" s="187">
        <f>EM24*EM25</f>
        <v/>
      </c>
      <c r="EN26" s="187">
        <f>EN24*EN25</f>
        <v/>
      </c>
      <c r="EO26" s="187">
        <f>EO24*EO25</f>
        <v/>
      </c>
      <c r="EP26" s="187">
        <f>EP24*EP25</f>
        <v/>
      </c>
      <c r="EQ26" s="187">
        <f>EQ24*EQ25</f>
        <v/>
      </c>
      <c r="ER26" s="187">
        <f>ER24*ER25</f>
        <v/>
      </c>
      <c r="ES26" s="187">
        <f>ES24*ES25</f>
        <v/>
      </c>
      <c r="ET26" s="187">
        <f>ET24*ET25</f>
        <v/>
      </c>
      <c r="EU26" s="187">
        <f>EU24*EU25</f>
        <v/>
      </c>
      <c r="EV26" s="187">
        <f>EV24*EV25</f>
        <v/>
      </c>
      <c r="EW26" s="187">
        <f>EW24*EW25</f>
        <v/>
      </c>
      <c r="EX26" s="187">
        <f>EX24*EX25</f>
        <v/>
      </c>
      <c r="EY26" s="187">
        <f>EY24*EY25</f>
        <v/>
      </c>
      <c r="EZ26" s="187">
        <f>EZ24*EZ25</f>
        <v/>
      </c>
      <c r="FA26" s="187">
        <f>FA24*FA25</f>
        <v/>
      </c>
      <c r="FB26" s="187">
        <f>FB24*FB25</f>
        <v/>
      </c>
      <c r="FC26" s="187">
        <f>FC24*FC25</f>
        <v/>
      </c>
      <c r="FD26" s="187">
        <f>FD24*FD25</f>
        <v/>
      </c>
      <c r="FE26" s="187">
        <f>FE24*FE25</f>
        <v/>
      </c>
      <c r="FF26" s="187">
        <f>FF24*FF25</f>
        <v/>
      </c>
      <c r="FG26" s="187">
        <f>FG24*FG25</f>
        <v/>
      </c>
      <c r="FH26" s="187">
        <f>FH24*FH25</f>
        <v/>
      </c>
      <c r="FI26" s="187">
        <f>FI24*FI25</f>
        <v/>
      </c>
      <c r="FJ26" s="187">
        <f>FJ24*FJ25</f>
        <v/>
      </c>
      <c r="FK26" s="187">
        <f>FK24*FK25</f>
        <v/>
      </c>
      <c r="FL26" s="187">
        <f>FL24*FL25</f>
        <v/>
      </c>
      <c r="FM26" s="187">
        <f>FM24*FM25</f>
        <v/>
      </c>
      <c r="FN26" s="187">
        <f>FN24*FN25</f>
        <v/>
      </c>
      <c r="FO26" s="187">
        <f>FO24*FO25</f>
        <v/>
      </c>
      <c r="FP26" s="187">
        <f>FP24*FP25</f>
        <v/>
      </c>
      <c r="FQ26" s="187">
        <f>FQ24*FQ25</f>
        <v/>
      </c>
      <c r="FR26" s="187">
        <f>FR24*FR25</f>
        <v/>
      </c>
      <c r="FS26" s="187">
        <f>FS24*FS25</f>
        <v/>
      </c>
      <c r="FT26" s="187">
        <f>FT24*FT25</f>
        <v/>
      </c>
      <c r="FU26" s="187">
        <f>FU24*FU25</f>
        <v/>
      </c>
      <c r="FV26" s="187">
        <f>FV24*FV25</f>
        <v/>
      </c>
      <c r="FW26" s="187">
        <f>FW24*FW25</f>
        <v/>
      </c>
      <c r="FX26" s="187">
        <f>FX24*FX25</f>
        <v/>
      </c>
      <c r="FY26" s="187">
        <f>FY24*FY25</f>
        <v/>
      </c>
      <c r="FZ26" s="187">
        <f>FZ24*FZ25</f>
        <v/>
      </c>
      <c r="GA26" s="187">
        <f>GA24*GA25</f>
        <v/>
      </c>
      <c r="GB26" s="187">
        <f>GB24*GB25</f>
        <v/>
      </c>
      <c r="GC26" s="187">
        <f>GC24*GC25</f>
        <v/>
      </c>
      <c r="GD26" s="187">
        <f>GD24*GD25</f>
        <v/>
      </c>
      <c r="GE26" s="187">
        <f>GE24*GE25</f>
        <v/>
      </c>
      <c r="GF26" s="187">
        <f>GF24*GF25</f>
        <v/>
      </c>
      <c r="GG26" s="187">
        <f>GG24*GG25</f>
        <v/>
      </c>
      <c r="GH26" s="187">
        <f>GH24*GH25</f>
        <v/>
      </c>
      <c r="GI26" s="187">
        <f>GI24*GI25</f>
        <v/>
      </c>
      <c r="GJ26" s="187">
        <f>GJ24*GJ25</f>
        <v/>
      </c>
      <c r="GK26" s="187">
        <f>GK24*GK25</f>
        <v/>
      </c>
      <c r="GL26" s="187">
        <f>GL24*GL25</f>
        <v/>
      </c>
      <c r="GM26" s="187">
        <f>GM24*GM25</f>
        <v/>
      </c>
      <c r="GN26" s="187">
        <f>GN24*GN25</f>
        <v/>
      </c>
      <c r="GO26" s="187">
        <f>GO24*GO25</f>
        <v/>
      </c>
      <c r="GP26" s="187">
        <f>GP24*GP25</f>
        <v/>
      </c>
      <c r="GQ26" s="187">
        <f>GQ24*GQ25</f>
        <v/>
      </c>
      <c r="GR26" s="187">
        <f>GR24*GR25</f>
        <v/>
      </c>
      <c r="GS26" s="187">
        <f>GS24*GS25</f>
        <v/>
      </c>
      <c r="GT26" s="187">
        <f>GT24*GT25</f>
        <v/>
      </c>
      <c r="GU26" s="187">
        <f>GU24*GU25</f>
        <v/>
      </c>
      <c r="GV26" s="187">
        <f>GV24*GV25</f>
        <v/>
      </c>
      <c r="GW26" s="187">
        <f>GW24*GW25</f>
        <v/>
      </c>
      <c r="GX26" s="187">
        <f>GX24*GX25</f>
        <v/>
      </c>
      <c r="GY26" s="187">
        <f>GY24*GY25</f>
        <v/>
      </c>
      <c r="GZ26" s="187">
        <f>GZ24*GZ25</f>
        <v/>
      </c>
      <c r="HA26" s="187">
        <f>HA24*HA25</f>
        <v/>
      </c>
      <c r="HB26" s="187">
        <f>HB24*HB25</f>
        <v/>
      </c>
      <c r="HC26" s="187">
        <f>HC24*HC25</f>
        <v/>
      </c>
      <c r="HD26" s="187">
        <f>HD24*HD25</f>
        <v/>
      </c>
      <c r="HE26" s="187">
        <f>HE24*HE25</f>
        <v/>
      </c>
      <c r="HF26" s="187">
        <f>HF24*HF25</f>
        <v/>
      </c>
      <c r="HG26" s="187">
        <f>HG24*HG25</f>
        <v/>
      </c>
      <c r="HH26" s="187">
        <f>HH24*HH25</f>
        <v/>
      </c>
      <c r="HI26" s="187">
        <f>HI24*HI25</f>
        <v/>
      </c>
      <c r="HJ26" s="187">
        <f>HJ24*HJ25</f>
        <v/>
      </c>
      <c r="HK26" s="187">
        <f>HK24*HK25</f>
        <v/>
      </c>
      <c r="HL26" s="187">
        <f>HL24*HL25</f>
        <v/>
      </c>
      <c r="HM26" s="187">
        <f>HM24*HM25</f>
        <v/>
      </c>
      <c r="HN26" s="187">
        <f>HN24*HN25</f>
        <v/>
      </c>
      <c r="HO26" s="187">
        <f>HO24*HO25</f>
        <v/>
      </c>
      <c r="HP26" s="187">
        <f>HP24*HP25</f>
        <v/>
      </c>
      <c r="HQ26" s="187">
        <f>HQ24*HQ25</f>
        <v/>
      </c>
      <c r="HR26" s="187">
        <f>HR24*HR25</f>
        <v/>
      </c>
      <c r="HS26" s="187">
        <f>HS24*HS25</f>
        <v/>
      </c>
      <c r="HT26" s="187">
        <f>HT24*HT25</f>
        <v/>
      </c>
      <c r="HU26" s="187">
        <f>HU24*HU25</f>
        <v/>
      </c>
      <c r="HV26" s="187">
        <f>HV24*HV25</f>
        <v/>
      </c>
      <c r="HW26" s="187">
        <f>HW24*HW25</f>
        <v/>
      </c>
      <c r="HX26" s="187">
        <f>HX24*HX25</f>
        <v/>
      </c>
      <c r="HY26" s="187">
        <f>HY24*HY25</f>
        <v/>
      </c>
      <c r="HZ26" s="187">
        <f>HZ24*HZ25</f>
        <v/>
      </c>
      <c r="IA26" s="187">
        <f>IA24*IA25</f>
        <v/>
      </c>
      <c r="IB26" s="187">
        <f>IB24*IB25</f>
        <v/>
      </c>
      <c r="IC26" s="187">
        <f>IC24*IC25</f>
        <v/>
      </c>
      <c r="ID26" s="187">
        <f>ID24*ID25</f>
        <v/>
      </c>
      <c r="IE26" s="187">
        <f>IE24*IE25</f>
        <v/>
      </c>
      <c r="IF26" s="187">
        <f>IF24*IF25</f>
        <v/>
      </c>
      <c r="IG26" s="187">
        <f>IG24*IG25</f>
        <v/>
      </c>
      <c r="IH26" s="187">
        <f>IH24*IH25</f>
        <v/>
      </c>
      <c r="II26" s="187">
        <f>II24*II25</f>
        <v/>
      </c>
      <c r="IJ26" s="187">
        <f>IJ24*IJ25</f>
        <v/>
      </c>
      <c r="IK26" s="187">
        <f>IK24*IK25</f>
        <v/>
      </c>
      <c r="IL26" s="187">
        <f>IL24*IL25</f>
        <v/>
      </c>
      <c r="IM26" s="187">
        <f>IM24*IM25</f>
        <v/>
      </c>
      <c r="IN26" s="187">
        <f>IN24*IN25</f>
        <v/>
      </c>
      <c r="IO26" s="187">
        <f>IO24*IO25</f>
        <v/>
      </c>
      <c r="IP26" s="187">
        <f>IP24*IP25</f>
        <v/>
      </c>
      <c r="IQ26" s="187">
        <f>IQ24*IQ25</f>
        <v/>
      </c>
      <c r="IR26" s="187">
        <f>IR24*IR25</f>
        <v/>
      </c>
      <c r="IS26" s="187">
        <f>IS24*IS25</f>
        <v/>
      </c>
      <c r="IT26" s="187">
        <f>IT24*IT25</f>
        <v/>
      </c>
      <c r="IU26" s="187">
        <f>IU24*IU25</f>
        <v/>
      </c>
      <c r="IV26" s="187">
        <f>IV24*IV25</f>
        <v/>
      </c>
      <c r="IW26" s="187">
        <f>IW24*IW25</f>
        <v/>
      </c>
      <c r="IX26" s="187">
        <f>IX24*IX25</f>
        <v/>
      </c>
      <c r="IY26" s="187">
        <f>IY24*IY25</f>
        <v/>
      </c>
      <c r="IZ26" s="187">
        <f>IZ24*IZ25</f>
        <v/>
      </c>
      <c r="JA26" s="187">
        <f>JA24*JA25</f>
        <v/>
      </c>
      <c r="JB26" s="187">
        <f>JB24*JB25</f>
        <v/>
      </c>
      <c r="JC26" s="187">
        <f>JC24*JC25</f>
        <v/>
      </c>
      <c r="JD26" s="187">
        <f>JD24*JD25</f>
        <v/>
      </c>
      <c r="JE26" s="187">
        <f>JE24*JE25</f>
        <v/>
      </c>
      <c r="JF26" s="187">
        <f>JF24*JF25</f>
        <v/>
      </c>
      <c r="JG26" s="187">
        <f>JG24*JG25</f>
        <v/>
      </c>
      <c r="JH26" s="187">
        <f>JH24*JH25</f>
        <v/>
      </c>
      <c r="JI26" s="187">
        <f>JI24*JI25</f>
        <v/>
      </c>
      <c r="JJ26" s="187">
        <f>JJ24*JJ25</f>
        <v/>
      </c>
      <c r="JK26" s="187">
        <f>JK24*JK25</f>
        <v/>
      </c>
      <c r="JL26" s="187">
        <f>JL24*JL25</f>
        <v/>
      </c>
      <c r="JM26" s="187">
        <f>JM24*JM25</f>
        <v/>
      </c>
      <c r="JN26" s="187">
        <f>JN24*JN25</f>
        <v/>
      </c>
      <c r="JO26" s="187">
        <f>JO24*JO25</f>
        <v/>
      </c>
      <c r="JP26" s="187">
        <f>JP24*JP25</f>
        <v/>
      </c>
      <c r="JQ26" s="187">
        <f>JQ24*JQ25</f>
        <v/>
      </c>
      <c r="JR26" s="187">
        <f>JR24*JR25</f>
        <v/>
      </c>
      <c r="JS26" s="187">
        <f>JS24*JS25</f>
        <v/>
      </c>
      <c r="JT26" s="187">
        <f>JT24*JT25</f>
        <v/>
      </c>
      <c r="JU26" s="187">
        <f>JU24*JU25</f>
        <v/>
      </c>
      <c r="JV26" s="187">
        <f>JV24*JV25</f>
        <v/>
      </c>
      <c r="JW26" s="187">
        <f>JW24*JW25</f>
        <v/>
      </c>
      <c r="JX26" s="187">
        <f>JX24*JX25</f>
        <v/>
      </c>
      <c r="JY26" s="187">
        <f>JY24*JY25</f>
        <v/>
      </c>
      <c r="JZ26" s="187">
        <f>JZ24*JZ25</f>
        <v/>
      </c>
      <c r="KA26" s="187">
        <f>KA24*KA25</f>
        <v/>
      </c>
      <c r="KB26" s="187">
        <f>KB24*KB25</f>
        <v/>
      </c>
      <c r="KC26" s="187">
        <f>KC24*KC25</f>
        <v/>
      </c>
      <c r="KD26" s="187">
        <f>KD24*KD25</f>
        <v/>
      </c>
      <c r="KE26" s="187">
        <f>KE24*KE25</f>
        <v/>
      </c>
      <c r="KF26" s="187">
        <f>KF24*KF25</f>
        <v/>
      </c>
      <c r="KG26" s="187">
        <f>KG24*KG25</f>
        <v/>
      </c>
      <c r="KH26" s="187">
        <f>KH24*KH25</f>
        <v/>
      </c>
      <c r="KI26" s="187">
        <f>KI24*KI25</f>
        <v/>
      </c>
      <c r="KJ26" s="187">
        <f>KJ24*KJ25</f>
        <v/>
      </c>
      <c r="KK26" s="187">
        <f>KK24*KK25</f>
        <v/>
      </c>
      <c r="KL26" s="187">
        <f>KL24*KL25</f>
        <v/>
      </c>
      <c r="KM26" s="187">
        <f>KM24*KM25</f>
        <v/>
      </c>
      <c r="KN26" s="187">
        <f>KN24*KN25</f>
        <v/>
      </c>
      <c r="KO26" s="187">
        <f>KO24*KO25</f>
        <v/>
      </c>
      <c r="KP26" s="187">
        <f>KP24*KP25</f>
        <v/>
      </c>
    </row>
    <row r="27" ht="16" customHeight="1" s="133">
      <c r="A27" s="185" t="inlineStr">
        <is>
          <t>Cumulative NPV</t>
        </is>
      </c>
      <c r="B27" s="186" t="inlineStr">
        <is>
          <t>EURk</t>
        </is>
      </c>
      <c r="C27" s="187">
        <f>C26-Assumptions!$E$31</f>
        <v/>
      </c>
      <c r="D27" s="187">
        <f>C27+D26</f>
        <v/>
      </c>
      <c r="E27" s="187">
        <f>D27+E26</f>
        <v/>
      </c>
      <c r="F27" s="187">
        <f>E27+F26</f>
        <v/>
      </c>
      <c r="G27" s="187">
        <f>F27+G26</f>
        <v/>
      </c>
      <c r="H27" s="187">
        <f>G27+H26</f>
        <v/>
      </c>
      <c r="I27" s="187">
        <f>H27+I26</f>
        <v/>
      </c>
      <c r="J27" s="187">
        <f>I27+J26</f>
        <v/>
      </c>
      <c r="K27" s="187">
        <f>J27+K26</f>
        <v/>
      </c>
      <c r="L27" s="187">
        <f>K27+L26</f>
        <v/>
      </c>
      <c r="M27" s="187">
        <f>L27+M26</f>
        <v/>
      </c>
      <c r="N27" s="187">
        <f>M27+N26</f>
        <v/>
      </c>
      <c r="O27" s="187">
        <f>N27+O26</f>
        <v/>
      </c>
      <c r="P27" s="187">
        <f>O27+P26</f>
        <v/>
      </c>
      <c r="Q27" s="187">
        <f>P27+Q26</f>
        <v/>
      </c>
      <c r="R27" s="187">
        <f>Q27+R26</f>
        <v/>
      </c>
      <c r="S27" s="187">
        <f>R27+S26</f>
        <v/>
      </c>
      <c r="T27" s="187">
        <f>S27+T26</f>
        <v/>
      </c>
      <c r="U27" s="187">
        <f>T27+U26</f>
        <v/>
      </c>
      <c r="V27" s="187">
        <f>U27+V26</f>
        <v/>
      </c>
      <c r="W27" s="187">
        <f>V27+W26</f>
        <v/>
      </c>
      <c r="X27" s="187">
        <f>W27+X26</f>
        <v/>
      </c>
      <c r="Y27" s="187">
        <f>X27+Y26</f>
        <v/>
      </c>
      <c r="Z27" s="187">
        <f>Y27+Z26</f>
        <v/>
      </c>
      <c r="AA27" s="187">
        <f>Z27+AA26</f>
        <v/>
      </c>
      <c r="AB27" s="187">
        <f>AA27+AB26</f>
        <v/>
      </c>
      <c r="AC27" s="187">
        <f>AB27+AC26</f>
        <v/>
      </c>
      <c r="AD27" s="187">
        <f>AC27+AD26</f>
        <v/>
      </c>
      <c r="AE27" s="187">
        <f>AD27+AE26</f>
        <v/>
      </c>
      <c r="AF27" s="187">
        <f>AE27+AF26</f>
        <v/>
      </c>
      <c r="AG27" s="187">
        <f>AF27+AG26</f>
        <v/>
      </c>
      <c r="AH27" s="187">
        <f>AG27+AH26</f>
        <v/>
      </c>
      <c r="AI27" s="187">
        <f>AH27+AI26</f>
        <v/>
      </c>
      <c r="AJ27" s="187">
        <f>AI27+AJ26</f>
        <v/>
      </c>
      <c r="AK27" s="187">
        <f>AJ27+AK26</f>
        <v/>
      </c>
      <c r="AL27" s="187">
        <f>AK27+AL26</f>
        <v/>
      </c>
      <c r="AM27" s="187">
        <f>AL27+AM26</f>
        <v/>
      </c>
      <c r="AN27" s="187">
        <f>AM27+AN26</f>
        <v/>
      </c>
      <c r="AO27" s="187">
        <f>AN27+AO26</f>
        <v/>
      </c>
      <c r="AP27" s="187">
        <f>AO27+AP26</f>
        <v/>
      </c>
      <c r="AQ27" s="187">
        <f>AP27+AQ26</f>
        <v/>
      </c>
      <c r="AR27" s="187">
        <f>AQ27+AR26</f>
        <v/>
      </c>
      <c r="AS27" s="187">
        <f>AR27+AS26</f>
        <v/>
      </c>
      <c r="AT27" s="187">
        <f>AS27+AT26</f>
        <v/>
      </c>
      <c r="AU27" s="187">
        <f>AT27+AU26</f>
        <v/>
      </c>
      <c r="AV27" s="187">
        <f>AU27+AV26</f>
        <v/>
      </c>
      <c r="AW27" s="187">
        <f>AV27+AW26</f>
        <v/>
      </c>
      <c r="AX27" s="187">
        <f>AW27+AX26</f>
        <v/>
      </c>
      <c r="AY27" s="187">
        <f>AX27+AY26</f>
        <v/>
      </c>
      <c r="AZ27" s="187">
        <f>AY27+AZ26</f>
        <v/>
      </c>
      <c r="BA27" s="187">
        <f>AZ27+BA26</f>
        <v/>
      </c>
      <c r="BB27" s="187">
        <f>BA27+BB26</f>
        <v/>
      </c>
      <c r="BC27" s="187">
        <f>BB27+BC26</f>
        <v/>
      </c>
      <c r="BD27" s="187">
        <f>BC27+BD26</f>
        <v/>
      </c>
      <c r="BE27" s="187">
        <f>BD27+BE26</f>
        <v/>
      </c>
      <c r="BF27" s="187">
        <f>BE27+BF26</f>
        <v/>
      </c>
      <c r="BG27" s="187">
        <f>BF27+BG26</f>
        <v/>
      </c>
      <c r="BH27" s="187">
        <f>BG27+BH26</f>
        <v/>
      </c>
      <c r="BI27" s="187">
        <f>BH27+BI26</f>
        <v/>
      </c>
      <c r="BJ27" s="187">
        <f>BI27+BJ26</f>
        <v/>
      </c>
      <c r="BK27" s="187">
        <f>BJ27+BK26</f>
        <v/>
      </c>
      <c r="BL27" s="187">
        <f>BK27+BL26</f>
        <v/>
      </c>
      <c r="BM27" s="187">
        <f>BL27+BM26</f>
        <v/>
      </c>
      <c r="BN27" s="187">
        <f>BM27+BN26</f>
        <v/>
      </c>
      <c r="BO27" s="187">
        <f>BN27+BO26</f>
        <v/>
      </c>
      <c r="BP27" s="187">
        <f>BO27+BP26</f>
        <v/>
      </c>
      <c r="BQ27" s="187">
        <f>BP27+BQ26</f>
        <v/>
      </c>
      <c r="BR27" s="187">
        <f>BQ27+BR26</f>
        <v/>
      </c>
      <c r="BS27" s="187">
        <f>BR27+BS26</f>
        <v/>
      </c>
      <c r="BT27" s="187">
        <f>BS27+BT26</f>
        <v/>
      </c>
      <c r="BU27" s="187">
        <f>BT27+BU26</f>
        <v/>
      </c>
      <c r="BV27" s="187">
        <f>BU27+BV26</f>
        <v/>
      </c>
      <c r="BW27" s="187">
        <f>BV27+BW26</f>
        <v/>
      </c>
      <c r="BX27" s="187">
        <f>BW27+BX26</f>
        <v/>
      </c>
      <c r="BY27" s="187">
        <f>BX27+BY26</f>
        <v/>
      </c>
      <c r="BZ27" s="187">
        <f>BY27+BZ26</f>
        <v/>
      </c>
      <c r="CA27" s="187">
        <f>BZ27+CA26</f>
        <v/>
      </c>
      <c r="CB27" s="187">
        <f>CA27+CB26</f>
        <v/>
      </c>
      <c r="CC27" s="187">
        <f>CB27+CC26</f>
        <v/>
      </c>
      <c r="CD27" s="187">
        <f>CC27+CD26</f>
        <v/>
      </c>
      <c r="CE27" s="187">
        <f>CD27+CE26</f>
        <v/>
      </c>
      <c r="CF27" s="187">
        <f>CE27+CF26</f>
        <v/>
      </c>
      <c r="CG27" s="187">
        <f>CF27+CG26</f>
        <v/>
      </c>
      <c r="CH27" s="187">
        <f>CG27+CH26</f>
        <v/>
      </c>
      <c r="CI27" s="187">
        <f>CH27+CI26</f>
        <v/>
      </c>
      <c r="CJ27" s="187">
        <f>CI27+CJ26</f>
        <v/>
      </c>
      <c r="CK27" s="187">
        <f>CJ27+CK26</f>
        <v/>
      </c>
      <c r="CL27" s="187">
        <f>CK27+CL26</f>
        <v/>
      </c>
      <c r="CM27" s="187">
        <f>CL27+CM26</f>
        <v/>
      </c>
      <c r="CN27" s="187">
        <f>CM27+CN26</f>
        <v/>
      </c>
      <c r="CO27" s="187">
        <f>CN27+CO26</f>
        <v/>
      </c>
      <c r="CP27" s="187">
        <f>CO27+CP26</f>
        <v/>
      </c>
      <c r="CQ27" s="187">
        <f>CP27+CQ26</f>
        <v/>
      </c>
      <c r="CR27" s="187">
        <f>CQ27+CR26</f>
        <v/>
      </c>
      <c r="CS27" s="187">
        <f>CR27+CS26</f>
        <v/>
      </c>
      <c r="CT27" s="187">
        <f>CS27+CT26</f>
        <v/>
      </c>
      <c r="CU27" s="187">
        <f>CT27+CU26</f>
        <v/>
      </c>
      <c r="CV27" s="187">
        <f>CU27+CV26</f>
        <v/>
      </c>
      <c r="CW27" s="187">
        <f>CV27+CW26</f>
        <v/>
      </c>
      <c r="CX27" s="187">
        <f>CW27+CX26</f>
        <v/>
      </c>
      <c r="CY27" s="187">
        <f>CX27+CY26</f>
        <v/>
      </c>
      <c r="CZ27" s="187">
        <f>CY27+CZ26</f>
        <v/>
      </c>
      <c r="DA27" s="187">
        <f>CZ27+DA26</f>
        <v/>
      </c>
      <c r="DB27" s="187">
        <f>DA27+DB26</f>
        <v/>
      </c>
      <c r="DC27" s="187">
        <f>DB27+DC26</f>
        <v/>
      </c>
      <c r="DD27" s="187">
        <f>DC27+DD26</f>
        <v/>
      </c>
      <c r="DE27" s="187">
        <f>DD27+DE26</f>
        <v/>
      </c>
      <c r="DF27" s="187">
        <f>DE27+DF26</f>
        <v/>
      </c>
      <c r="DG27" s="187">
        <f>DF27+DG26</f>
        <v/>
      </c>
      <c r="DH27" s="187">
        <f>DG27+DH26</f>
        <v/>
      </c>
      <c r="DI27" s="187">
        <f>DH27+DI26</f>
        <v/>
      </c>
      <c r="DJ27" s="187">
        <f>DI27+DJ26</f>
        <v/>
      </c>
      <c r="DK27" s="187">
        <f>DJ27+DK26</f>
        <v/>
      </c>
      <c r="DL27" s="187">
        <f>DK27+DL26</f>
        <v/>
      </c>
      <c r="DM27" s="187">
        <f>DL27+DM26</f>
        <v/>
      </c>
      <c r="DN27" s="187">
        <f>DM27+DN26</f>
        <v/>
      </c>
      <c r="DO27" s="187">
        <f>DN27+DO26</f>
        <v/>
      </c>
      <c r="DP27" s="187">
        <f>DO27+DP26</f>
        <v/>
      </c>
      <c r="DQ27" s="187">
        <f>DP27+DQ26</f>
        <v/>
      </c>
      <c r="DR27" s="187">
        <f>DQ27+DR26</f>
        <v/>
      </c>
      <c r="DS27" s="187">
        <f>DR27+DS26</f>
        <v/>
      </c>
      <c r="DT27" s="187">
        <f>DS27+DT26</f>
        <v/>
      </c>
      <c r="DU27" s="187">
        <f>DT27+DU26</f>
        <v/>
      </c>
      <c r="DV27" s="187">
        <f>DU27+DV26</f>
        <v/>
      </c>
      <c r="DW27" s="187">
        <f>DV27+DW26</f>
        <v/>
      </c>
      <c r="DX27" s="187">
        <f>DW27+DX26</f>
        <v/>
      </c>
      <c r="DY27" s="187">
        <f>DX27+DY26</f>
        <v/>
      </c>
      <c r="DZ27" s="187">
        <f>DY27+DZ26</f>
        <v/>
      </c>
      <c r="EA27" s="187">
        <f>DZ27+EA26</f>
        <v/>
      </c>
      <c r="EB27" s="187">
        <f>EA27+EB26</f>
        <v/>
      </c>
      <c r="EC27" s="187">
        <f>EB27+EC26</f>
        <v/>
      </c>
      <c r="ED27" s="187">
        <f>EC27+ED26</f>
        <v/>
      </c>
      <c r="EE27" s="187">
        <f>ED27+EE26</f>
        <v/>
      </c>
      <c r="EF27" s="187">
        <f>EE27+EF26</f>
        <v/>
      </c>
      <c r="EG27" s="187">
        <f>EF27+EG26</f>
        <v/>
      </c>
      <c r="EH27" s="187">
        <f>EG27+EH26</f>
        <v/>
      </c>
      <c r="EI27" s="187">
        <f>EH27+EI26</f>
        <v/>
      </c>
      <c r="EJ27" s="187">
        <f>EI27+EJ26</f>
        <v/>
      </c>
      <c r="EK27" s="187">
        <f>EJ27+EK26</f>
        <v/>
      </c>
      <c r="EL27" s="187">
        <f>EK27+EL26</f>
        <v/>
      </c>
      <c r="EM27" s="187">
        <f>EL27+EM26</f>
        <v/>
      </c>
      <c r="EN27" s="187">
        <f>EM27+EN26</f>
        <v/>
      </c>
      <c r="EO27" s="187">
        <f>EN27+EO26</f>
        <v/>
      </c>
      <c r="EP27" s="187">
        <f>EO27+EP26</f>
        <v/>
      </c>
      <c r="EQ27" s="187">
        <f>EP27+EQ26</f>
        <v/>
      </c>
      <c r="ER27" s="187">
        <f>EQ27+ER26</f>
        <v/>
      </c>
      <c r="ES27" s="187">
        <f>ER27+ES26</f>
        <v/>
      </c>
      <c r="ET27" s="187">
        <f>ES27+ET26</f>
        <v/>
      </c>
      <c r="EU27" s="187">
        <f>ET27+EU26</f>
        <v/>
      </c>
      <c r="EV27" s="187">
        <f>EU27+EV26</f>
        <v/>
      </c>
      <c r="EW27" s="187">
        <f>EV27+EW26</f>
        <v/>
      </c>
      <c r="EX27" s="187">
        <f>EW27+EX26</f>
        <v/>
      </c>
      <c r="EY27" s="187">
        <f>EX27+EY26</f>
        <v/>
      </c>
      <c r="EZ27" s="187">
        <f>EY27+EZ26</f>
        <v/>
      </c>
      <c r="FA27" s="187">
        <f>EZ27+FA26</f>
        <v/>
      </c>
      <c r="FB27" s="187">
        <f>FA27+FB26</f>
        <v/>
      </c>
      <c r="FC27" s="187">
        <f>FB27+FC26</f>
        <v/>
      </c>
      <c r="FD27" s="187">
        <f>FC27+FD26</f>
        <v/>
      </c>
      <c r="FE27" s="187">
        <f>FD27+FE26</f>
        <v/>
      </c>
      <c r="FF27" s="187">
        <f>FE27+FF26</f>
        <v/>
      </c>
      <c r="FG27" s="187">
        <f>FF27+FG26</f>
        <v/>
      </c>
      <c r="FH27" s="187">
        <f>FG27+FH26</f>
        <v/>
      </c>
      <c r="FI27" s="187">
        <f>FH27+FI26</f>
        <v/>
      </c>
      <c r="FJ27" s="187">
        <f>FI27+FJ26</f>
        <v/>
      </c>
      <c r="FK27" s="187">
        <f>FJ27+FK26</f>
        <v/>
      </c>
      <c r="FL27" s="187">
        <f>FK27+FL26</f>
        <v/>
      </c>
      <c r="FM27" s="187">
        <f>FL27+FM26</f>
        <v/>
      </c>
      <c r="FN27" s="187">
        <f>FM27+FN26</f>
        <v/>
      </c>
      <c r="FO27" s="187">
        <f>FN27+FO26</f>
        <v/>
      </c>
      <c r="FP27" s="187">
        <f>FO27+FP26</f>
        <v/>
      </c>
      <c r="FQ27" s="187">
        <f>FP27+FQ26</f>
        <v/>
      </c>
      <c r="FR27" s="187">
        <f>FQ27+FR26</f>
        <v/>
      </c>
      <c r="FS27" s="187">
        <f>FR27+FS26</f>
        <v/>
      </c>
      <c r="FT27" s="187">
        <f>FS27+FT26</f>
        <v/>
      </c>
      <c r="FU27" s="187">
        <f>FT27+FU26</f>
        <v/>
      </c>
      <c r="FV27" s="187">
        <f>FU27+FV26</f>
        <v/>
      </c>
      <c r="FW27" s="187">
        <f>FV27+FW26</f>
        <v/>
      </c>
      <c r="FX27" s="187">
        <f>FW27+FX26</f>
        <v/>
      </c>
      <c r="FY27" s="187">
        <f>FX27+FY26</f>
        <v/>
      </c>
      <c r="FZ27" s="187">
        <f>FY27+FZ26</f>
        <v/>
      </c>
      <c r="GA27" s="187">
        <f>FZ27+GA26</f>
        <v/>
      </c>
      <c r="GB27" s="187">
        <f>GA27+GB26</f>
        <v/>
      </c>
      <c r="GC27" s="187">
        <f>GB27+GC26</f>
        <v/>
      </c>
      <c r="GD27" s="187">
        <f>GC27+GD26</f>
        <v/>
      </c>
      <c r="GE27" s="187">
        <f>GD27+GE26</f>
        <v/>
      </c>
      <c r="GF27" s="187">
        <f>GE27+GF26</f>
        <v/>
      </c>
      <c r="GG27" s="187">
        <f>GF27+GG26</f>
        <v/>
      </c>
      <c r="GH27" s="187">
        <f>GG27+GH26</f>
        <v/>
      </c>
      <c r="GI27" s="187">
        <f>GH27+GI26</f>
        <v/>
      </c>
      <c r="GJ27" s="187">
        <f>GI27+GJ26</f>
        <v/>
      </c>
      <c r="GK27" s="187">
        <f>GJ27+GK26</f>
        <v/>
      </c>
      <c r="GL27" s="187">
        <f>GK27+GL26</f>
        <v/>
      </c>
      <c r="GM27" s="187">
        <f>GL27+GM26</f>
        <v/>
      </c>
      <c r="GN27" s="187">
        <f>GM27+GN26</f>
        <v/>
      </c>
      <c r="GO27" s="187">
        <f>GN27+GO26</f>
        <v/>
      </c>
      <c r="GP27" s="187">
        <f>GO27+GP26</f>
        <v/>
      </c>
      <c r="GQ27" s="187">
        <f>GP27+GQ26</f>
        <v/>
      </c>
      <c r="GR27" s="187">
        <f>GQ27+GR26</f>
        <v/>
      </c>
      <c r="GS27" s="187">
        <f>GR27+GS26</f>
        <v/>
      </c>
      <c r="GT27" s="187">
        <f>GS27+GT26</f>
        <v/>
      </c>
      <c r="GU27" s="187">
        <f>GT27+GU26</f>
        <v/>
      </c>
      <c r="GV27" s="187">
        <f>GU27+GV26</f>
        <v/>
      </c>
      <c r="GW27" s="187">
        <f>GV27+GW26</f>
        <v/>
      </c>
      <c r="GX27" s="187">
        <f>GW27+GX26</f>
        <v/>
      </c>
      <c r="GY27" s="187">
        <f>GX27+GY26</f>
        <v/>
      </c>
      <c r="GZ27" s="187">
        <f>GY27+GZ26</f>
        <v/>
      </c>
      <c r="HA27" s="187">
        <f>GZ27+HA26</f>
        <v/>
      </c>
      <c r="HB27" s="187">
        <f>HA27+HB26</f>
        <v/>
      </c>
      <c r="HC27" s="187">
        <f>HB27+HC26</f>
        <v/>
      </c>
      <c r="HD27" s="187">
        <f>HC27+HD26</f>
        <v/>
      </c>
      <c r="HE27" s="187">
        <f>HD27+HE26</f>
        <v/>
      </c>
      <c r="HF27" s="187">
        <f>HE27+HF26</f>
        <v/>
      </c>
      <c r="HG27" s="187">
        <f>HF27+HG26</f>
        <v/>
      </c>
      <c r="HH27" s="187">
        <f>HG27+HH26</f>
        <v/>
      </c>
      <c r="HI27" s="187">
        <f>HH27+HI26</f>
        <v/>
      </c>
      <c r="HJ27" s="187">
        <f>HI27+HJ26</f>
        <v/>
      </c>
      <c r="HK27" s="187">
        <f>HJ27+HK26</f>
        <v/>
      </c>
      <c r="HL27" s="187">
        <f>HK27+HL26</f>
        <v/>
      </c>
      <c r="HM27" s="187">
        <f>HL27+HM26</f>
        <v/>
      </c>
      <c r="HN27" s="187">
        <f>HM27+HN26</f>
        <v/>
      </c>
      <c r="HO27" s="187">
        <f>HN27+HO26</f>
        <v/>
      </c>
      <c r="HP27" s="187">
        <f>HO27+HP26</f>
        <v/>
      </c>
      <c r="HQ27" s="187">
        <f>HP27+HQ26</f>
        <v/>
      </c>
      <c r="HR27" s="187">
        <f>HQ27+HR26</f>
        <v/>
      </c>
      <c r="HS27" s="187">
        <f>HR27+HS26</f>
        <v/>
      </c>
      <c r="HT27" s="187">
        <f>HS27+HT26</f>
        <v/>
      </c>
      <c r="HU27" s="187">
        <f>HT27+HU26</f>
        <v/>
      </c>
      <c r="HV27" s="187">
        <f>HU27+HV26</f>
        <v/>
      </c>
      <c r="HW27" s="187">
        <f>HV27+HW26</f>
        <v/>
      </c>
      <c r="HX27" s="187">
        <f>HW27+HX26</f>
        <v/>
      </c>
      <c r="HY27" s="187">
        <f>HX27+HY26</f>
        <v/>
      </c>
      <c r="HZ27" s="187">
        <f>HY27+HZ26</f>
        <v/>
      </c>
      <c r="IA27" s="187">
        <f>HZ27+IA26</f>
        <v/>
      </c>
      <c r="IB27" s="187">
        <f>IA27+IB26</f>
        <v/>
      </c>
      <c r="IC27" s="187">
        <f>IB27+IC26</f>
        <v/>
      </c>
      <c r="ID27" s="187">
        <f>IC27+ID26</f>
        <v/>
      </c>
      <c r="IE27" s="187">
        <f>ID27+IE26</f>
        <v/>
      </c>
      <c r="IF27" s="187">
        <f>IE27+IF26</f>
        <v/>
      </c>
      <c r="IG27" s="187">
        <f>IF27+IG26</f>
        <v/>
      </c>
      <c r="IH27" s="187">
        <f>IG27+IH26</f>
        <v/>
      </c>
      <c r="II27" s="187">
        <f>IH27+II26</f>
        <v/>
      </c>
      <c r="IJ27" s="187">
        <f>II27+IJ26</f>
        <v/>
      </c>
      <c r="IK27" s="187">
        <f>IJ27+IK26</f>
        <v/>
      </c>
      <c r="IL27" s="187">
        <f>IK27+IL26</f>
        <v/>
      </c>
      <c r="IM27" s="187">
        <f>IL27+IM26</f>
        <v/>
      </c>
      <c r="IN27" s="187">
        <f>IM27+IN26</f>
        <v/>
      </c>
      <c r="IO27" s="187">
        <f>IN27+IO26</f>
        <v/>
      </c>
      <c r="IP27" s="187">
        <f>IO27+IP26</f>
        <v/>
      </c>
      <c r="IQ27" s="187">
        <f>IP27+IQ26</f>
        <v/>
      </c>
      <c r="IR27" s="187">
        <f>IQ27+IR26</f>
        <v/>
      </c>
      <c r="IS27" s="187">
        <f>IR27+IS26</f>
        <v/>
      </c>
      <c r="IT27" s="187">
        <f>IS27+IT26</f>
        <v/>
      </c>
      <c r="IU27" s="187">
        <f>IT27+IU26</f>
        <v/>
      </c>
      <c r="IV27" s="187">
        <f>IU27+IV26</f>
        <v/>
      </c>
      <c r="IW27" s="187">
        <f>IV27+IW26</f>
        <v/>
      </c>
      <c r="IX27" s="187">
        <f>IW27+IX26</f>
        <v/>
      </c>
      <c r="IY27" s="187">
        <f>IX27+IY26</f>
        <v/>
      </c>
      <c r="IZ27" s="187">
        <f>IY27+IZ26</f>
        <v/>
      </c>
      <c r="JA27" s="187">
        <f>IZ27+JA26</f>
        <v/>
      </c>
      <c r="JB27" s="187">
        <f>JA27+JB26</f>
        <v/>
      </c>
      <c r="JC27" s="187">
        <f>JB27+JC26</f>
        <v/>
      </c>
      <c r="JD27" s="187">
        <f>JC27+JD26</f>
        <v/>
      </c>
      <c r="JE27" s="187">
        <f>JD27+JE26</f>
        <v/>
      </c>
      <c r="JF27" s="187">
        <f>JE27+JF26</f>
        <v/>
      </c>
      <c r="JG27" s="187">
        <f>JF27+JG26</f>
        <v/>
      </c>
      <c r="JH27" s="187">
        <f>JG27+JH26</f>
        <v/>
      </c>
      <c r="JI27" s="187">
        <f>JH27+JI26</f>
        <v/>
      </c>
      <c r="JJ27" s="187">
        <f>JI27+JJ26</f>
        <v/>
      </c>
      <c r="JK27" s="187">
        <f>JJ27+JK26</f>
        <v/>
      </c>
      <c r="JL27" s="187">
        <f>JK27+JL26</f>
        <v/>
      </c>
      <c r="JM27" s="187">
        <f>JL27+JM26</f>
        <v/>
      </c>
      <c r="JN27" s="187">
        <f>JM27+JN26</f>
        <v/>
      </c>
      <c r="JO27" s="187">
        <f>JN27+JO26</f>
        <v/>
      </c>
      <c r="JP27" s="187">
        <f>JO27+JP26</f>
        <v/>
      </c>
      <c r="JQ27" s="187">
        <f>JP27+JQ26</f>
        <v/>
      </c>
      <c r="JR27" s="187">
        <f>JQ27+JR26</f>
        <v/>
      </c>
      <c r="JS27" s="187">
        <f>JR27+JS26</f>
        <v/>
      </c>
      <c r="JT27" s="187">
        <f>JS27+JT26</f>
        <v/>
      </c>
      <c r="JU27" s="187">
        <f>JT27+JU26</f>
        <v/>
      </c>
      <c r="JV27" s="187">
        <f>JU27+JV26</f>
        <v/>
      </c>
      <c r="JW27" s="187">
        <f>JV27+JW26</f>
        <v/>
      </c>
      <c r="JX27" s="187">
        <f>JW27+JX26</f>
        <v/>
      </c>
      <c r="JY27" s="187">
        <f>JX27+JY26</f>
        <v/>
      </c>
      <c r="JZ27" s="187">
        <f>JY27+JZ26</f>
        <v/>
      </c>
      <c r="KA27" s="187">
        <f>JZ27+KA26</f>
        <v/>
      </c>
      <c r="KB27" s="187">
        <f>KA27+KB26</f>
        <v/>
      </c>
      <c r="KC27" s="187">
        <f>KB27+KC26</f>
        <v/>
      </c>
      <c r="KD27" s="187">
        <f>KC27+KD26</f>
        <v/>
      </c>
      <c r="KE27" s="187">
        <f>KD27+KE26</f>
        <v/>
      </c>
      <c r="KF27" s="187">
        <f>KE27+KF26</f>
        <v/>
      </c>
      <c r="KG27" s="187">
        <f>KF27+KG26</f>
        <v/>
      </c>
      <c r="KH27" s="187">
        <f>KG27+KH26</f>
        <v/>
      </c>
      <c r="KI27" s="187">
        <f>KH27+KI26</f>
        <v/>
      </c>
      <c r="KJ27" s="187">
        <f>KI27+KJ26</f>
        <v/>
      </c>
      <c r="KK27" s="187">
        <f>KJ27+KK26</f>
        <v/>
      </c>
      <c r="KL27" s="187">
        <f>KK27+KL26</f>
        <v/>
      </c>
      <c r="KM27" s="187">
        <f>KL27+KM26</f>
        <v/>
      </c>
      <c r="KN27" s="187">
        <f>KM27+KN26</f>
        <v/>
      </c>
      <c r="KO27" s="187">
        <f>KN27+KO26</f>
        <v/>
      </c>
      <c r="KP27" s="187">
        <f>KO27+KP26</f>
        <v/>
      </c>
    </row>
    <row r="29" ht="14" customHeight="1" s="133">
      <c r="A29" s="175" t="inlineStr">
        <is>
          <t xml:space="preserve">  P99 — Extreme Stress</t>
        </is>
      </c>
      <c r="B29" s="167" t="n"/>
      <c r="C29" s="176" t="n"/>
      <c r="D29" s="176" t="n"/>
      <c r="E29" s="176" t="n"/>
      <c r="F29" s="176" t="n"/>
      <c r="G29" s="176" t="n"/>
      <c r="H29" s="176" t="n"/>
      <c r="I29" s="176" t="n"/>
      <c r="J29" s="176" t="n"/>
      <c r="K29" s="176" t="n"/>
      <c r="L29" s="176" t="n"/>
      <c r="M29" s="176" t="n"/>
      <c r="N29" s="176" t="n"/>
      <c r="O29" s="176" t="n"/>
      <c r="P29" s="176" t="n"/>
      <c r="Q29" s="176" t="n"/>
      <c r="R29" s="176" t="n"/>
      <c r="S29" s="176" t="n"/>
      <c r="T29" s="176" t="n"/>
      <c r="U29" s="176" t="n"/>
      <c r="V29" s="176" t="n"/>
      <c r="W29" s="176" t="n"/>
      <c r="X29" s="176" t="n"/>
      <c r="Y29" s="176" t="n"/>
      <c r="Z29" s="176" t="n"/>
      <c r="AA29" s="176" t="n"/>
      <c r="AB29" s="176" t="n"/>
      <c r="AC29" s="176" t="n"/>
      <c r="AD29" s="176" t="n"/>
      <c r="AE29" s="176" t="n"/>
      <c r="AF29" s="176" t="n"/>
      <c r="AG29" s="176" t="n"/>
      <c r="AH29" s="176" t="n"/>
      <c r="AI29" s="176" t="n"/>
      <c r="AJ29" s="176" t="n"/>
      <c r="AK29" s="176" t="n"/>
      <c r="AL29" s="176" t="n"/>
      <c r="AM29" s="176" t="n"/>
      <c r="AN29" s="176" t="n"/>
      <c r="AO29" s="176" t="n"/>
      <c r="AP29" s="176" t="n"/>
      <c r="AQ29" s="176" t="n"/>
      <c r="AR29" s="176" t="n"/>
      <c r="AS29" s="176" t="n"/>
      <c r="AT29" s="176" t="n"/>
      <c r="AU29" s="176" t="n"/>
      <c r="AV29" s="176" t="n"/>
      <c r="AW29" s="176" t="n"/>
      <c r="AX29" s="176" t="n"/>
      <c r="AY29" s="176" t="n"/>
      <c r="AZ29" s="176" t="n"/>
      <c r="BA29" s="176" t="n"/>
      <c r="BB29" s="176" t="n"/>
      <c r="BC29" s="176" t="n"/>
      <c r="BD29" s="176" t="n"/>
      <c r="BE29" s="176" t="n"/>
      <c r="BF29" s="176" t="n"/>
      <c r="BG29" s="176" t="n"/>
      <c r="BH29" s="176" t="n"/>
      <c r="BI29" s="176" t="n"/>
      <c r="BJ29" s="176" t="n"/>
      <c r="BK29" s="176" t="n"/>
      <c r="BL29" s="176" t="n"/>
      <c r="BM29" s="176" t="n"/>
      <c r="BN29" s="176" t="n"/>
      <c r="BO29" s="176" t="n"/>
      <c r="BP29" s="176" t="n"/>
      <c r="BQ29" s="176" t="n"/>
      <c r="BR29" s="176" t="n"/>
      <c r="BS29" s="176" t="n"/>
      <c r="BT29" s="176" t="n"/>
      <c r="BU29" s="176" t="n"/>
      <c r="BV29" s="176" t="n"/>
      <c r="BW29" s="176" t="n"/>
      <c r="BX29" s="176" t="n"/>
      <c r="BY29" s="176" t="n"/>
      <c r="BZ29" s="176" t="n"/>
      <c r="CA29" s="176" t="n"/>
      <c r="CB29" s="176" t="n"/>
      <c r="CC29" s="176" t="n"/>
      <c r="CD29" s="176" t="n"/>
      <c r="CE29" s="176" t="n"/>
      <c r="CF29" s="176" t="n"/>
      <c r="CG29" s="176" t="n"/>
      <c r="CH29" s="176" t="n"/>
      <c r="CI29" s="176" t="n"/>
      <c r="CJ29" s="176" t="n"/>
      <c r="CK29" s="176" t="n"/>
      <c r="CL29" s="176" t="n"/>
      <c r="CM29" s="176" t="n"/>
      <c r="CN29" s="176" t="n"/>
      <c r="CO29" s="176" t="n"/>
      <c r="CP29" s="176" t="n"/>
      <c r="CQ29" s="176" t="n"/>
      <c r="CR29" s="176" t="n"/>
      <c r="CS29" s="176" t="n"/>
      <c r="CT29" s="176" t="n"/>
      <c r="CU29" s="176" t="n"/>
      <c r="CV29" s="176" t="n"/>
      <c r="CW29" s="176" t="n"/>
      <c r="CX29" s="176" t="n"/>
      <c r="CY29" s="176" t="n"/>
      <c r="CZ29" s="176" t="n"/>
      <c r="DA29" s="176" t="n"/>
      <c r="DB29" s="176" t="n"/>
      <c r="DC29" s="176" t="n"/>
      <c r="DD29" s="176" t="n"/>
      <c r="DE29" s="176" t="n"/>
      <c r="DF29" s="176" t="n"/>
      <c r="DG29" s="176" t="n"/>
      <c r="DH29" s="176" t="n"/>
      <c r="DI29" s="176" t="n"/>
      <c r="DJ29" s="176" t="n"/>
      <c r="DK29" s="176" t="n"/>
      <c r="DL29" s="176" t="n"/>
      <c r="DM29" s="176" t="n"/>
      <c r="DN29" s="176" t="n"/>
      <c r="DO29" s="176" t="n"/>
      <c r="DP29" s="176" t="n"/>
      <c r="DQ29" s="176" t="n"/>
      <c r="DR29" s="176" t="n"/>
      <c r="DS29" s="176" t="n"/>
      <c r="DT29" s="176" t="n"/>
      <c r="DU29" s="176" t="n"/>
      <c r="DV29" s="176" t="n"/>
      <c r="DW29" s="176" t="n"/>
      <c r="DX29" s="176" t="n"/>
      <c r="DY29" s="176" t="n"/>
      <c r="DZ29" s="176" t="n"/>
      <c r="EA29" s="176" t="n"/>
      <c r="EB29" s="176" t="n"/>
      <c r="EC29" s="176" t="n"/>
      <c r="ED29" s="176" t="n"/>
      <c r="EE29" s="176" t="n"/>
      <c r="EF29" s="176" t="n"/>
      <c r="EG29" s="176" t="n"/>
      <c r="EH29" s="176" t="n"/>
      <c r="EI29" s="176" t="n"/>
      <c r="EJ29" s="176" t="n"/>
      <c r="EK29" s="176" t="n"/>
      <c r="EL29" s="176" t="n"/>
      <c r="EM29" s="176" t="n"/>
      <c r="EN29" s="176" t="n"/>
      <c r="EO29" s="176" t="n"/>
      <c r="EP29" s="176" t="n"/>
      <c r="EQ29" s="176" t="n"/>
      <c r="ER29" s="176" t="n"/>
      <c r="ES29" s="176" t="n"/>
      <c r="ET29" s="176" t="n"/>
      <c r="EU29" s="176" t="n"/>
      <c r="EV29" s="176" t="n"/>
      <c r="EW29" s="176" t="n"/>
      <c r="EX29" s="176" t="n"/>
      <c r="EY29" s="176" t="n"/>
      <c r="EZ29" s="176" t="n"/>
      <c r="FA29" s="176" t="n"/>
      <c r="FB29" s="176" t="n"/>
      <c r="FC29" s="176" t="n"/>
      <c r="FD29" s="176" t="n"/>
      <c r="FE29" s="176" t="n"/>
      <c r="FF29" s="176" t="n"/>
      <c r="FG29" s="176" t="n"/>
      <c r="FH29" s="176" t="n"/>
      <c r="FI29" s="176" t="n"/>
      <c r="FJ29" s="176" t="n"/>
      <c r="FK29" s="176" t="n"/>
      <c r="FL29" s="176" t="n"/>
      <c r="FM29" s="176" t="n"/>
      <c r="FN29" s="176" t="n"/>
      <c r="FO29" s="176" t="n"/>
      <c r="FP29" s="176" t="n"/>
      <c r="FQ29" s="176" t="n"/>
      <c r="FR29" s="176" t="n"/>
      <c r="FS29" s="176" t="n"/>
      <c r="FT29" s="176" t="n"/>
      <c r="FU29" s="176" t="n"/>
      <c r="FV29" s="176" t="n"/>
      <c r="FW29" s="176" t="n"/>
      <c r="FX29" s="176" t="n"/>
      <c r="FY29" s="176" t="n"/>
      <c r="FZ29" s="176" t="n"/>
      <c r="GA29" s="176" t="n"/>
      <c r="GB29" s="176" t="n"/>
      <c r="GC29" s="176" t="n"/>
      <c r="GD29" s="176" t="n"/>
      <c r="GE29" s="176" t="n"/>
      <c r="GF29" s="176" t="n"/>
      <c r="GG29" s="176" t="n"/>
      <c r="GH29" s="176" t="n"/>
      <c r="GI29" s="176" t="n"/>
      <c r="GJ29" s="176" t="n"/>
      <c r="GK29" s="176" t="n"/>
      <c r="GL29" s="176" t="n"/>
      <c r="GM29" s="176" t="n"/>
      <c r="GN29" s="176" t="n"/>
      <c r="GO29" s="176" t="n"/>
      <c r="GP29" s="176" t="n"/>
      <c r="GQ29" s="176" t="n"/>
      <c r="GR29" s="176" t="n"/>
      <c r="GS29" s="176" t="n"/>
      <c r="GT29" s="176" t="n"/>
      <c r="GU29" s="176" t="n"/>
      <c r="GV29" s="176" t="n"/>
      <c r="GW29" s="176" t="n"/>
      <c r="GX29" s="176" t="n"/>
      <c r="GY29" s="176" t="n"/>
      <c r="GZ29" s="176" t="n"/>
      <c r="HA29" s="176" t="n"/>
      <c r="HB29" s="176" t="n"/>
      <c r="HC29" s="176" t="n"/>
      <c r="HD29" s="176" t="n"/>
      <c r="HE29" s="176" t="n"/>
      <c r="HF29" s="176" t="n"/>
      <c r="HG29" s="176" t="n"/>
      <c r="HH29" s="176" t="n"/>
      <c r="HI29" s="176" t="n"/>
      <c r="HJ29" s="176" t="n"/>
      <c r="HK29" s="176" t="n"/>
      <c r="HL29" s="176" t="n"/>
      <c r="HM29" s="176" t="n"/>
      <c r="HN29" s="176" t="n"/>
      <c r="HO29" s="176" t="n"/>
      <c r="HP29" s="176" t="n"/>
      <c r="HQ29" s="176" t="n"/>
      <c r="HR29" s="176" t="n"/>
      <c r="HS29" s="176" t="n"/>
      <c r="HT29" s="176" t="n"/>
      <c r="HU29" s="176" t="n"/>
      <c r="HV29" s="176" t="n"/>
      <c r="HW29" s="176" t="n"/>
      <c r="HX29" s="176" t="n"/>
      <c r="HY29" s="176" t="n"/>
      <c r="HZ29" s="176" t="n"/>
      <c r="IA29" s="176" t="n"/>
      <c r="IB29" s="176" t="n"/>
      <c r="IC29" s="176" t="n"/>
      <c r="ID29" s="176" t="n"/>
      <c r="IE29" s="176" t="n"/>
      <c r="IF29" s="176" t="n"/>
      <c r="IG29" s="176" t="n"/>
      <c r="IH29" s="176" t="n"/>
      <c r="II29" s="176" t="n"/>
      <c r="IJ29" s="176" t="n"/>
      <c r="IK29" s="176" t="n"/>
      <c r="IL29" s="176" t="n"/>
      <c r="IM29" s="176" t="n"/>
      <c r="IN29" s="176" t="n"/>
      <c r="IO29" s="176" t="n"/>
      <c r="IP29" s="176" t="n"/>
      <c r="IQ29" s="176" t="n"/>
      <c r="IR29" s="176" t="n"/>
      <c r="IS29" s="176" t="n"/>
      <c r="IT29" s="176" t="n"/>
      <c r="IU29" s="176" t="n"/>
      <c r="IV29" s="176" t="n"/>
      <c r="IW29" s="176" t="n"/>
      <c r="IX29" s="176" t="n"/>
      <c r="IY29" s="176" t="n"/>
      <c r="IZ29" s="176" t="n"/>
      <c r="JA29" s="176" t="n"/>
      <c r="JB29" s="176" t="n"/>
      <c r="JC29" s="176" t="n"/>
      <c r="JD29" s="176" t="n"/>
      <c r="JE29" s="176" t="n"/>
      <c r="JF29" s="176" t="n"/>
      <c r="JG29" s="176" t="n"/>
      <c r="JH29" s="176" t="n"/>
      <c r="JI29" s="176" t="n"/>
      <c r="JJ29" s="176" t="n"/>
      <c r="JK29" s="176" t="n"/>
      <c r="JL29" s="176" t="n"/>
      <c r="JM29" s="176" t="n"/>
      <c r="JN29" s="176" t="n"/>
      <c r="JO29" s="176" t="n"/>
      <c r="JP29" s="176" t="n"/>
      <c r="JQ29" s="176" t="n"/>
      <c r="JR29" s="176" t="n"/>
      <c r="JS29" s="176" t="n"/>
      <c r="JT29" s="176" t="n"/>
      <c r="JU29" s="176" t="n"/>
      <c r="JV29" s="176" t="n"/>
      <c r="JW29" s="176" t="n"/>
      <c r="JX29" s="176" t="n"/>
      <c r="JY29" s="176" t="n"/>
      <c r="JZ29" s="176" t="n"/>
      <c r="KA29" s="176" t="n"/>
      <c r="KB29" s="176" t="n"/>
      <c r="KC29" s="176" t="n"/>
      <c r="KD29" s="176" t="n"/>
      <c r="KE29" s="176" t="n"/>
      <c r="KF29" s="176" t="n"/>
      <c r="KG29" s="176" t="n"/>
      <c r="KH29" s="176" t="n"/>
      <c r="KI29" s="176" t="n"/>
      <c r="KJ29" s="176" t="n"/>
      <c r="KK29" s="176" t="n"/>
      <c r="KL29" s="176" t="n"/>
      <c r="KM29" s="176" t="n"/>
      <c r="KN29" s="176" t="n"/>
      <c r="KO29" s="176" t="n"/>
      <c r="KP29" s="176" t="n"/>
    </row>
    <row r="30" ht="16" customHeight="1" s="133">
      <c r="A30" s="177" t="inlineStr">
        <is>
          <t>Production (MWh)</t>
        </is>
      </c>
      <c r="B30" s="178" t="inlineStr">
        <is>
          <t>MWh</t>
        </is>
      </c>
      <c r="C30" s="179">
        <f>Assumptions!$E$16*(1-Assumptions!$E$23)^0</f>
        <v/>
      </c>
      <c r="D30" s="179">
        <f>Assumptions!$E$16*(1-Assumptions!$E$23)^0</f>
        <v/>
      </c>
      <c r="E30" s="179">
        <f>Assumptions!$E$16*(1-Assumptions!$E$23)^0</f>
        <v/>
      </c>
      <c r="F30" s="179">
        <f>Assumptions!$E$16*(1-Assumptions!$E$23)^0</f>
        <v/>
      </c>
      <c r="G30" s="179">
        <f>Assumptions!$E$16*(1-Assumptions!$E$23)^0</f>
        <v/>
      </c>
      <c r="H30" s="179">
        <f>Assumptions!$E$16*(1-Assumptions!$E$23)^0</f>
        <v/>
      </c>
      <c r="I30" s="179">
        <f>Assumptions!$E$16*(1-Assumptions!$E$23)^0</f>
        <v/>
      </c>
      <c r="J30" s="179">
        <f>Assumptions!$E$16*(1-Assumptions!$E$23)^0</f>
        <v/>
      </c>
      <c r="K30" s="179">
        <f>Assumptions!$E$16*(1-Assumptions!$E$23)^0</f>
        <v/>
      </c>
      <c r="L30" s="179">
        <f>Assumptions!$E$16*(1-Assumptions!$E$23)^0</f>
        <v/>
      </c>
      <c r="M30" s="179">
        <f>Assumptions!$E$16*(1-Assumptions!$E$23)^0</f>
        <v/>
      </c>
      <c r="N30" s="179">
        <f>Assumptions!$E$16*(1-Assumptions!$E$23)^0</f>
        <v/>
      </c>
      <c r="O30" s="179">
        <f>Assumptions!$E$16*(1-Assumptions!$E$23)^1</f>
        <v/>
      </c>
      <c r="P30" s="179">
        <f>Assumptions!$E$16*(1-Assumptions!$E$23)^1</f>
        <v/>
      </c>
      <c r="Q30" s="179">
        <f>Assumptions!$E$16*(1-Assumptions!$E$23)^1</f>
        <v/>
      </c>
      <c r="R30" s="179">
        <f>Assumptions!$E$16*(1-Assumptions!$E$23)^1</f>
        <v/>
      </c>
      <c r="S30" s="179">
        <f>Assumptions!$E$16*(1-Assumptions!$E$23)^1</f>
        <v/>
      </c>
      <c r="T30" s="179">
        <f>Assumptions!$E$16*(1-Assumptions!$E$23)^1</f>
        <v/>
      </c>
      <c r="U30" s="179">
        <f>Assumptions!$E$16*(1-Assumptions!$E$23)^1</f>
        <v/>
      </c>
      <c r="V30" s="179">
        <f>Assumptions!$E$16*(1-Assumptions!$E$23)^1</f>
        <v/>
      </c>
      <c r="W30" s="179">
        <f>Assumptions!$E$16*(1-Assumptions!$E$23)^1</f>
        <v/>
      </c>
      <c r="X30" s="179">
        <f>Assumptions!$E$16*(1-Assumptions!$E$23)^1</f>
        <v/>
      </c>
      <c r="Y30" s="179">
        <f>Assumptions!$E$16*(1-Assumptions!$E$23)^1</f>
        <v/>
      </c>
      <c r="Z30" s="179">
        <f>Assumptions!$E$16*(1-Assumptions!$E$23)^1</f>
        <v/>
      </c>
      <c r="AA30" s="179">
        <f>Assumptions!$E$16*(1-Assumptions!$E$23)^2</f>
        <v/>
      </c>
      <c r="AB30" s="179">
        <f>Assumptions!$E$16*(1-Assumptions!$E$23)^2</f>
        <v/>
      </c>
      <c r="AC30" s="179">
        <f>Assumptions!$E$16*(1-Assumptions!$E$23)^2</f>
        <v/>
      </c>
      <c r="AD30" s="179">
        <f>Assumptions!$E$16*(1-Assumptions!$E$23)^2</f>
        <v/>
      </c>
      <c r="AE30" s="179">
        <f>Assumptions!$E$16*(1-Assumptions!$E$23)^2</f>
        <v/>
      </c>
      <c r="AF30" s="179">
        <f>Assumptions!$E$16*(1-Assumptions!$E$23)^2</f>
        <v/>
      </c>
      <c r="AG30" s="179">
        <f>Assumptions!$E$16*(1-Assumptions!$E$23)^2</f>
        <v/>
      </c>
      <c r="AH30" s="179">
        <f>Assumptions!$E$16*(1-Assumptions!$E$23)^2</f>
        <v/>
      </c>
      <c r="AI30" s="179">
        <f>Assumptions!$E$16*(1-Assumptions!$E$23)^2</f>
        <v/>
      </c>
      <c r="AJ30" s="179">
        <f>Assumptions!$E$16*(1-Assumptions!$E$23)^2</f>
        <v/>
      </c>
      <c r="AK30" s="179">
        <f>Assumptions!$E$16*(1-Assumptions!$E$23)^2</f>
        <v/>
      </c>
      <c r="AL30" s="179">
        <f>Assumptions!$E$16*(1-Assumptions!$E$23)^2</f>
        <v/>
      </c>
      <c r="AM30" s="179">
        <f>Assumptions!$E$16*(1-Assumptions!$E$23)^3</f>
        <v/>
      </c>
      <c r="AN30" s="179">
        <f>Assumptions!$E$16*(1-Assumptions!$E$23)^3</f>
        <v/>
      </c>
      <c r="AO30" s="179">
        <f>Assumptions!$E$16*(1-Assumptions!$E$23)^3</f>
        <v/>
      </c>
      <c r="AP30" s="179">
        <f>Assumptions!$E$16*(1-Assumptions!$E$23)^3</f>
        <v/>
      </c>
      <c r="AQ30" s="179">
        <f>Assumptions!$E$16*(1-Assumptions!$E$23)^3</f>
        <v/>
      </c>
      <c r="AR30" s="179">
        <f>Assumptions!$E$16*(1-Assumptions!$E$23)^3</f>
        <v/>
      </c>
      <c r="AS30" s="179">
        <f>Assumptions!$E$16*(1-Assumptions!$E$23)^3</f>
        <v/>
      </c>
      <c r="AT30" s="179">
        <f>Assumptions!$E$16*(1-Assumptions!$E$23)^3</f>
        <v/>
      </c>
      <c r="AU30" s="179">
        <f>Assumptions!$E$16*(1-Assumptions!$E$23)^3</f>
        <v/>
      </c>
      <c r="AV30" s="179">
        <f>Assumptions!$E$16*(1-Assumptions!$E$23)^3</f>
        <v/>
      </c>
      <c r="AW30" s="179">
        <f>Assumptions!$E$16*(1-Assumptions!$E$23)^3</f>
        <v/>
      </c>
      <c r="AX30" s="179">
        <f>Assumptions!$E$16*(1-Assumptions!$E$23)^3</f>
        <v/>
      </c>
      <c r="AY30" s="179">
        <f>Assumptions!$E$16*(1-Assumptions!$E$23)^4</f>
        <v/>
      </c>
      <c r="AZ30" s="179">
        <f>Assumptions!$E$16*(1-Assumptions!$E$23)^4</f>
        <v/>
      </c>
      <c r="BA30" s="179">
        <f>Assumptions!$E$16*(1-Assumptions!$E$23)^4</f>
        <v/>
      </c>
      <c r="BB30" s="179">
        <f>Assumptions!$E$16*(1-Assumptions!$E$23)^4</f>
        <v/>
      </c>
      <c r="BC30" s="179">
        <f>Assumptions!$E$16*(1-Assumptions!$E$23)^4</f>
        <v/>
      </c>
      <c r="BD30" s="179">
        <f>Assumptions!$E$16*(1-Assumptions!$E$23)^4</f>
        <v/>
      </c>
      <c r="BE30" s="179">
        <f>Assumptions!$E$16*(1-Assumptions!$E$23)^4</f>
        <v/>
      </c>
      <c r="BF30" s="179">
        <f>Assumptions!$E$16*(1-Assumptions!$E$23)^4</f>
        <v/>
      </c>
      <c r="BG30" s="179">
        <f>Assumptions!$E$16*(1-Assumptions!$E$23)^4</f>
        <v/>
      </c>
      <c r="BH30" s="179">
        <f>Assumptions!$E$16*(1-Assumptions!$E$23)^4</f>
        <v/>
      </c>
      <c r="BI30" s="179">
        <f>Assumptions!$E$16*(1-Assumptions!$E$23)^4</f>
        <v/>
      </c>
      <c r="BJ30" s="179">
        <f>Assumptions!$E$16*(1-Assumptions!$E$23)^4</f>
        <v/>
      </c>
      <c r="BK30" s="179">
        <f>Assumptions!$E$16*(1-Assumptions!$E$23)^5</f>
        <v/>
      </c>
      <c r="BL30" s="179">
        <f>Assumptions!$E$16*(1-Assumptions!$E$23)^5</f>
        <v/>
      </c>
      <c r="BM30" s="179">
        <f>Assumptions!$E$16*(1-Assumptions!$E$23)^5</f>
        <v/>
      </c>
      <c r="BN30" s="179">
        <f>Assumptions!$E$16*(1-Assumptions!$E$23)^5</f>
        <v/>
      </c>
      <c r="BO30" s="179">
        <f>Assumptions!$E$16*(1-Assumptions!$E$23)^5</f>
        <v/>
      </c>
      <c r="BP30" s="179">
        <f>Assumptions!$E$16*(1-Assumptions!$E$23)^5</f>
        <v/>
      </c>
      <c r="BQ30" s="179">
        <f>Assumptions!$E$16*(1-Assumptions!$E$23)^5</f>
        <v/>
      </c>
      <c r="BR30" s="179">
        <f>Assumptions!$E$16*(1-Assumptions!$E$23)^5</f>
        <v/>
      </c>
      <c r="BS30" s="179">
        <f>Assumptions!$E$16*(1-Assumptions!$E$23)^5</f>
        <v/>
      </c>
      <c r="BT30" s="179">
        <f>Assumptions!$E$16*(1-Assumptions!$E$23)^5</f>
        <v/>
      </c>
      <c r="BU30" s="179">
        <f>Assumptions!$E$16*(1-Assumptions!$E$23)^5</f>
        <v/>
      </c>
      <c r="BV30" s="179">
        <f>Assumptions!$E$16*(1-Assumptions!$E$23)^5</f>
        <v/>
      </c>
      <c r="BW30" s="179">
        <f>Assumptions!$E$16*(1-Assumptions!$E$23)^6</f>
        <v/>
      </c>
      <c r="BX30" s="179">
        <f>Assumptions!$E$16*(1-Assumptions!$E$23)^6</f>
        <v/>
      </c>
      <c r="BY30" s="179">
        <f>Assumptions!$E$16*(1-Assumptions!$E$23)^6</f>
        <v/>
      </c>
      <c r="BZ30" s="179">
        <f>Assumptions!$E$16*(1-Assumptions!$E$23)^6</f>
        <v/>
      </c>
      <c r="CA30" s="179">
        <f>Assumptions!$E$16*(1-Assumptions!$E$23)^6</f>
        <v/>
      </c>
      <c r="CB30" s="179">
        <f>Assumptions!$E$16*(1-Assumptions!$E$23)^6</f>
        <v/>
      </c>
      <c r="CC30" s="179">
        <f>Assumptions!$E$16*(1-Assumptions!$E$23)^6</f>
        <v/>
      </c>
      <c r="CD30" s="179">
        <f>Assumptions!$E$16*(1-Assumptions!$E$23)^6</f>
        <v/>
      </c>
      <c r="CE30" s="179">
        <f>Assumptions!$E$16*(1-Assumptions!$E$23)^6</f>
        <v/>
      </c>
      <c r="CF30" s="179">
        <f>Assumptions!$E$16*(1-Assumptions!$E$23)^6</f>
        <v/>
      </c>
      <c r="CG30" s="179">
        <f>Assumptions!$E$16*(1-Assumptions!$E$23)^6</f>
        <v/>
      </c>
      <c r="CH30" s="179">
        <f>Assumptions!$E$16*(1-Assumptions!$E$23)^6</f>
        <v/>
      </c>
      <c r="CI30" s="179">
        <f>Assumptions!$E$16*(1-Assumptions!$E$23)^7</f>
        <v/>
      </c>
      <c r="CJ30" s="179">
        <f>Assumptions!$E$16*(1-Assumptions!$E$23)^7</f>
        <v/>
      </c>
      <c r="CK30" s="179">
        <f>Assumptions!$E$16*(1-Assumptions!$E$23)^7</f>
        <v/>
      </c>
      <c r="CL30" s="179">
        <f>Assumptions!$E$16*(1-Assumptions!$E$23)^7</f>
        <v/>
      </c>
      <c r="CM30" s="179">
        <f>Assumptions!$E$16*(1-Assumptions!$E$23)^7</f>
        <v/>
      </c>
      <c r="CN30" s="179">
        <f>Assumptions!$E$16*(1-Assumptions!$E$23)^7</f>
        <v/>
      </c>
      <c r="CO30" s="179">
        <f>Assumptions!$E$16*(1-Assumptions!$E$23)^7</f>
        <v/>
      </c>
      <c r="CP30" s="179">
        <f>Assumptions!$E$16*(1-Assumptions!$E$23)^7</f>
        <v/>
      </c>
      <c r="CQ30" s="179">
        <f>Assumptions!$E$16*(1-Assumptions!$E$23)^7</f>
        <v/>
      </c>
      <c r="CR30" s="179">
        <f>Assumptions!$E$16*(1-Assumptions!$E$23)^7</f>
        <v/>
      </c>
      <c r="CS30" s="179">
        <f>Assumptions!$E$16*(1-Assumptions!$E$23)^7</f>
        <v/>
      </c>
      <c r="CT30" s="179">
        <f>Assumptions!$E$16*(1-Assumptions!$E$23)^7</f>
        <v/>
      </c>
      <c r="CU30" s="179">
        <f>Assumptions!$E$16*(1-Assumptions!$E$23)^8</f>
        <v/>
      </c>
      <c r="CV30" s="179">
        <f>Assumptions!$E$16*(1-Assumptions!$E$23)^8</f>
        <v/>
      </c>
      <c r="CW30" s="179">
        <f>Assumptions!$E$16*(1-Assumptions!$E$23)^8</f>
        <v/>
      </c>
      <c r="CX30" s="179">
        <f>Assumptions!$E$16*(1-Assumptions!$E$23)^8</f>
        <v/>
      </c>
      <c r="CY30" s="179">
        <f>Assumptions!$E$16*(1-Assumptions!$E$23)^8</f>
        <v/>
      </c>
      <c r="CZ30" s="179">
        <f>Assumptions!$E$16*(1-Assumptions!$E$23)^8</f>
        <v/>
      </c>
      <c r="DA30" s="179">
        <f>Assumptions!$E$16*(1-Assumptions!$E$23)^8</f>
        <v/>
      </c>
      <c r="DB30" s="179">
        <f>Assumptions!$E$16*(1-Assumptions!$E$23)^8</f>
        <v/>
      </c>
      <c r="DC30" s="179">
        <f>Assumptions!$E$16*(1-Assumptions!$E$23)^8</f>
        <v/>
      </c>
      <c r="DD30" s="179">
        <f>Assumptions!$E$16*(1-Assumptions!$E$23)^8</f>
        <v/>
      </c>
      <c r="DE30" s="179">
        <f>Assumptions!$E$16*(1-Assumptions!$E$23)^8</f>
        <v/>
      </c>
      <c r="DF30" s="179">
        <f>Assumptions!$E$16*(1-Assumptions!$E$23)^8</f>
        <v/>
      </c>
      <c r="DG30" s="179">
        <f>Assumptions!$E$16*(1-Assumptions!$E$23)^9</f>
        <v/>
      </c>
      <c r="DH30" s="179">
        <f>Assumptions!$E$16*(1-Assumptions!$E$23)^9</f>
        <v/>
      </c>
      <c r="DI30" s="179">
        <f>Assumptions!$E$16*(1-Assumptions!$E$23)^9</f>
        <v/>
      </c>
      <c r="DJ30" s="179">
        <f>Assumptions!$E$16*(1-Assumptions!$E$23)^9</f>
        <v/>
      </c>
      <c r="DK30" s="179">
        <f>Assumptions!$E$16*(1-Assumptions!$E$23)^9</f>
        <v/>
      </c>
      <c r="DL30" s="179">
        <f>Assumptions!$E$16*(1-Assumptions!$E$23)^9</f>
        <v/>
      </c>
      <c r="DM30" s="179">
        <f>Assumptions!$E$16*(1-Assumptions!$E$23)^9</f>
        <v/>
      </c>
      <c r="DN30" s="179">
        <f>Assumptions!$E$16*(1-Assumptions!$E$23)^9</f>
        <v/>
      </c>
      <c r="DO30" s="179">
        <f>Assumptions!$E$16*(1-Assumptions!$E$23)^9</f>
        <v/>
      </c>
      <c r="DP30" s="179">
        <f>Assumptions!$E$16*(1-Assumptions!$E$23)^9</f>
        <v/>
      </c>
      <c r="DQ30" s="179">
        <f>Assumptions!$E$16*(1-Assumptions!$E$23)^9</f>
        <v/>
      </c>
      <c r="DR30" s="179">
        <f>Assumptions!$E$16*(1-Assumptions!$E$23)^9</f>
        <v/>
      </c>
      <c r="DS30" s="179">
        <f>Assumptions!$E$16*(1-Assumptions!$E$23)^10</f>
        <v/>
      </c>
      <c r="DT30" s="179">
        <f>Assumptions!$E$16*(1-Assumptions!$E$23)^10</f>
        <v/>
      </c>
      <c r="DU30" s="179">
        <f>Assumptions!$E$16*(1-Assumptions!$E$23)^10</f>
        <v/>
      </c>
      <c r="DV30" s="179">
        <f>Assumptions!$E$16*(1-Assumptions!$E$23)^10</f>
        <v/>
      </c>
      <c r="DW30" s="179">
        <f>Assumptions!$E$16*(1-Assumptions!$E$23)^10</f>
        <v/>
      </c>
      <c r="DX30" s="179">
        <f>Assumptions!$E$16*(1-Assumptions!$E$23)^10</f>
        <v/>
      </c>
      <c r="DY30" s="179">
        <f>Assumptions!$E$16*(1-Assumptions!$E$23)^10</f>
        <v/>
      </c>
      <c r="DZ30" s="179">
        <f>Assumptions!$E$16*(1-Assumptions!$E$23)^10</f>
        <v/>
      </c>
      <c r="EA30" s="179">
        <f>Assumptions!$E$16*(1-Assumptions!$E$23)^10</f>
        <v/>
      </c>
      <c r="EB30" s="179">
        <f>Assumptions!$E$16*(1-Assumptions!$E$23)^10</f>
        <v/>
      </c>
      <c r="EC30" s="179">
        <f>Assumptions!$E$16*(1-Assumptions!$E$23)^10</f>
        <v/>
      </c>
      <c r="ED30" s="179">
        <f>Assumptions!$E$16*(1-Assumptions!$E$23)^10</f>
        <v/>
      </c>
      <c r="EE30" s="179">
        <f>Assumptions!$E$16*(1-Assumptions!$E$23)^11</f>
        <v/>
      </c>
      <c r="EF30" s="179">
        <f>Assumptions!$E$16*(1-Assumptions!$E$23)^11</f>
        <v/>
      </c>
      <c r="EG30" s="179">
        <f>Assumptions!$E$16*(1-Assumptions!$E$23)^11</f>
        <v/>
      </c>
      <c r="EH30" s="179">
        <f>Assumptions!$E$16*(1-Assumptions!$E$23)^11</f>
        <v/>
      </c>
      <c r="EI30" s="179">
        <f>Assumptions!$E$16*(1-Assumptions!$E$23)^11</f>
        <v/>
      </c>
      <c r="EJ30" s="179">
        <f>Assumptions!$E$16*(1-Assumptions!$E$23)^11</f>
        <v/>
      </c>
      <c r="EK30" s="179">
        <f>Assumptions!$E$16*(1-Assumptions!$E$23)^11</f>
        <v/>
      </c>
      <c r="EL30" s="179">
        <f>Assumptions!$E$16*(1-Assumptions!$E$23)^11</f>
        <v/>
      </c>
      <c r="EM30" s="179">
        <f>Assumptions!$E$16*(1-Assumptions!$E$23)^11</f>
        <v/>
      </c>
      <c r="EN30" s="179">
        <f>Assumptions!$E$16*(1-Assumptions!$E$23)^11</f>
        <v/>
      </c>
      <c r="EO30" s="179">
        <f>Assumptions!$E$16*(1-Assumptions!$E$23)^11</f>
        <v/>
      </c>
      <c r="EP30" s="179">
        <f>Assumptions!$E$16*(1-Assumptions!$E$23)^11</f>
        <v/>
      </c>
      <c r="EQ30" s="179">
        <f>Assumptions!$E$16*(1-Assumptions!$E$23)^12</f>
        <v/>
      </c>
      <c r="ER30" s="179">
        <f>Assumptions!$E$16*(1-Assumptions!$E$23)^12</f>
        <v/>
      </c>
      <c r="ES30" s="179">
        <f>Assumptions!$E$16*(1-Assumptions!$E$23)^12</f>
        <v/>
      </c>
      <c r="ET30" s="179">
        <f>Assumptions!$E$16*(1-Assumptions!$E$23)^12</f>
        <v/>
      </c>
      <c r="EU30" s="179">
        <f>Assumptions!$E$16*(1-Assumptions!$E$23)^12</f>
        <v/>
      </c>
      <c r="EV30" s="179">
        <f>Assumptions!$E$16*(1-Assumptions!$E$23)^12</f>
        <v/>
      </c>
      <c r="EW30" s="179">
        <f>Assumptions!$E$16*(1-Assumptions!$E$23)^12</f>
        <v/>
      </c>
      <c r="EX30" s="179">
        <f>Assumptions!$E$16*(1-Assumptions!$E$23)^12</f>
        <v/>
      </c>
      <c r="EY30" s="179">
        <f>Assumptions!$E$16*(1-Assumptions!$E$23)^12</f>
        <v/>
      </c>
      <c r="EZ30" s="179">
        <f>Assumptions!$E$16*(1-Assumptions!$E$23)^12</f>
        <v/>
      </c>
      <c r="FA30" s="179">
        <f>Assumptions!$E$16*(1-Assumptions!$E$23)^12</f>
        <v/>
      </c>
      <c r="FB30" s="179">
        <f>Assumptions!$E$16*(1-Assumptions!$E$23)^12</f>
        <v/>
      </c>
      <c r="FC30" s="179">
        <f>Assumptions!$E$16*(1-Assumptions!$E$23)^13</f>
        <v/>
      </c>
      <c r="FD30" s="179">
        <f>Assumptions!$E$16*(1-Assumptions!$E$23)^13</f>
        <v/>
      </c>
      <c r="FE30" s="179">
        <f>Assumptions!$E$16*(1-Assumptions!$E$23)^13</f>
        <v/>
      </c>
      <c r="FF30" s="179">
        <f>Assumptions!$E$16*(1-Assumptions!$E$23)^13</f>
        <v/>
      </c>
      <c r="FG30" s="179">
        <f>Assumptions!$E$16*(1-Assumptions!$E$23)^13</f>
        <v/>
      </c>
      <c r="FH30" s="179">
        <f>Assumptions!$E$16*(1-Assumptions!$E$23)^13</f>
        <v/>
      </c>
      <c r="FI30" s="179">
        <f>Assumptions!$E$16*(1-Assumptions!$E$23)^13</f>
        <v/>
      </c>
      <c r="FJ30" s="179">
        <f>Assumptions!$E$16*(1-Assumptions!$E$23)^13</f>
        <v/>
      </c>
      <c r="FK30" s="179">
        <f>Assumptions!$E$16*(1-Assumptions!$E$23)^13</f>
        <v/>
      </c>
      <c r="FL30" s="179">
        <f>Assumptions!$E$16*(1-Assumptions!$E$23)^13</f>
        <v/>
      </c>
      <c r="FM30" s="179">
        <f>Assumptions!$E$16*(1-Assumptions!$E$23)^13</f>
        <v/>
      </c>
      <c r="FN30" s="179">
        <f>Assumptions!$E$16*(1-Assumptions!$E$23)^13</f>
        <v/>
      </c>
      <c r="FO30" s="179">
        <f>Assumptions!$E$16*(1-Assumptions!$E$23)^14</f>
        <v/>
      </c>
      <c r="FP30" s="179">
        <f>Assumptions!$E$16*(1-Assumptions!$E$23)^14</f>
        <v/>
      </c>
      <c r="FQ30" s="179">
        <f>Assumptions!$E$16*(1-Assumptions!$E$23)^14</f>
        <v/>
      </c>
      <c r="FR30" s="179">
        <f>Assumptions!$E$16*(1-Assumptions!$E$23)^14</f>
        <v/>
      </c>
      <c r="FS30" s="179">
        <f>Assumptions!$E$16*(1-Assumptions!$E$23)^14</f>
        <v/>
      </c>
      <c r="FT30" s="179">
        <f>Assumptions!$E$16*(1-Assumptions!$E$23)^14</f>
        <v/>
      </c>
      <c r="FU30" s="179">
        <f>Assumptions!$E$16*(1-Assumptions!$E$23)^14</f>
        <v/>
      </c>
      <c r="FV30" s="179">
        <f>Assumptions!$E$16*(1-Assumptions!$E$23)^14</f>
        <v/>
      </c>
      <c r="FW30" s="179">
        <f>Assumptions!$E$16*(1-Assumptions!$E$23)^14</f>
        <v/>
      </c>
      <c r="FX30" s="179">
        <f>Assumptions!$E$16*(1-Assumptions!$E$23)^14</f>
        <v/>
      </c>
      <c r="FY30" s="179">
        <f>Assumptions!$E$16*(1-Assumptions!$E$23)^14</f>
        <v/>
      </c>
      <c r="FZ30" s="179">
        <f>Assumptions!$E$16*(1-Assumptions!$E$23)^14</f>
        <v/>
      </c>
      <c r="GA30" s="179">
        <f>Assumptions!$E$16*(1-Assumptions!$E$23)^15</f>
        <v/>
      </c>
      <c r="GB30" s="179">
        <f>Assumptions!$E$16*(1-Assumptions!$E$23)^15</f>
        <v/>
      </c>
      <c r="GC30" s="179">
        <f>Assumptions!$E$16*(1-Assumptions!$E$23)^15</f>
        <v/>
      </c>
      <c r="GD30" s="179">
        <f>Assumptions!$E$16*(1-Assumptions!$E$23)^15</f>
        <v/>
      </c>
      <c r="GE30" s="179">
        <f>Assumptions!$E$16*(1-Assumptions!$E$23)^15</f>
        <v/>
      </c>
      <c r="GF30" s="179">
        <f>Assumptions!$E$16*(1-Assumptions!$E$23)^15</f>
        <v/>
      </c>
      <c r="GG30" s="179">
        <f>Assumptions!$E$16*(1-Assumptions!$E$23)^15</f>
        <v/>
      </c>
      <c r="GH30" s="179">
        <f>Assumptions!$E$16*(1-Assumptions!$E$23)^15</f>
        <v/>
      </c>
      <c r="GI30" s="179">
        <f>Assumptions!$E$16*(1-Assumptions!$E$23)^15</f>
        <v/>
      </c>
      <c r="GJ30" s="179">
        <f>Assumptions!$E$16*(1-Assumptions!$E$23)^15</f>
        <v/>
      </c>
      <c r="GK30" s="179">
        <f>Assumptions!$E$16*(1-Assumptions!$E$23)^15</f>
        <v/>
      </c>
      <c r="GL30" s="179">
        <f>Assumptions!$E$16*(1-Assumptions!$E$23)^15</f>
        <v/>
      </c>
      <c r="GM30" s="179">
        <f>Assumptions!$E$16*(1-Assumptions!$E$23)^16</f>
        <v/>
      </c>
      <c r="GN30" s="179">
        <f>Assumptions!$E$16*(1-Assumptions!$E$23)^16</f>
        <v/>
      </c>
      <c r="GO30" s="179">
        <f>Assumptions!$E$16*(1-Assumptions!$E$23)^16</f>
        <v/>
      </c>
      <c r="GP30" s="179">
        <f>Assumptions!$E$16*(1-Assumptions!$E$23)^16</f>
        <v/>
      </c>
      <c r="GQ30" s="179">
        <f>Assumptions!$E$16*(1-Assumptions!$E$23)^16</f>
        <v/>
      </c>
      <c r="GR30" s="179">
        <f>Assumptions!$E$16*(1-Assumptions!$E$23)^16</f>
        <v/>
      </c>
      <c r="GS30" s="179">
        <f>Assumptions!$E$16*(1-Assumptions!$E$23)^16</f>
        <v/>
      </c>
      <c r="GT30" s="179">
        <f>Assumptions!$E$16*(1-Assumptions!$E$23)^16</f>
        <v/>
      </c>
      <c r="GU30" s="179">
        <f>Assumptions!$E$16*(1-Assumptions!$E$23)^16</f>
        <v/>
      </c>
      <c r="GV30" s="179">
        <f>Assumptions!$E$16*(1-Assumptions!$E$23)^16</f>
        <v/>
      </c>
      <c r="GW30" s="179">
        <f>Assumptions!$E$16*(1-Assumptions!$E$23)^16</f>
        <v/>
      </c>
      <c r="GX30" s="179">
        <f>Assumptions!$E$16*(1-Assumptions!$E$23)^16</f>
        <v/>
      </c>
      <c r="GY30" s="179">
        <f>Assumptions!$E$16*(1-Assumptions!$E$23)^17</f>
        <v/>
      </c>
      <c r="GZ30" s="179">
        <f>Assumptions!$E$16*(1-Assumptions!$E$23)^17</f>
        <v/>
      </c>
      <c r="HA30" s="179">
        <f>Assumptions!$E$16*(1-Assumptions!$E$23)^17</f>
        <v/>
      </c>
      <c r="HB30" s="179">
        <f>Assumptions!$E$16*(1-Assumptions!$E$23)^17</f>
        <v/>
      </c>
      <c r="HC30" s="179">
        <f>Assumptions!$E$16*(1-Assumptions!$E$23)^17</f>
        <v/>
      </c>
      <c r="HD30" s="179">
        <f>Assumptions!$E$16*(1-Assumptions!$E$23)^17</f>
        <v/>
      </c>
      <c r="HE30" s="179">
        <f>Assumptions!$E$16*(1-Assumptions!$E$23)^17</f>
        <v/>
      </c>
      <c r="HF30" s="179">
        <f>Assumptions!$E$16*(1-Assumptions!$E$23)^17</f>
        <v/>
      </c>
      <c r="HG30" s="179">
        <f>Assumptions!$E$16*(1-Assumptions!$E$23)^17</f>
        <v/>
      </c>
      <c r="HH30" s="179">
        <f>Assumptions!$E$16*(1-Assumptions!$E$23)^17</f>
        <v/>
      </c>
      <c r="HI30" s="179">
        <f>Assumptions!$E$16*(1-Assumptions!$E$23)^17</f>
        <v/>
      </c>
      <c r="HJ30" s="179">
        <f>Assumptions!$E$16*(1-Assumptions!$E$23)^17</f>
        <v/>
      </c>
      <c r="HK30" s="179">
        <f>Assumptions!$E$16*(1-Assumptions!$E$23)^18</f>
        <v/>
      </c>
      <c r="HL30" s="179">
        <f>Assumptions!$E$16*(1-Assumptions!$E$23)^18</f>
        <v/>
      </c>
      <c r="HM30" s="179">
        <f>Assumptions!$E$16*(1-Assumptions!$E$23)^18</f>
        <v/>
      </c>
      <c r="HN30" s="179">
        <f>Assumptions!$E$16*(1-Assumptions!$E$23)^18</f>
        <v/>
      </c>
      <c r="HO30" s="179">
        <f>Assumptions!$E$16*(1-Assumptions!$E$23)^18</f>
        <v/>
      </c>
      <c r="HP30" s="179">
        <f>Assumptions!$E$16*(1-Assumptions!$E$23)^18</f>
        <v/>
      </c>
      <c r="HQ30" s="179">
        <f>Assumptions!$E$16*(1-Assumptions!$E$23)^18</f>
        <v/>
      </c>
      <c r="HR30" s="179">
        <f>Assumptions!$E$16*(1-Assumptions!$E$23)^18</f>
        <v/>
      </c>
      <c r="HS30" s="179">
        <f>Assumptions!$E$16*(1-Assumptions!$E$23)^18</f>
        <v/>
      </c>
      <c r="HT30" s="179">
        <f>Assumptions!$E$16*(1-Assumptions!$E$23)^18</f>
        <v/>
      </c>
      <c r="HU30" s="179">
        <f>Assumptions!$E$16*(1-Assumptions!$E$23)^18</f>
        <v/>
      </c>
      <c r="HV30" s="179">
        <f>Assumptions!$E$16*(1-Assumptions!$E$23)^18</f>
        <v/>
      </c>
      <c r="HW30" s="179">
        <f>Assumptions!$E$16*(1-Assumptions!$E$23)^19</f>
        <v/>
      </c>
      <c r="HX30" s="179">
        <f>Assumptions!$E$16*(1-Assumptions!$E$23)^19</f>
        <v/>
      </c>
      <c r="HY30" s="179">
        <f>Assumptions!$E$16*(1-Assumptions!$E$23)^19</f>
        <v/>
      </c>
      <c r="HZ30" s="179">
        <f>Assumptions!$E$16*(1-Assumptions!$E$23)^19</f>
        <v/>
      </c>
      <c r="IA30" s="179">
        <f>Assumptions!$E$16*(1-Assumptions!$E$23)^19</f>
        <v/>
      </c>
      <c r="IB30" s="179">
        <f>Assumptions!$E$16*(1-Assumptions!$E$23)^19</f>
        <v/>
      </c>
      <c r="IC30" s="179">
        <f>Assumptions!$E$16*(1-Assumptions!$E$23)^19</f>
        <v/>
      </c>
      <c r="ID30" s="179">
        <f>Assumptions!$E$16*(1-Assumptions!$E$23)^19</f>
        <v/>
      </c>
      <c r="IE30" s="179">
        <f>Assumptions!$E$16*(1-Assumptions!$E$23)^19</f>
        <v/>
      </c>
      <c r="IF30" s="179">
        <f>Assumptions!$E$16*(1-Assumptions!$E$23)^19</f>
        <v/>
      </c>
      <c r="IG30" s="179">
        <f>Assumptions!$E$16*(1-Assumptions!$E$23)^19</f>
        <v/>
      </c>
      <c r="IH30" s="179">
        <f>Assumptions!$E$16*(1-Assumptions!$E$23)^19</f>
        <v/>
      </c>
      <c r="II30" s="179">
        <f>Assumptions!$E$16*(1-Assumptions!$E$23)^20</f>
        <v/>
      </c>
      <c r="IJ30" s="179">
        <f>Assumptions!$E$16*(1-Assumptions!$E$23)^20</f>
        <v/>
      </c>
      <c r="IK30" s="179">
        <f>Assumptions!$E$16*(1-Assumptions!$E$23)^20</f>
        <v/>
      </c>
      <c r="IL30" s="179">
        <f>Assumptions!$E$16*(1-Assumptions!$E$23)^20</f>
        <v/>
      </c>
      <c r="IM30" s="179">
        <f>Assumptions!$E$16*(1-Assumptions!$E$23)^20</f>
        <v/>
      </c>
      <c r="IN30" s="179">
        <f>Assumptions!$E$16*(1-Assumptions!$E$23)^20</f>
        <v/>
      </c>
      <c r="IO30" s="179">
        <f>Assumptions!$E$16*(1-Assumptions!$E$23)^20</f>
        <v/>
      </c>
      <c r="IP30" s="179">
        <f>Assumptions!$E$16*(1-Assumptions!$E$23)^20</f>
        <v/>
      </c>
      <c r="IQ30" s="179">
        <f>Assumptions!$E$16*(1-Assumptions!$E$23)^20</f>
        <v/>
      </c>
      <c r="IR30" s="179">
        <f>Assumptions!$E$16*(1-Assumptions!$E$23)^20</f>
        <v/>
      </c>
      <c r="IS30" s="179">
        <f>Assumptions!$E$16*(1-Assumptions!$E$23)^20</f>
        <v/>
      </c>
      <c r="IT30" s="179">
        <f>Assumptions!$E$16*(1-Assumptions!$E$23)^20</f>
        <v/>
      </c>
      <c r="IU30" s="179">
        <f>Assumptions!$E$16*(1-Assumptions!$E$23)^21</f>
        <v/>
      </c>
      <c r="IV30" s="179">
        <f>Assumptions!$E$16*(1-Assumptions!$E$23)^21</f>
        <v/>
      </c>
      <c r="IW30" s="179">
        <f>Assumptions!$E$16*(1-Assumptions!$E$23)^21</f>
        <v/>
      </c>
      <c r="IX30" s="179">
        <f>Assumptions!$E$16*(1-Assumptions!$E$23)^21</f>
        <v/>
      </c>
      <c r="IY30" s="179">
        <f>Assumptions!$E$16*(1-Assumptions!$E$23)^21</f>
        <v/>
      </c>
      <c r="IZ30" s="179">
        <f>Assumptions!$E$16*(1-Assumptions!$E$23)^21</f>
        <v/>
      </c>
      <c r="JA30" s="179">
        <f>Assumptions!$E$16*(1-Assumptions!$E$23)^21</f>
        <v/>
      </c>
      <c r="JB30" s="179">
        <f>Assumptions!$E$16*(1-Assumptions!$E$23)^21</f>
        <v/>
      </c>
      <c r="JC30" s="179">
        <f>Assumptions!$E$16*(1-Assumptions!$E$23)^21</f>
        <v/>
      </c>
      <c r="JD30" s="179">
        <f>Assumptions!$E$16*(1-Assumptions!$E$23)^21</f>
        <v/>
      </c>
      <c r="JE30" s="179">
        <f>Assumptions!$E$16*(1-Assumptions!$E$23)^21</f>
        <v/>
      </c>
      <c r="JF30" s="179">
        <f>Assumptions!$E$16*(1-Assumptions!$E$23)^21</f>
        <v/>
      </c>
      <c r="JG30" s="179">
        <f>Assumptions!$E$16*(1-Assumptions!$E$23)^22</f>
        <v/>
      </c>
      <c r="JH30" s="179">
        <f>Assumptions!$E$16*(1-Assumptions!$E$23)^22</f>
        <v/>
      </c>
      <c r="JI30" s="179">
        <f>Assumptions!$E$16*(1-Assumptions!$E$23)^22</f>
        <v/>
      </c>
      <c r="JJ30" s="179">
        <f>Assumptions!$E$16*(1-Assumptions!$E$23)^22</f>
        <v/>
      </c>
      <c r="JK30" s="179">
        <f>Assumptions!$E$16*(1-Assumptions!$E$23)^22</f>
        <v/>
      </c>
      <c r="JL30" s="179">
        <f>Assumptions!$E$16*(1-Assumptions!$E$23)^22</f>
        <v/>
      </c>
      <c r="JM30" s="179">
        <f>Assumptions!$E$16*(1-Assumptions!$E$23)^22</f>
        <v/>
      </c>
      <c r="JN30" s="179">
        <f>Assumptions!$E$16*(1-Assumptions!$E$23)^22</f>
        <v/>
      </c>
      <c r="JO30" s="179">
        <f>Assumptions!$E$16*(1-Assumptions!$E$23)^22</f>
        <v/>
      </c>
      <c r="JP30" s="179">
        <f>Assumptions!$E$16*(1-Assumptions!$E$23)^22</f>
        <v/>
      </c>
      <c r="JQ30" s="179">
        <f>Assumptions!$E$16*(1-Assumptions!$E$23)^22</f>
        <v/>
      </c>
      <c r="JR30" s="179">
        <f>Assumptions!$E$16*(1-Assumptions!$E$23)^22</f>
        <v/>
      </c>
      <c r="JS30" s="179">
        <f>Assumptions!$E$16*(1-Assumptions!$E$23)^23</f>
        <v/>
      </c>
      <c r="JT30" s="179">
        <f>Assumptions!$E$16*(1-Assumptions!$E$23)^23</f>
        <v/>
      </c>
      <c r="JU30" s="179">
        <f>Assumptions!$E$16*(1-Assumptions!$E$23)^23</f>
        <v/>
      </c>
      <c r="JV30" s="179">
        <f>Assumptions!$E$16*(1-Assumptions!$E$23)^23</f>
        <v/>
      </c>
      <c r="JW30" s="179">
        <f>Assumptions!$E$16*(1-Assumptions!$E$23)^23</f>
        <v/>
      </c>
      <c r="JX30" s="179">
        <f>Assumptions!$E$16*(1-Assumptions!$E$23)^23</f>
        <v/>
      </c>
      <c r="JY30" s="179">
        <f>Assumptions!$E$16*(1-Assumptions!$E$23)^23</f>
        <v/>
      </c>
      <c r="JZ30" s="179">
        <f>Assumptions!$E$16*(1-Assumptions!$E$23)^23</f>
        <v/>
      </c>
      <c r="KA30" s="179">
        <f>Assumptions!$E$16*(1-Assumptions!$E$23)^23</f>
        <v/>
      </c>
      <c r="KB30" s="179">
        <f>Assumptions!$E$16*(1-Assumptions!$E$23)^23</f>
        <v/>
      </c>
      <c r="KC30" s="179">
        <f>Assumptions!$E$16*(1-Assumptions!$E$23)^23</f>
        <v/>
      </c>
      <c r="KD30" s="179">
        <f>Assumptions!$E$16*(1-Assumptions!$E$23)^23</f>
        <v/>
      </c>
      <c r="KE30" s="179">
        <f>Assumptions!$E$16*(1-Assumptions!$E$23)^24</f>
        <v/>
      </c>
      <c r="KF30" s="179">
        <f>Assumptions!$E$16*(1-Assumptions!$E$23)^24</f>
        <v/>
      </c>
      <c r="KG30" s="179">
        <f>Assumptions!$E$16*(1-Assumptions!$E$23)^24</f>
        <v/>
      </c>
      <c r="KH30" s="179">
        <f>Assumptions!$E$16*(1-Assumptions!$E$23)^24</f>
        <v/>
      </c>
      <c r="KI30" s="179">
        <f>Assumptions!$E$16*(1-Assumptions!$E$23)^24</f>
        <v/>
      </c>
      <c r="KJ30" s="179">
        <f>Assumptions!$E$16*(1-Assumptions!$E$23)^24</f>
        <v/>
      </c>
      <c r="KK30" s="179">
        <f>Assumptions!$E$16*(1-Assumptions!$E$23)^24</f>
        <v/>
      </c>
      <c r="KL30" s="179">
        <f>Assumptions!$E$16*(1-Assumptions!$E$23)^24</f>
        <v/>
      </c>
      <c r="KM30" s="179">
        <f>Assumptions!$E$16*(1-Assumptions!$E$23)^24</f>
        <v/>
      </c>
      <c r="KN30" s="179">
        <f>Assumptions!$E$16*(1-Assumptions!$E$23)^24</f>
        <v/>
      </c>
      <c r="KO30" s="179">
        <f>Assumptions!$E$16*(1-Assumptions!$E$23)^24</f>
        <v/>
      </c>
      <c r="KP30" s="179">
        <f>Assumptions!$E$16*(1-Assumptions!$E$23)^24</f>
        <v/>
      </c>
    </row>
    <row r="31" ht="16" customHeight="1" s="133">
      <c r="A31" s="177" t="inlineStr">
        <is>
          <t>Price (EUR/MWh)</t>
        </is>
      </c>
      <c r="B31" s="178" t="inlineStr">
        <is>
          <t>EUR/MWh</t>
        </is>
      </c>
      <c r="C31" s="180">
        <f>Assumptions!$E$40</f>
        <v/>
      </c>
      <c r="D31" s="180">
        <f>Assumptions!$E$40</f>
        <v/>
      </c>
      <c r="E31" s="180">
        <f>Assumptions!$E$40</f>
        <v/>
      </c>
      <c r="F31" s="180">
        <f>Assumptions!$E$40</f>
        <v/>
      </c>
      <c r="G31" s="180">
        <f>Assumptions!$E$40</f>
        <v/>
      </c>
      <c r="H31" s="180">
        <f>Assumptions!$E$40</f>
        <v/>
      </c>
      <c r="I31" s="180">
        <f>Assumptions!$E$40</f>
        <v/>
      </c>
      <c r="J31" s="180">
        <f>Assumptions!$E$40</f>
        <v/>
      </c>
      <c r="K31" s="180">
        <f>Assumptions!$E$40</f>
        <v/>
      </c>
      <c r="L31" s="180">
        <f>Assumptions!$E$40</f>
        <v/>
      </c>
      <c r="M31" s="180">
        <f>Assumptions!$E$40</f>
        <v/>
      </c>
      <c r="N31" s="180">
        <f>Assumptions!$E$40</f>
        <v/>
      </c>
      <c r="O31" s="180">
        <f>Assumptions!$E$40</f>
        <v/>
      </c>
      <c r="P31" s="180">
        <f>Assumptions!$E$40</f>
        <v/>
      </c>
      <c r="Q31" s="180">
        <f>Assumptions!$E$40</f>
        <v/>
      </c>
      <c r="R31" s="180">
        <f>Assumptions!$E$40</f>
        <v/>
      </c>
      <c r="S31" s="180">
        <f>Assumptions!$E$40</f>
        <v/>
      </c>
      <c r="T31" s="180">
        <f>Assumptions!$E$40</f>
        <v/>
      </c>
      <c r="U31" s="180">
        <f>Assumptions!$E$40</f>
        <v/>
      </c>
      <c r="V31" s="180">
        <f>Assumptions!$E$40</f>
        <v/>
      </c>
      <c r="W31" s="180">
        <f>Assumptions!$E$40</f>
        <v/>
      </c>
      <c r="X31" s="180">
        <f>Assumptions!$E$40</f>
        <v/>
      </c>
      <c r="Y31" s="180">
        <f>Assumptions!$E$40</f>
        <v/>
      </c>
      <c r="Z31" s="180">
        <f>Assumptions!$E$40</f>
        <v/>
      </c>
      <c r="AA31" s="180">
        <f>Assumptions!$E$40</f>
        <v/>
      </c>
      <c r="AB31" s="180">
        <f>Assumptions!$E$40</f>
        <v/>
      </c>
      <c r="AC31" s="180">
        <f>Assumptions!$E$40</f>
        <v/>
      </c>
      <c r="AD31" s="180">
        <f>Assumptions!$E$40</f>
        <v/>
      </c>
      <c r="AE31" s="180">
        <f>Assumptions!$E$40</f>
        <v/>
      </c>
      <c r="AF31" s="180">
        <f>Assumptions!$E$40</f>
        <v/>
      </c>
      <c r="AG31" s="180">
        <f>Assumptions!$E$40</f>
        <v/>
      </c>
      <c r="AH31" s="180">
        <f>Assumptions!$E$40</f>
        <v/>
      </c>
      <c r="AI31" s="180">
        <f>Assumptions!$E$40</f>
        <v/>
      </c>
      <c r="AJ31" s="180">
        <f>Assumptions!$E$40</f>
        <v/>
      </c>
      <c r="AK31" s="180">
        <f>Assumptions!$E$40</f>
        <v/>
      </c>
      <c r="AL31" s="180">
        <f>Assumptions!$E$40</f>
        <v/>
      </c>
      <c r="AM31" s="180">
        <f>Assumptions!$E$40</f>
        <v/>
      </c>
      <c r="AN31" s="180">
        <f>Assumptions!$E$40</f>
        <v/>
      </c>
      <c r="AO31" s="180">
        <f>Assumptions!$E$40</f>
        <v/>
      </c>
      <c r="AP31" s="180">
        <f>Assumptions!$E$40</f>
        <v/>
      </c>
      <c r="AQ31" s="180">
        <f>Assumptions!$E$40</f>
        <v/>
      </c>
      <c r="AR31" s="180">
        <f>Assumptions!$E$40</f>
        <v/>
      </c>
      <c r="AS31" s="180">
        <f>Assumptions!$E$40</f>
        <v/>
      </c>
      <c r="AT31" s="180">
        <f>Assumptions!$E$40</f>
        <v/>
      </c>
      <c r="AU31" s="180">
        <f>Assumptions!$E$40</f>
        <v/>
      </c>
      <c r="AV31" s="180">
        <f>Assumptions!$E$40</f>
        <v/>
      </c>
      <c r="AW31" s="180">
        <f>Assumptions!$E$40</f>
        <v/>
      </c>
      <c r="AX31" s="180">
        <f>Assumptions!$E$40</f>
        <v/>
      </c>
      <c r="AY31" s="180">
        <f>Assumptions!$E$40</f>
        <v/>
      </c>
      <c r="AZ31" s="180">
        <f>Assumptions!$E$40</f>
        <v/>
      </c>
      <c r="BA31" s="180">
        <f>Assumptions!$E$40</f>
        <v/>
      </c>
      <c r="BB31" s="180">
        <f>Assumptions!$E$40</f>
        <v/>
      </c>
      <c r="BC31" s="180">
        <f>Assumptions!$E$40</f>
        <v/>
      </c>
      <c r="BD31" s="180">
        <f>Assumptions!$E$40</f>
        <v/>
      </c>
      <c r="BE31" s="180">
        <f>Assumptions!$E$40</f>
        <v/>
      </c>
      <c r="BF31" s="180">
        <f>Assumptions!$E$40</f>
        <v/>
      </c>
      <c r="BG31" s="180">
        <f>Assumptions!$E$40</f>
        <v/>
      </c>
      <c r="BH31" s="180">
        <f>Assumptions!$E$40</f>
        <v/>
      </c>
      <c r="BI31" s="180">
        <f>Assumptions!$E$40</f>
        <v/>
      </c>
      <c r="BJ31" s="180">
        <f>Assumptions!$E$40</f>
        <v/>
      </c>
      <c r="BK31" s="180">
        <f>Assumptions!$E$40</f>
        <v/>
      </c>
      <c r="BL31" s="180">
        <f>Assumptions!$E$40</f>
        <v/>
      </c>
      <c r="BM31" s="180">
        <f>Assumptions!$E$40</f>
        <v/>
      </c>
      <c r="BN31" s="180">
        <f>Assumptions!$E$40</f>
        <v/>
      </c>
      <c r="BO31" s="180">
        <f>Assumptions!$E$40</f>
        <v/>
      </c>
      <c r="BP31" s="180">
        <f>Assumptions!$E$40</f>
        <v/>
      </c>
      <c r="BQ31" s="180">
        <f>Assumptions!$E$40</f>
        <v/>
      </c>
      <c r="BR31" s="180">
        <f>Assumptions!$E$40</f>
        <v/>
      </c>
      <c r="BS31" s="180">
        <f>Assumptions!$E$40</f>
        <v/>
      </c>
      <c r="BT31" s="180">
        <f>Assumptions!$E$40</f>
        <v/>
      </c>
      <c r="BU31" s="180">
        <f>Assumptions!$E$40</f>
        <v/>
      </c>
      <c r="BV31" s="180">
        <f>Assumptions!$E$40</f>
        <v/>
      </c>
      <c r="BW31" s="180">
        <f>Assumptions!$E$40</f>
        <v/>
      </c>
      <c r="BX31" s="180">
        <f>Assumptions!$E$40</f>
        <v/>
      </c>
      <c r="BY31" s="180">
        <f>Assumptions!$E$40</f>
        <v/>
      </c>
      <c r="BZ31" s="180">
        <f>Assumptions!$E$40</f>
        <v/>
      </c>
      <c r="CA31" s="180">
        <f>Assumptions!$E$40</f>
        <v/>
      </c>
      <c r="CB31" s="180">
        <f>Assumptions!$E$40</f>
        <v/>
      </c>
      <c r="CC31" s="180">
        <f>Assumptions!$E$40</f>
        <v/>
      </c>
      <c r="CD31" s="180">
        <f>Assumptions!$E$40</f>
        <v/>
      </c>
      <c r="CE31" s="180">
        <f>Assumptions!$E$40</f>
        <v/>
      </c>
      <c r="CF31" s="180">
        <f>Assumptions!$E$40</f>
        <v/>
      </c>
      <c r="CG31" s="180">
        <f>Assumptions!$E$40</f>
        <v/>
      </c>
      <c r="CH31" s="180">
        <f>Assumptions!$E$40</f>
        <v/>
      </c>
      <c r="CI31" s="180">
        <f>Assumptions!$E$40</f>
        <v/>
      </c>
      <c r="CJ31" s="180">
        <f>Assumptions!$E$40</f>
        <v/>
      </c>
      <c r="CK31" s="180">
        <f>Assumptions!$E$40</f>
        <v/>
      </c>
      <c r="CL31" s="180">
        <f>Assumptions!$E$40</f>
        <v/>
      </c>
      <c r="CM31" s="180">
        <f>Assumptions!$E$40</f>
        <v/>
      </c>
      <c r="CN31" s="180">
        <f>Assumptions!$E$40</f>
        <v/>
      </c>
      <c r="CO31" s="180">
        <f>Assumptions!$E$40</f>
        <v/>
      </c>
      <c r="CP31" s="180">
        <f>Assumptions!$E$40</f>
        <v/>
      </c>
      <c r="CQ31" s="180">
        <f>Assumptions!$E$40</f>
        <v/>
      </c>
      <c r="CR31" s="180">
        <f>Assumptions!$E$40</f>
        <v/>
      </c>
      <c r="CS31" s="180">
        <f>Assumptions!$E$40</f>
        <v/>
      </c>
      <c r="CT31" s="180">
        <f>Assumptions!$E$40</f>
        <v/>
      </c>
      <c r="CU31" s="180">
        <f>Assumptions!$E$40</f>
        <v/>
      </c>
      <c r="CV31" s="180">
        <f>Assumptions!$E$40</f>
        <v/>
      </c>
      <c r="CW31" s="180">
        <f>Assumptions!$E$40</f>
        <v/>
      </c>
      <c r="CX31" s="180">
        <f>Assumptions!$E$40</f>
        <v/>
      </c>
      <c r="CY31" s="180">
        <f>Assumptions!$E$40</f>
        <v/>
      </c>
      <c r="CZ31" s="180">
        <f>Assumptions!$E$40</f>
        <v/>
      </c>
      <c r="DA31" s="180">
        <f>Assumptions!$E$40</f>
        <v/>
      </c>
      <c r="DB31" s="180">
        <f>Assumptions!$E$40</f>
        <v/>
      </c>
      <c r="DC31" s="180">
        <f>Assumptions!$E$40</f>
        <v/>
      </c>
      <c r="DD31" s="180">
        <f>Assumptions!$E$40</f>
        <v/>
      </c>
      <c r="DE31" s="180">
        <f>Assumptions!$E$40</f>
        <v/>
      </c>
      <c r="DF31" s="180">
        <f>Assumptions!$E$40</f>
        <v/>
      </c>
      <c r="DG31" s="180">
        <f>Assumptions!$E$40</f>
        <v/>
      </c>
      <c r="DH31" s="180">
        <f>Assumptions!$E$40</f>
        <v/>
      </c>
      <c r="DI31" s="180">
        <f>Assumptions!$E$40</f>
        <v/>
      </c>
      <c r="DJ31" s="180">
        <f>Assumptions!$E$40</f>
        <v/>
      </c>
      <c r="DK31" s="180">
        <f>Assumptions!$E$40</f>
        <v/>
      </c>
      <c r="DL31" s="180">
        <f>Assumptions!$E$40</f>
        <v/>
      </c>
      <c r="DM31" s="180">
        <f>Assumptions!$E$40</f>
        <v/>
      </c>
      <c r="DN31" s="180">
        <f>Assumptions!$E$40</f>
        <v/>
      </c>
      <c r="DO31" s="180">
        <f>Assumptions!$E$40</f>
        <v/>
      </c>
      <c r="DP31" s="180">
        <f>Assumptions!$E$40</f>
        <v/>
      </c>
      <c r="DQ31" s="180">
        <f>Assumptions!$E$40</f>
        <v/>
      </c>
      <c r="DR31" s="180">
        <f>Assumptions!$E$40</f>
        <v/>
      </c>
      <c r="DS31" s="180">
        <f>Simulation!$J$127</f>
        <v/>
      </c>
      <c r="DT31" s="180">
        <f>Simulation!$J$128</f>
        <v/>
      </c>
      <c r="DU31" s="180">
        <f>Simulation!$J$129</f>
        <v/>
      </c>
      <c r="DV31" s="180">
        <f>Simulation!$J$130</f>
        <v/>
      </c>
      <c r="DW31" s="180">
        <f>Simulation!$J$131</f>
        <v/>
      </c>
      <c r="DX31" s="180">
        <f>Simulation!$J$132</f>
        <v/>
      </c>
      <c r="DY31" s="180">
        <f>Simulation!$J$133</f>
        <v/>
      </c>
      <c r="DZ31" s="180">
        <f>Simulation!$J$134</f>
        <v/>
      </c>
      <c r="EA31" s="180">
        <f>Simulation!$J$135</f>
        <v/>
      </c>
      <c r="EB31" s="180">
        <f>Simulation!$J$136</f>
        <v/>
      </c>
      <c r="EC31" s="180">
        <f>Simulation!$J$137</f>
        <v/>
      </c>
      <c r="ED31" s="180">
        <f>Simulation!$J$138</f>
        <v/>
      </c>
      <c r="EE31" s="180">
        <f>Simulation!$J$139</f>
        <v/>
      </c>
      <c r="EF31" s="180">
        <f>Simulation!$J$140</f>
        <v/>
      </c>
      <c r="EG31" s="180">
        <f>Simulation!$J$141</f>
        <v/>
      </c>
      <c r="EH31" s="180">
        <f>Simulation!$J$142</f>
        <v/>
      </c>
      <c r="EI31" s="180">
        <f>Simulation!$J$143</f>
        <v/>
      </c>
      <c r="EJ31" s="180">
        <f>Simulation!$J$144</f>
        <v/>
      </c>
      <c r="EK31" s="180">
        <f>Simulation!$J$145</f>
        <v/>
      </c>
      <c r="EL31" s="180">
        <f>Simulation!$J$146</f>
        <v/>
      </c>
      <c r="EM31" s="180">
        <f>Simulation!$J$147</f>
        <v/>
      </c>
      <c r="EN31" s="180">
        <f>Simulation!$J$148</f>
        <v/>
      </c>
      <c r="EO31" s="180">
        <f>Simulation!$J$149</f>
        <v/>
      </c>
      <c r="EP31" s="180">
        <f>Simulation!$J$150</f>
        <v/>
      </c>
      <c r="EQ31" s="180">
        <f>Simulation!$J$151</f>
        <v/>
      </c>
      <c r="ER31" s="180">
        <f>Simulation!$J$152</f>
        <v/>
      </c>
      <c r="ES31" s="180">
        <f>Simulation!$J$153</f>
        <v/>
      </c>
      <c r="ET31" s="180">
        <f>Simulation!$J$154</f>
        <v/>
      </c>
      <c r="EU31" s="180">
        <f>Simulation!$J$155</f>
        <v/>
      </c>
      <c r="EV31" s="180">
        <f>Simulation!$J$156</f>
        <v/>
      </c>
      <c r="EW31" s="180">
        <f>Simulation!$J$157</f>
        <v/>
      </c>
      <c r="EX31" s="180">
        <f>Simulation!$J$158</f>
        <v/>
      </c>
      <c r="EY31" s="180">
        <f>Simulation!$J$159</f>
        <v/>
      </c>
      <c r="EZ31" s="180">
        <f>Simulation!$J$160</f>
        <v/>
      </c>
      <c r="FA31" s="180">
        <f>Simulation!$J$161</f>
        <v/>
      </c>
      <c r="FB31" s="180">
        <f>Simulation!$J$162</f>
        <v/>
      </c>
      <c r="FC31" s="180">
        <f>Simulation!$J$163</f>
        <v/>
      </c>
      <c r="FD31" s="180">
        <f>Simulation!$J$164</f>
        <v/>
      </c>
      <c r="FE31" s="180">
        <f>Simulation!$J$165</f>
        <v/>
      </c>
      <c r="FF31" s="180">
        <f>Simulation!$J$166</f>
        <v/>
      </c>
      <c r="FG31" s="180">
        <f>Simulation!$J$167</f>
        <v/>
      </c>
      <c r="FH31" s="180">
        <f>Simulation!$J$168</f>
        <v/>
      </c>
      <c r="FI31" s="180">
        <f>Simulation!$J$169</f>
        <v/>
      </c>
      <c r="FJ31" s="180">
        <f>Simulation!$J$170</f>
        <v/>
      </c>
      <c r="FK31" s="180">
        <f>Simulation!$J$171</f>
        <v/>
      </c>
      <c r="FL31" s="180">
        <f>Simulation!$J$172</f>
        <v/>
      </c>
      <c r="FM31" s="180">
        <f>Simulation!$J$173</f>
        <v/>
      </c>
      <c r="FN31" s="180">
        <f>Simulation!$J$174</f>
        <v/>
      </c>
      <c r="FO31" s="180">
        <f>Simulation!$J$175</f>
        <v/>
      </c>
      <c r="FP31" s="180">
        <f>Simulation!$J$176</f>
        <v/>
      </c>
      <c r="FQ31" s="180">
        <f>Simulation!$J$177</f>
        <v/>
      </c>
      <c r="FR31" s="180">
        <f>Simulation!$J$178</f>
        <v/>
      </c>
      <c r="FS31" s="180">
        <f>Simulation!$J$179</f>
        <v/>
      </c>
      <c r="FT31" s="180">
        <f>Simulation!$J$180</f>
        <v/>
      </c>
      <c r="FU31" s="180">
        <f>Simulation!$J$181</f>
        <v/>
      </c>
      <c r="FV31" s="180">
        <f>Simulation!$J$182</f>
        <v/>
      </c>
      <c r="FW31" s="180">
        <f>Simulation!$J$183</f>
        <v/>
      </c>
      <c r="FX31" s="180">
        <f>Simulation!$J$184</f>
        <v/>
      </c>
      <c r="FY31" s="180">
        <f>Simulation!$J$185</f>
        <v/>
      </c>
      <c r="FZ31" s="180">
        <f>Simulation!$J$186</f>
        <v/>
      </c>
      <c r="GA31" s="180">
        <f>Simulation!$J$187</f>
        <v/>
      </c>
      <c r="GB31" s="180">
        <f>Simulation!$J$188</f>
        <v/>
      </c>
      <c r="GC31" s="180">
        <f>Simulation!$J$189</f>
        <v/>
      </c>
      <c r="GD31" s="180">
        <f>Simulation!$J$190</f>
        <v/>
      </c>
      <c r="GE31" s="180">
        <f>Simulation!$J$191</f>
        <v/>
      </c>
      <c r="GF31" s="180">
        <f>Simulation!$J$192</f>
        <v/>
      </c>
      <c r="GG31" s="180">
        <f>Simulation!$J$193</f>
        <v/>
      </c>
      <c r="GH31" s="180">
        <f>Simulation!$J$194</f>
        <v/>
      </c>
      <c r="GI31" s="180">
        <f>Simulation!$J$195</f>
        <v/>
      </c>
      <c r="GJ31" s="180">
        <f>Simulation!$J$196</f>
        <v/>
      </c>
      <c r="GK31" s="180">
        <f>Simulation!$J$197</f>
        <v/>
      </c>
      <c r="GL31" s="180">
        <f>Simulation!$J$198</f>
        <v/>
      </c>
      <c r="GM31" s="180">
        <f>Simulation!$J$199</f>
        <v/>
      </c>
      <c r="GN31" s="180">
        <f>Simulation!$J$200</f>
        <v/>
      </c>
      <c r="GO31" s="180">
        <f>Simulation!$J$201</f>
        <v/>
      </c>
      <c r="GP31" s="180">
        <f>Simulation!$J$202</f>
        <v/>
      </c>
      <c r="GQ31" s="180">
        <f>Simulation!$J$203</f>
        <v/>
      </c>
      <c r="GR31" s="180">
        <f>Simulation!$J$204</f>
        <v/>
      </c>
      <c r="GS31" s="180">
        <f>Simulation!$J$205</f>
        <v/>
      </c>
      <c r="GT31" s="180">
        <f>Simulation!$J$206</f>
        <v/>
      </c>
      <c r="GU31" s="180">
        <f>Simulation!$J$207</f>
        <v/>
      </c>
      <c r="GV31" s="180">
        <f>Simulation!$J$208</f>
        <v/>
      </c>
      <c r="GW31" s="180">
        <f>Simulation!$J$209</f>
        <v/>
      </c>
      <c r="GX31" s="180">
        <f>Simulation!$J$210</f>
        <v/>
      </c>
      <c r="GY31" s="180">
        <f>Simulation!$J$211</f>
        <v/>
      </c>
      <c r="GZ31" s="180">
        <f>Simulation!$J$212</f>
        <v/>
      </c>
      <c r="HA31" s="180">
        <f>Simulation!$J$213</f>
        <v/>
      </c>
      <c r="HB31" s="180">
        <f>Simulation!$J$214</f>
        <v/>
      </c>
      <c r="HC31" s="180">
        <f>Simulation!$J$215</f>
        <v/>
      </c>
      <c r="HD31" s="180">
        <f>Simulation!$J$216</f>
        <v/>
      </c>
      <c r="HE31" s="180">
        <f>Simulation!$J$217</f>
        <v/>
      </c>
      <c r="HF31" s="180">
        <f>Simulation!$J$218</f>
        <v/>
      </c>
      <c r="HG31" s="180">
        <f>Simulation!$J$219</f>
        <v/>
      </c>
      <c r="HH31" s="180">
        <f>Simulation!$J$220</f>
        <v/>
      </c>
      <c r="HI31" s="180">
        <f>Simulation!$J$221</f>
        <v/>
      </c>
      <c r="HJ31" s="180">
        <f>Simulation!$J$222</f>
        <v/>
      </c>
      <c r="HK31" s="180">
        <f>Simulation!$J$223</f>
        <v/>
      </c>
      <c r="HL31" s="180">
        <f>Simulation!$J$224</f>
        <v/>
      </c>
      <c r="HM31" s="180">
        <f>Simulation!$J$225</f>
        <v/>
      </c>
      <c r="HN31" s="180">
        <f>Simulation!$J$226</f>
        <v/>
      </c>
      <c r="HO31" s="180">
        <f>Simulation!$J$227</f>
        <v/>
      </c>
      <c r="HP31" s="180">
        <f>Simulation!$J$228</f>
        <v/>
      </c>
      <c r="HQ31" s="180">
        <f>Simulation!$J$229</f>
        <v/>
      </c>
      <c r="HR31" s="180">
        <f>Simulation!$J$230</f>
        <v/>
      </c>
      <c r="HS31" s="180">
        <f>Simulation!$J$231</f>
        <v/>
      </c>
      <c r="HT31" s="180">
        <f>Simulation!$J$232</f>
        <v/>
      </c>
      <c r="HU31" s="180">
        <f>Simulation!$J$233</f>
        <v/>
      </c>
      <c r="HV31" s="180">
        <f>Simulation!$J$234</f>
        <v/>
      </c>
      <c r="HW31" s="180">
        <f>Simulation!$J$235</f>
        <v/>
      </c>
      <c r="HX31" s="180">
        <f>Simulation!$J$236</f>
        <v/>
      </c>
      <c r="HY31" s="180">
        <f>Simulation!$J$237</f>
        <v/>
      </c>
      <c r="HZ31" s="180">
        <f>Simulation!$J$238</f>
        <v/>
      </c>
      <c r="IA31" s="180">
        <f>Simulation!$J$239</f>
        <v/>
      </c>
      <c r="IB31" s="180">
        <f>Simulation!$J$240</f>
        <v/>
      </c>
      <c r="IC31" s="180">
        <f>Simulation!$J$241</f>
        <v/>
      </c>
      <c r="ID31" s="180">
        <f>Simulation!$J$242</f>
        <v/>
      </c>
      <c r="IE31" s="180">
        <f>Simulation!$J$243</f>
        <v/>
      </c>
      <c r="IF31" s="180">
        <f>Simulation!$J$244</f>
        <v/>
      </c>
      <c r="IG31" s="180">
        <f>Simulation!$J$245</f>
        <v/>
      </c>
      <c r="IH31" s="180">
        <f>Simulation!$J$246</f>
        <v/>
      </c>
      <c r="II31" s="180">
        <f>Simulation!$J$247</f>
        <v/>
      </c>
      <c r="IJ31" s="180">
        <f>Simulation!$J$248</f>
        <v/>
      </c>
      <c r="IK31" s="180">
        <f>Simulation!$J$249</f>
        <v/>
      </c>
      <c r="IL31" s="180">
        <f>Simulation!$J$250</f>
        <v/>
      </c>
      <c r="IM31" s="180">
        <f>Simulation!$J$251</f>
        <v/>
      </c>
      <c r="IN31" s="180">
        <f>Simulation!$J$252</f>
        <v/>
      </c>
      <c r="IO31" s="180">
        <f>Simulation!$J$253</f>
        <v/>
      </c>
      <c r="IP31" s="180">
        <f>Simulation!$J$254</f>
        <v/>
      </c>
      <c r="IQ31" s="180">
        <f>Simulation!$J$255</f>
        <v/>
      </c>
      <c r="IR31" s="180">
        <f>Simulation!$J$256</f>
        <v/>
      </c>
      <c r="IS31" s="180">
        <f>Simulation!$J$257</f>
        <v/>
      </c>
      <c r="IT31" s="180">
        <f>Simulation!$J$258</f>
        <v/>
      </c>
      <c r="IU31" s="180">
        <f>Simulation!$J$259</f>
        <v/>
      </c>
      <c r="IV31" s="180">
        <f>Simulation!$J$260</f>
        <v/>
      </c>
      <c r="IW31" s="180">
        <f>Simulation!$J$261</f>
        <v/>
      </c>
      <c r="IX31" s="180">
        <f>Simulation!$J$262</f>
        <v/>
      </c>
      <c r="IY31" s="180">
        <f>Simulation!$J$263</f>
        <v/>
      </c>
      <c r="IZ31" s="180">
        <f>Simulation!$J$264</f>
        <v/>
      </c>
      <c r="JA31" s="180">
        <f>Simulation!$J$265</f>
        <v/>
      </c>
      <c r="JB31" s="180">
        <f>Simulation!$J$266</f>
        <v/>
      </c>
      <c r="JC31" s="180">
        <f>Simulation!$J$267</f>
        <v/>
      </c>
      <c r="JD31" s="180">
        <f>Simulation!$J$268</f>
        <v/>
      </c>
      <c r="JE31" s="180">
        <f>Simulation!$J$269</f>
        <v/>
      </c>
      <c r="JF31" s="180">
        <f>Simulation!$J$270</f>
        <v/>
      </c>
      <c r="JG31" s="180">
        <f>Simulation!$J$271</f>
        <v/>
      </c>
      <c r="JH31" s="180">
        <f>Simulation!$J$272</f>
        <v/>
      </c>
      <c r="JI31" s="180">
        <f>Simulation!$J$273</f>
        <v/>
      </c>
      <c r="JJ31" s="180">
        <f>Simulation!$J$274</f>
        <v/>
      </c>
      <c r="JK31" s="180">
        <f>Simulation!$J$275</f>
        <v/>
      </c>
      <c r="JL31" s="180">
        <f>Simulation!$J$276</f>
        <v/>
      </c>
      <c r="JM31" s="180">
        <f>Simulation!$J$277</f>
        <v/>
      </c>
      <c r="JN31" s="180">
        <f>Simulation!$J$278</f>
        <v/>
      </c>
      <c r="JO31" s="180">
        <f>Simulation!$J$279</f>
        <v/>
      </c>
      <c r="JP31" s="180">
        <f>Simulation!$J$280</f>
        <v/>
      </c>
      <c r="JQ31" s="180">
        <f>Simulation!$J$281</f>
        <v/>
      </c>
      <c r="JR31" s="180">
        <f>Simulation!$J$282</f>
        <v/>
      </c>
      <c r="JS31" s="180">
        <f>Simulation!$J$283</f>
        <v/>
      </c>
      <c r="JT31" s="180">
        <f>Simulation!$J$284</f>
        <v/>
      </c>
      <c r="JU31" s="180">
        <f>Simulation!$J$285</f>
        <v/>
      </c>
      <c r="JV31" s="180">
        <f>Simulation!$J$286</f>
        <v/>
      </c>
      <c r="JW31" s="180">
        <f>Simulation!$J$287</f>
        <v/>
      </c>
      <c r="JX31" s="180">
        <f>Simulation!$J$288</f>
        <v/>
      </c>
      <c r="JY31" s="180">
        <f>Simulation!$J$289</f>
        <v/>
      </c>
      <c r="JZ31" s="180">
        <f>Simulation!$J$290</f>
        <v/>
      </c>
      <c r="KA31" s="180">
        <f>Simulation!$J$291</f>
        <v/>
      </c>
      <c r="KB31" s="180">
        <f>Simulation!$J$292</f>
        <v/>
      </c>
      <c r="KC31" s="180">
        <f>Simulation!$J$293</f>
        <v/>
      </c>
      <c r="KD31" s="180">
        <f>Simulation!$J$294</f>
        <v/>
      </c>
      <c r="KE31" s="180">
        <f>Simulation!$J$295</f>
        <v/>
      </c>
      <c r="KF31" s="180">
        <f>Simulation!$J$296</f>
        <v/>
      </c>
      <c r="KG31" s="180">
        <f>Simulation!$J$297</f>
        <v/>
      </c>
      <c r="KH31" s="180">
        <f>Simulation!$J$298</f>
        <v/>
      </c>
      <c r="KI31" s="180">
        <f>Simulation!$J$299</f>
        <v/>
      </c>
      <c r="KJ31" s="180">
        <f>Simulation!$J$300</f>
        <v/>
      </c>
      <c r="KK31" s="180">
        <f>Simulation!$J$301</f>
        <v/>
      </c>
      <c r="KL31" s="180">
        <f>Simulation!$J$302</f>
        <v/>
      </c>
      <c r="KM31" s="180">
        <f>Simulation!$J$303</f>
        <v/>
      </c>
      <c r="KN31" s="180">
        <f>Simulation!$J$304</f>
        <v/>
      </c>
      <c r="KO31" s="180">
        <f>Simulation!$J$305</f>
        <v/>
      </c>
      <c r="KP31" s="180">
        <f>Simulation!$J$306</f>
        <v/>
      </c>
    </row>
    <row r="32" ht="16" customHeight="1" s="133">
      <c r="A32" s="188" t="inlineStr">
        <is>
          <t>Revenue (EURk)</t>
        </is>
      </c>
      <c r="B32" s="189" t="inlineStr">
        <is>
          <t>EURk</t>
        </is>
      </c>
      <c r="C32" s="190">
        <f>C30*C31/1000</f>
        <v/>
      </c>
      <c r="D32" s="190">
        <f>D30*D31/1000</f>
        <v/>
      </c>
      <c r="E32" s="190">
        <f>E30*E31/1000</f>
        <v/>
      </c>
      <c r="F32" s="190">
        <f>F30*F31/1000</f>
        <v/>
      </c>
      <c r="G32" s="190">
        <f>G30*G31/1000</f>
        <v/>
      </c>
      <c r="H32" s="190">
        <f>H30*H31/1000</f>
        <v/>
      </c>
      <c r="I32" s="190">
        <f>I30*I31/1000</f>
        <v/>
      </c>
      <c r="J32" s="190">
        <f>J30*J31/1000</f>
        <v/>
      </c>
      <c r="K32" s="190">
        <f>K30*K31/1000</f>
        <v/>
      </c>
      <c r="L32" s="190">
        <f>L30*L31/1000</f>
        <v/>
      </c>
      <c r="M32" s="190">
        <f>M30*M31/1000</f>
        <v/>
      </c>
      <c r="N32" s="190">
        <f>N30*N31/1000</f>
        <v/>
      </c>
      <c r="O32" s="190">
        <f>O30*O31/1000</f>
        <v/>
      </c>
      <c r="P32" s="190">
        <f>P30*P31/1000</f>
        <v/>
      </c>
      <c r="Q32" s="190">
        <f>Q30*Q31/1000</f>
        <v/>
      </c>
      <c r="R32" s="190">
        <f>R30*R31/1000</f>
        <v/>
      </c>
      <c r="S32" s="190">
        <f>S30*S31/1000</f>
        <v/>
      </c>
      <c r="T32" s="190">
        <f>T30*T31/1000</f>
        <v/>
      </c>
      <c r="U32" s="190">
        <f>U30*U31/1000</f>
        <v/>
      </c>
      <c r="V32" s="190">
        <f>V30*V31/1000</f>
        <v/>
      </c>
      <c r="W32" s="190">
        <f>W30*W31/1000</f>
        <v/>
      </c>
      <c r="X32" s="190">
        <f>X30*X31/1000</f>
        <v/>
      </c>
      <c r="Y32" s="190">
        <f>Y30*Y31/1000</f>
        <v/>
      </c>
      <c r="Z32" s="190">
        <f>Z30*Z31/1000</f>
        <v/>
      </c>
      <c r="AA32" s="190">
        <f>AA30*AA31/1000</f>
        <v/>
      </c>
      <c r="AB32" s="190">
        <f>AB30*AB31/1000</f>
        <v/>
      </c>
      <c r="AC32" s="190">
        <f>AC30*AC31/1000</f>
        <v/>
      </c>
      <c r="AD32" s="190">
        <f>AD30*AD31/1000</f>
        <v/>
      </c>
      <c r="AE32" s="190">
        <f>AE30*AE31/1000</f>
        <v/>
      </c>
      <c r="AF32" s="190">
        <f>AF30*AF31/1000</f>
        <v/>
      </c>
      <c r="AG32" s="190">
        <f>AG30*AG31/1000</f>
        <v/>
      </c>
      <c r="AH32" s="190">
        <f>AH30*AH31/1000</f>
        <v/>
      </c>
      <c r="AI32" s="190">
        <f>AI30*AI31/1000</f>
        <v/>
      </c>
      <c r="AJ32" s="190">
        <f>AJ30*AJ31/1000</f>
        <v/>
      </c>
      <c r="AK32" s="190">
        <f>AK30*AK31/1000</f>
        <v/>
      </c>
      <c r="AL32" s="190">
        <f>AL30*AL31/1000</f>
        <v/>
      </c>
      <c r="AM32" s="190">
        <f>AM30*AM31/1000</f>
        <v/>
      </c>
      <c r="AN32" s="190">
        <f>AN30*AN31/1000</f>
        <v/>
      </c>
      <c r="AO32" s="190">
        <f>AO30*AO31/1000</f>
        <v/>
      </c>
      <c r="AP32" s="190">
        <f>AP30*AP31/1000</f>
        <v/>
      </c>
      <c r="AQ32" s="190">
        <f>AQ30*AQ31/1000</f>
        <v/>
      </c>
      <c r="AR32" s="190">
        <f>AR30*AR31/1000</f>
        <v/>
      </c>
      <c r="AS32" s="190">
        <f>AS30*AS31/1000</f>
        <v/>
      </c>
      <c r="AT32" s="190">
        <f>AT30*AT31/1000</f>
        <v/>
      </c>
      <c r="AU32" s="190">
        <f>AU30*AU31/1000</f>
        <v/>
      </c>
      <c r="AV32" s="190">
        <f>AV30*AV31/1000</f>
        <v/>
      </c>
      <c r="AW32" s="190">
        <f>AW30*AW31/1000</f>
        <v/>
      </c>
      <c r="AX32" s="190">
        <f>AX30*AX31/1000</f>
        <v/>
      </c>
      <c r="AY32" s="190">
        <f>AY30*AY31/1000</f>
        <v/>
      </c>
      <c r="AZ32" s="190">
        <f>AZ30*AZ31/1000</f>
        <v/>
      </c>
      <c r="BA32" s="190">
        <f>BA30*BA31/1000</f>
        <v/>
      </c>
      <c r="BB32" s="190">
        <f>BB30*BB31/1000</f>
        <v/>
      </c>
      <c r="BC32" s="190">
        <f>BC30*BC31/1000</f>
        <v/>
      </c>
      <c r="BD32" s="190">
        <f>BD30*BD31/1000</f>
        <v/>
      </c>
      <c r="BE32" s="190">
        <f>BE30*BE31/1000</f>
        <v/>
      </c>
      <c r="BF32" s="190">
        <f>BF30*BF31/1000</f>
        <v/>
      </c>
      <c r="BG32" s="190">
        <f>BG30*BG31/1000</f>
        <v/>
      </c>
      <c r="BH32" s="190">
        <f>BH30*BH31/1000</f>
        <v/>
      </c>
      <c r="BI32" s="190">
        <f>BI30*BI31/1000</f>
        <v/>
      </c>
      <c r="BJ32" s="190">
        <f>BJ30*BJ31/1000</f>
        <v/>
      </c>
      <c r="BK32" s="190">
        <f>BK30*BK31/1000</f>
        <v/>
      </c>
      <c r="BL32" s="190">
        <f>BL30*BL31/1000</f>
        <v/>
      </c>
      <c r="BM32" s="190">
        <f>BM30*BM31/1000</f>
        <v/>
      </c>
      <c r="BN32" s="190">
        <f>BN30*BN31/1000</f>
        <v/>
      </c>
      <c r="BO32" s="190">
        <f>BO30*BO31/1000</f>
        <v/>
      </c>
      <c r="BP32" s="190">
        <f>BP30*BP31/1000</f>
        <v/>
      </c>
      <c r="BQ32" s="190">
        <f>BQ30*BQ31/1000</f>
        <v/>
      </c>
      <c r="BR32" s="190">
        <f>BR30*BR31/1000</f>
        <v/>
      </c>
      <c r="BS32" s="190">
        <f>BS30*BS31/1000</f>
        <v/>
      </c>
      <c r="BT32" s="190">
        <f>BT30*BT31/1000</f>
        <v/>
      </c>
      <c r="BU32" s="190">
        <f>BU30*BU31/1000</f>
        <v/>
      </c>
      <c r="BV32" s="190">
        <f>BV30*BV31/1000</f>
        <v/>
      </c>
      <c r="BW32" s="190">
        <f>BW30*BW31/1000</f>
        <v/>
      </c>
      <c r="BX32" s="190">
        <f>BX30*BX31/1000</f>
        <v/>
      </c>
      <c r="BY32" s="190">
        <f>BY30*BY31/1000</f>
        <v/>
      </c>
      <c r="BZ32" s="190">
        <f>BZ30*BZ31/1000</f>
        <v/>
      </c>
      <c r="CA32" s="190">
        <f>CA30*CA31/1000</f>
        <v/>
      </c>
      <c r="CB32" s="190">
        <f>CB30*CB31/1000</f>
        <v/>
      </c>
      <c r="CC32" s="190">
        <f>CC30*CC31/1000</f>
        <v/>
      </c>
      <c r="CD32" s="190">
        <f>CD30*CD31/1000</f>
        <v/>
      </c>
      <c r="CE32" s="190">
        <f>CE30*CE31/1000</f>
        <v/>
      </c>
      <c r="CF32" s="190">
        <f>CF30*CF31/1000</f>
        <v/>
      </c>
      <c r="CG32" s="190">
        <f>CG30*CG31/1000</f>
        <v/>
      </c>
      <c r="CH32" s="190">
        <f>CH30*CH31/1000</f>
        <v/>
      </c>
      <c r="CI32" s="190">
        <f>CI30*CI31/1000</f>
        <v/>
      </c>
      <c r="CJ32" s="190">
        <f>CJ30*CJ31/1000</f>
        <v/>
      </c>
      <c r="CK32" s="190">
        <f>CK30*CK31/1000</f>
        <v/>
      </c>
      <c r="CL32" s="190">
        <f>CL30*CL31/1000</f>
        <v/>
      </c>
      <c r="CM32" s="190">
        <f>CM30*CM31/1000</f>
        <v/>
      </c>
      <c r="CN32" s="190">
        <f>CN30*CN31/1000</f>
        <v/>
      </c>
      <c r="CO32" s="190">
        <f>CO30*CO31/1000</f>
        <v/>
      </c>
      <c r="CP32" s="190">
        <f>CP30*CP31/1000</f>
        <v/>
      </c>
      <c r="CQ32" s="190">
        <f>CQ30*CQ31/1000</f>
        <v/>
      </c>
      <c r="CR32" s="190">
        <f>CR30*CR31/1000</f>
        <v/>
      </c>
      <c r="CS32" s="190">
        <f>CS30*CS31/1000</f>
        <v/>
      </c>
      <c r="CT32" s="190">
        <f>CT30*CT31/1000</f>
        <v/>
      </c>
      <c r="CU32" s="190">
        <f>CU30*CU31/1000</f>
        <v/>
      </c>
      <c r="CV32" s="190">
        <f>CV30*CV31/1000</f>
        <v/>
      </c>
      <c r="CW32" s="190">
        <f>CW30*CW31/1000</f>
        <v/>
      </c>
      <c r="CX32" s="190">
        <f>CX30*CX31/1000</f>
        <v/>
      </c>
      <c r="CY32" s="190">
        <f>CY30*CY31/1000</f>
        <v/>
      </c>
      <c r="CZ32" s="190">
        <f>CZ30*CZ31/1000</f>
        <v/>
      </c>
      <c r="DA32" s="190">
        <f>DA30*DA31/1000</f>
        <v/>
      </c>
      <c r="DB32" s="190">
        <f>DB30*DB31/1000</f>
        <v/>
      </c>
      <c r="DC32" s="190">
        <f>DC30*DC31/1000</f>
        <v/>
      </c>
      <c r="DD32" s="190">
        <f>DD30*DD31/1000</f>
        <v/>
      </c>
      <c r="DE32" s="190">
        <f>DE30*DE31/1000</f>
        <v/>
      </c>
      <c r="DF32" s="190">
        <f>DF30*DF31/1000</f>
        <v/>
      </c>
      <c r="DG32" s="190">
        <f>DG30*DG31/1000</f>
        <v/>
      </c>
      <c r="DH32" s="190">
        <f>DH30*DH31/1000</f>
        <v/>
      </c>
      <c r="DI32" s="190">
        <f>DI30*DI31/1000</f>
        <v/>
      </c>
      <c r="DJ32" s="190">
        <f>DJ30*DJ31/1000</f>
        <v/>
      </c>
      <c r="DK32" s="190">
        <f>DK30*DK31/1000</f>
        <v/>
      </c>
      <c r="DL32" s="190">
        <f>DL30*DL31/1000</f>
        <v/>
      </c>
      <c r="DM32" s="190">
        <f>DM30*DM31/1000</f>
        <v/>
      </c>
      <c r="DN32" s="190">
        <f>DN30*DN31/1000</f>
        <v/>
      </c>
      <c r="DO32" s="190">
        <f>DO30*DO31/1000</f>
        <v/>
      </c>
      <c r="DP32" s="190">
        <f>DP30*DP31/1000</f>
        <v/>
      </c>
      <c r="DQ32" s="190">
        <f>DQ30*DQ31/1000</f>
        <v/>
      </c>
      <c r="DR32" s="190">
        <f>DR30*DR31/1000</f>
        <v/>
      </c>
      <c r="DS32" s="190">
        <f>DS30*DS31/1000</f>
        <v/>
      </c>
      <c r="DT32" s="190">
        <f>DT30*DT31/1000</f>
        <v/>
      </c>
      <c r="DU32" s="190">
        <f>DU30*DU31/1000</f>
        <v/>
      </c>
      <c r="DV32" s="190">
        <f>DV30*DV31/1000</f>
        <v/>
      </c>
      <c r="DW32" s="190">
        <f>DW30*DW31/1000</f>
        <v/>
      </c>
      <c r="DX32" s="190">
        <f>DX30*DX31/1000</f>
        <v/>
      </c>
      <c r="DY32" s="190">
        <f>DY30*DY31/1000</f>
        <v/>
      </c>
      <c r="DZ32" s="190">
        <f>DZ30*DZ31/1000</f>
        <v/>
      </c>
      <c r="EA32" s="190">
        <f>EA30*EA31/1000</f>
        <v/>
      </c>
      <c r="EB32" s="190">
        <f>EB30*EB31/1000</f>
        <v/>
      </c>
      <c r="EC32" s="190">
        <f>EC30*EC31/1000</f>
        <v/>
      </c>
      <c r="ED32" s="190">
        <f>ED30*ED31/1000</f>
        <v/>
      </c>
      <c r="EE32" s="190">
        <f>EE30*EE31/1000</f>
        <v/>
      </c>
      <c r="EF32" s="190">
        <f>EF30*EF31/1000</f>
        <v/>
      </c>
      <c r="EG32" s="190">
        <f>EG30*EG31/1000</f>
        <v/>
      </c>
      <c r="EH32" s="190">
        <f>EH30*EH31/1000</f>
        <v/>
      </c>
      <c r="EI32" s="190">
        <f>EI30*EI31/1000</f>
        <v/>
      </c>
      <c r="EJ32" s="190">
        <f>EJ30*EJ31/1000</f>
        <v/>
      </c>
      <c r="EK32" s="190">
        <f>EK30*EK31/1000</f>
        <v/>
      </c>
      <c r="EL32" s="190">
        <f>EL30*EL31/1000</f>
        <v/>
      </c>
      <c r="EM32" s="190">
        <f>EM30*EM31/1000</f>
        <v/>
      </c>
      <c r="EN32" s="190">
        <f>EN30*EN31/1000</f>
        <v/>
      </c>
      <c r="EO32" s="190">
        <f>EO30*EO31/1000</f>
        <v/>
      </c>
      <c r="EP32" s="190">
        <f>EP30*EP31/1000</f>
        <v/>
      </c>
      <c r="EQ32" s="190">
        <f>EQ30*EQ31/1000</f>
        <v/>
      </c>
      <c r="ER32" s="190">
        <f>ER30*ER31/1000</f>
        <v/>
      </c>
      <c r="ES32" s="190">
        <f>ES30*ES31/1000</f>
        <v/>
      </c>
      <c r="ET32" s="190">
        <f>ET30*ET31/1000</f>
        <v/>
      </c>
      <c r="EU32" s="190">
        <f>EU30*EU31/1000</f>
        <v/>
      </c>
      <c r="EV32" s="190">
        <f>EV30*EV31/1000</f>
        <v/>
      </c>
      <c r="EW32" s="190">
        <f>EW30*EW31/1000</f>
        <v/>
      </c>
      <c r="EX32" s="190">
        <f>EX30*EX31/1000</f>
        <v/>
      </c>
      <c r="EY32" s="190">
        <f>EY30*EY31/1000</f>
        <v/>
      </c>
      <c r="EZ32" s="190">
        <f>EZ30*EZ31/1000</f>
        <v/>
      </c>
      <c r="FA32" s="190">
        <f>FA30*FA31/1000</f>
        <v/>
      </c>
      <c r="FB32" s="190">
        <f>FB30*FB31/1000</f>
        <v/>
      </c>
      <c r="FC32" s="190">
        <f>FC30*FC31/1000</f>
        <v/>
      </c>
      <c r="FD32" s="190">
        <f>FD30*FD31/1000</f>
        <v/>
      </c>
      <c r="FE32" s="190">
        <f>FE30*FE31/1000</f>
        <v/>
      </c>
      <c r="FF32" s="190">
        <f>FF30*FF31/1000</f>
        <v/>
      </c>
      <c r="FG32" s="190">
        <f>FG30*FG31/1000</f>
        <v/>
      </c>
      <c r="FH32" s="190">
        <f>FH30*FH31/1000</f>
        <v/>
      </c>
      <c r="FI32" s="190">
        <f>FI30*FI31/1000</f>
        <v/>
      </c>
      <c r="FJ32" s="190">
        <f>FJ30*FJ31/1000</f>
        <v/>
      </c>
      <c r="FK32" s="190">
        <f>FK30*FK31/1000</f>
        <v/>
      </c>
      <c r="FL32" s="190">
        <f>FL30*FL31/1000</f>
        <v/>
      </c>
      <c r="FM32" s="190">
        <f>FM30*FM31/1000</f>
        <v/>
      </c>
      <c r="FN32" s="190">
        <f>FN30*FN31/1000</f>
        <v/>
      </c>
      <c r="FO32" s="190">
        <f>FO30*FO31/1000</f>
        <v/>
      </c>
      <c r="FP32" s="190">
        <f>FP30*FP31/1000</f>
        <v/>
      </c>
      <c r="FQ32" s="190">
        <f>FQ30*FQ31/1000</f>
        <v/>
      </c>
      <c r="FR32" s="190">
        <f>FR30*FR31/1000</f>
        <v/>
      </c>
      <c r="FS32" s="190">
        <f>FS30*FS31/1000</f>
        <v/>
      </c>
      <c r="FT32" s="190">
        <f>FT30*FT31/1000</f>
        <v/>
      </c>
      <c r="FU32" s="190">
        <f>FU30*FU31/1000</f>
        <v/>
      </c>
      <c r="FV32" s="190">
        <f>FV30*FV31/1000</f>
        <v/>
      </c>
      <c r="FW32" s="190">
        <f>FW30*FW31/1000</f>
        <v/>
      </c>
      <c r="FX32" s="190">
        <f>FX30*FX31/1000</f>
        <v/>
      </c>
      <c r="FY32" s="190">
        <f>FY30*FY31/1000</f>
        <v/>
      </c>
      <c r="FZ32" s="190">
        <f>FZ30*FZ31/1000</f>
        <v/>
      </c>
      <c r="GA32" s="190">
        <f>GA30*GA31/1000</f>
        <v/>
      </c>
      <c r="GB32" s="190">
        <f>GB30*GB31/1000</f>
        <v/>
      </c>
      <c r="GC32" s="190">
        <f>GC30*GC31/1000</f>
        <v/>
      </c>
      <c r="GD32" s="190">
        <f>GD30*GD31/1000</f>
        <v/>
      </c>
      <c r="GE32" s="190">
        <f>GE30*GE31/1000</f>
        <v/>
      </c>
      <c r="GF32" s="190">
        <f>GF30*GF31/1000</f>
        <v/>
      </c>
      <c r="GG32" s="190">
        <f>GG30*GG31/1000</f>
        <v/>
      </c>
      <c r="GH32" s="190">
        <f>GH30*GH31/1000</f>
        <v/>
      </c>
      <c r="GI32" s="190">
        <f>GI30*GI31/1000</f>
        <v/>
      </c>
      <c r="GJ32" s="190">
        <f>GJ30*GJ31/1000</f>
        <v/>
      </c>
      <c r="GK32" s="190">
        <f>GK30*GK31/1000</f>
        <v/>
      </c>
      <c r="GL32" s="190">
        <f>GL30*GL31/1000</f>
        <v/>
      </c>
      <c r="GM32" s="190">
        <f>GM30*GM31/1000</f>
        <v/>
      </c>
      <c r="GN32" s="190">
        <f>GN30*GN31/1000</f>
        <v/>
      </c>
      <c r="GO32" s="190">
        <f>GO30*GO31/1000</f>
        <v/>
      </c>
      <c r="GP32" s="190">
        <f>GP30*GP31/1000</f>
        <v/>
      </c>
      <c r="GQ32" s="190">
        <f>GQ30*GQ31/1000</f>
        <v/>
      </c>
      <c r="GR32" s="190">
        <f>GR30*GR31/1000</f>
        <v/>
      </c>
      <c r="GS32" s="190">
        <f>GS30*GS31/1000</f>
        <v/>
      </c>
      <c r="GT32" s="190">
        <f>GT30*GT31/1000</f>
        <v/>
      </c>
      <c r="GU32" s="190">
        <f>GU30*GU31/1000</f>
        <v/>
      </c>
      <c r="GV32" s="190">
        <f>GV30*GV31/1000</f>
        <v/>
      </c>
      <c r="GW32" s="190">
        <f>GW30*GW31/1000</f>
        <v/>
      </c>
      <c r="GX32" s="190">
        <f>GX30*GX31/1000</f>
        <v/>
      </c>
      <c r="GY32" s="190">
        <f>GY30*GY31/1000</f>
        <v/>
      </c>
      <c r="GZ32" s="190">
        <f>GZ30*GZ31/1000</f>
        <v/>
      </c>
      <c r="HA32" s="190">
        <f>HA30*HA31/1000</f>
        <v/>
      </c>
      <c r="HB32" s="190">
        <f>HB30*HB31/1000</f>
        <v/>
      </c>
      <c r="HC32" s="190">
        <f>HC30*HC31/1000</f>
        <v/>
      </c>
      <c r="HD32" s="190">
        <f>HD30*HD31/1000</f>
        <v/>
      </c>
      <c r="HE32" s="190">
        <f>HE30*HE31/1000</f>
        <v/>
      </c>
      <c r="HF32" s="190">
        <f>HF30*HF31/1000</f>
        <v/>
      </c>
      <c r="HG32" s="190">
        <f>HG30*HG31/1000</f>
        <v/>
      </c>
      <c r="HH32" s="190">
        <f>HH30*HH31/1000</f>
        <v/>
      </c>
      <c r="HI32" s="190">
        <f>HI30*HI31/1000</f>
        <v/>
      </c>
      <c r="HJ32" s="190">
        <f>HJ30*HJ31/1000</f>
        <v/>
      </c>
      <c r="HK32" s="190">
        <f>HK30*HK31/1000</f>
        <v/>
      </c>
      <c r="HL32" s="190">
        <f>HL30*HL31/1000</f>
        <v/>
      </c>
      <c r="HM32" s="190">
        <f>HM30*HM31/1000</f>
        <v/>
      </c>
      <c r="HN32" s="190">
        <f>HN30*HN31/1000</f>
        <v/>
      </c>
      <c r="HO32" s="190">
        <f>HO30*HO31/1000</f>
        <v/>
      </c>
      <c r="HP32" s="190">
        <f>HP30*HP31/1000</f>
        <v/>
      </c>
      <c r="HQ32" s="190">
        <f>HQ30*HQ31/1000</f>
        <v/>
      </c>
      <c r="HR32" s="190">
        <f>HR30*HR31/1000</f>
        <v/>
      </c>
      <c r="HS32" s="190">
        <f>HS30*HS31/1000</f>
        <v/>
      </c>
      <c r="HT32" s="190">
        <f>HT30*HT31/1000</f>
        <v/>
      </c>
      <c r="HU32" s="190">
        <f>HU30*HU31/1000</f>
        <v/>
      </c>
      <c r="HV32" s="190">
        <f>HV30*HV31/1000</f>
        <v/>
      </c>
      <c r="HW32" s="190">
        <f>HW30*HW31/1000</f>
        <v/>
      </c>
      <c r="HX32" s="190">
        <f>HX30*HX31/1000</f>
        <v/>
      </c>
      <c r="HY32" s="190">
        <f>HY30*HY31/1000</f>
        <v/>
      </c>
      <c r="HZ32" s="190">
        <f>HZ30*HZ31/1000</f>
        <v/>
      </c>
      <c r="IA32" s="190">
        <f>IA30*IA31/1000</f>
        <v/>
      </c>
      <c r="IB32" s="190">
        <f>IB30*IB31/1000</f>
        <v/>
      </c>
      <c r="IC32" s="190">
        <f>IC30*IC31/1000</f>
        <v/>
      </c>
      <c r="ID32" s="190">
        <f>ID30*ID31/1000</f>
        <v/>
      </c>
      <c r="IE32" s="190">
        <f>IE30*IE31/1000</f>
        <v/>
      </c>
      <c r="IF32" s="190">
        <f>IF30*IF31/1000</f>
        <v/>
      </c>
      <c r="IG32" s="190">
        <f>IG30*IG31/1000</f>
        <v/>
      </c>
      <c r="IH32" s="190">
        <f>IH30*IH31/1000</f>
        <v/>
      </c>
      <c r="II32" s="190">
        <f>II30*II31/1000</f>
        <v/>
      </c>
      <c r="IJ32" s="190">
        <f>IJ30*IJ31/1000</f>
        <v/>
      </c>
      <c r="IK32" s="190">
        <f>IK30*IK31/1000</f>
        <v/>
      </c>
      <c r="IL32" s="190">
        <f>IL30*IL31/1000</f>
        <v/>
      </c>
      <c r="IM32" s="190">
        <f>IM30*IM31/1000</f>
        <v/>
      </c>
      <c r="IN32" s="190">
        <f>IN30*IN31/1000</f>
        <v/>
      </c>
      <c r="IO32" s="190">
        <f>IO30*IO31/1000</f>
        <v/>
      </c>
      <c r="IP32" s="190">
        <f>IP30*IP31/1000</f>
        <v/>
      </c>
      <c r="IQ32" s="190">
        <f>IQ30*IQ31/1000</f>
        <v/>
      </c>
      <c r="IR32" s="190">
        <f>IR30*IR31/1000</f>
        <v/>
      </c>
      <c r="IS32" s="190">
        <f>IS30*IS31/1000</f>
        <v/>
      </c>
      <c r="IT32" s="190">
        <f>IT30*IT31/1000</f>
        <v/>
      </c>
      <c r="IU32" s="190">
        <f>IU30*IU31/1000</f>
        <v/>
      </c>
      <c r="IV32" s="190">
        <f>IV30*IV31/1000</f>
        <v/>
      </c>
      <c r="IW32" s="190">
        <f>IW30*IW31/1000</f>
        <v/>
      </c>
      <c r="IX32" s="190">
        <f>IX30*IX31/1000</f>
        <v/>
      </c>
      <c r="IY32" s="190">
        <f>IY30*IY31/1000</f>
        <v/>
      </c>
      <c r="IZ32" s="190">
        <f>IZ30*IZ31/1000</f>
        <v/>
      </c>
      <c r="JA32" s="190">
        <f>JA30*JA31/1000</f>
        <v/>
      </c>
      <c r="JB32" s="190">
        <f>JB30*JB31/1000</f>
        <v/>
      </c>
      <c r="JC32" s="190">
        <f>JC30*JC31/1000</f>
        <v/>
      </c>
      <c r="JD32" s="190">
        <f>JD30*JD31/1000</f>
        <v/>
      </c>
      <c r="JE32" s="190">
        <f>JE30*JE31/1000</f>
        <v/>
      </c>
      <c r="JF32" s="190">
        <f>JF30*JF31/1000</f>
        <v/>
      </c>
      <c r="JG32" s="190">
        <f>JG30*JG31/1000</f>
        <v/>
      </c>
      <c r="JH32" s="190">
        <f>JH30*JH31/1000</f>
        <v/>
      </c>
      <c r="JI32" s="190">
        <f>JI30*JI31/1000</f>
        <v/>
      </c>
      <c r="JJ32" s="190">
        <f>JJ30*JJ31/1000</f>
        <v/>
      </c>
      <c r="JK32" s="190">
        <f>JK30*JK31/1000</f>
        <v/>
      </c>
      <c r="JL32" s="190">
        <f>JL30*JL31/1000</f>
        <v/>
      </c>
      <c r="JM32" s="190">
        <f>JM30*JM31/1000</f>
        <v/>
      </c>
      <c r="JN32" s="190">
        <f>JN30*JN31/1000</f>
        <v/>
      </c>
      <c r="JO32" s="190">
        <f>JO30*JO31/1000</f>
        <v/>
      </c>
      <c r="JP32" s="190">
        <f>JP30*JP31/1000</f>
        <v/>
      </c>
      <c r="JQ32" s="190">
        <f>JQ30*JQ31/1000</f>
        <v/>
      </c>
      <c r="JR32" s="190">
        <f>JR30*JR31/1000</f>
        <v/>
      </c>
      <c r="JS32" s="190">
        <f>JS30*JS31/1000</f>
        <v/>
      </c>
      <c r="JT32" s="190">
        <f>JT30*JT31/1000</f>
        <v/>
      </c>
      <c r="JU32" s="190">
        <f>JU30*JU31/1000</f>
        <v/>
      </c>
      <c r="JV32" s="190">
        <f>JV30*JV31/1000</f>
        <v/>
      </c>
      <c r="JW32" s="190">
        <f>JW30*JW31/1000</f>
        <v/>
      </c>
      <c r="JX32" s="190">
        <f>JX30*JX31/1000</f>
        <v/>
      </c>
      <c r="JY32" s="190">
        <f>JY30*JY31/1000</f>
        <v/>
      </c>
      <c r="JZ32" s="190">
        <f>JZ30*JZ31/1000</f>
        <v/>
      </c>
      <c r="KA32" s="190">
        <f>KA30*KA31/1000</f>
        <v/>
      </c>
      <c r="KB32" s="190">
        <f>KB30*KB31/1000</f>
        <v/>
      </c>
      <c r="KC32" s="190">
        <f>KC30*KC31/1000</f>
        <v/>
      </c>
      <c r="KD32" s="190">
        <f>KD30*KD31/1000</f>
        <v/>
      </c>
      <c r="KE32" s="190">
        <f>KE30*KE31/1000</f>
        <v/>
      </c>
      <c r="KF32" s="190">
        <f>KF30*KF31/1000</f>
        <v/>
      </c>
      <c r="KG32" s="190">
        <f>KG30*KG31/1000</f>
        <v/>
      </c>
      <c r="KH32" s="190">
        <f>KH30*KH31/1000</f>
        <v/>
      </c>
      <c r="KI32" s="190">
        <f>KI30*KI31/1000</f>
        <v/>
      </c>
      <c r="KJ32" s="190">
        <f>KJ30*KJ31/1000</f>
        <v/>
      </c>
      <c r="KK32" s="190">
        <f>KK30*KK31/1000</f>
        <v/>
      </c>
      <c r="KL32" s="190">
        <f>KL30*KL31/1000</f>
        <v/>
      </c>
      <c r="KM32" s="190">
        <f>KM30*KM31/1000</f>
        <v/>
      </c>
      <c r="KN32" s="190">
        <f>KN30*KN31/1000</f>
        <v/>
      </c>
      <c r="KO32" s="190">
        <f>KO30*KO31/1000</f>
        <v/>
      </c>
      <c r="KP32" s="190">
        <f>KP30*KP31/1000</f>
        <v/>
      </c>
    </row>
    <row r="33" ht="16" customHeight="1" s="133">
      <c r="A33" s="177" t="inlineStr">
        <is>
          <t>OPEX (EURk)</t>
        </is>
      </c>
      <c r="B33" s="178" t="inlineStr">
        <is>
          <t>EURk</t>
        </is>
      </c>
      <c r="C33" s="179">
        <f>-Assumptions!$E$35*(1+Assumptions!$E$36)^0/12</f>
        <v/>
      </c>
      <c r="D33" s="179">
        <f>-Assumptions!$E$35*(1+Assumptions!$E$36)^0/12</f>
        <v/>
      </c>
      <c r="E33" s="179">
        <f>-Assumptions!$E$35*(1+Assumptions!$E$36)^0/12</f>
        <v/>
      </c>
      <c r="F33" s="179">
        <f>-Assumptions!$E$35*(1+Assumptions!$E$36)^0/12</f>
        <v/>
      </c>
      <c r="G33" s="179">
        <f>-Assumptions!$E$35*(1+Assumptions!$E$36)^0/12</f>
        <v/>
      </c>
      <c r="H33" s="179">
        <f>-Assumptions!$E$35*(1+Assumptions!$E$36)^0/12</f>
        <v/>
      </c>
      <c r="I33" s="179">
        <f>-Assumptions!$E$35*(1+Assumptions!$E$36)^0/12</f>
        <v/>
      </c>
      <c r="J33" s="179">
        <f>-Assumptions!$E$35*(1+Assumptions!$E$36)^0/12</f>
        <v/>
      </c>
      <c r="K33" s="179">
        <f>-Assumptions!$E$35*(1+Assumptions!$E$36)^0/12</f>
        <v/>
      </c>
      <c r="L33" s="179">
        <f>-Assumptions!$E$35*(1+Assumptions!$E$36)^0/12</f>
        <v/>
      </c>
      <c r="M33" s="179">
        <f>-Assumptions!$E$35*(1+Assumptions!$E$36)^0/12</f>
        <v/>
      </c>
      <c r="N33" s="179">
        <f>-Assumptions!$E$35*(1+Assumptions!$E$36)^0/12</f>
        <v/>
      </c>
      <c r="O33" s="179">
        <f>-Assumptions!$E$35*(1+Assumptions!$E$36)^1/12</f>
        <v/>
      </c>
      <c r="P33" s="179">
        <f>-Assumptions!$E$35*(1+Assumptions!$E$36)^1/12</f>
        <v/>
      </c>
      <c r="Q33" s="179">
        <f>-Assumptions!$E$35*(1+Assumptions!$E$36)^1/12</f>
        <v/>
      </c>
      <c r="R33" s="179">
        <f>-Assumptions!$E$35*(1+Assumptions!$E$36)^1/12</f>
        <v/>
      </c>
      <c r="S33" s="179">
        <f>-Assumptions!$E$35*(1+Assumptions!$E$36)^1/12</f>
        <v/>
      </c>
      <c r="T33" s="179">
        <f>-Assumptions!$E$35*(1+Assumptions!$E$36)^1/12</f>
        <v/>
      </c>
      <c r="U33" s="179">
        <f>-Assumptions!$E$35*(1+Assumptions!$E$36)^1/12</f>
        <v/>
      </c>
      <c r="V33" s="179">
        <f>-Assumptions!$E$35*(1+Assumptions!$E$36)^1/12</f>
        <v/>
      </c>
      <c r="W33" s="179">
        <f>-Assumptions!$E$35*(1+Assumptions!$E$36)^1/12</f>
        <v/>
      </c>
      <c r="X33" s="179">
        <f>-Assumptions!$E$35*(1+Assumptions!$E$36)^1/12</f>
        <v/>
      </c>
      <c r="Y33" s="179">
        <f>-Assumptions!$E$35*(1+Assumptions!$E$36)^1/12</f>
        <v/>
      </c>
      <c r="Z33" s="179">
        <f>-Assumptions!$E$35*(1+Assumptions!$E$36)^1/12</f>
        <v/>
      </c>
      <c r="AA33" s="179">
        <f>-Assumptions!$E$35*(1+Assumptions!$E$36)^2/12</f>
        <v/>
      </c>
      <c r="AB33" s="179">
        <f>-Assumptions!$E$35*(1+Assumptions!$E$36)^2/12</f>
        <v/>
      </c>
      <c r="AC33" s="179">
        <f>-Assumptions!$E$35*(1+Assumptions!$E$36)^2/12</f>
        <v/>
      </c>
      <c r="AD33" s="179">
        <f>-Assumptions!$E$35*(1+Assumptions!$E$36)^2/12</f>
        <v/>
      </c>
      <c r="AE33" s="179">
        <f>-Assumptions!$E$35*(1+Assumptions!$E$36)^2/12</f>
        <v/>
      </c>
      <c r="AF33" s="179">
        <f>-Assumptions!$E$35*(1+Assumptions!$E$36)^2/12</f>
        <v/>
      </c>
      <c r="AG33" s="179">
        <f>-Assumptions!$E$35*(1+Assumptions!$E$36)^2/12</f>
        <v/>
      </c>
      <c r="AH33" s="179">
        <f>-Assumptions!$E$35*(1+Assumptions!$E$36)^2/12</f>
        <v/>
      </c>
      <c r="AI33" s="179">
        <f>-Assumptions!$E$35*(1+Assumptions!$E$36)^2/12</f>
        <v/>
      </c>
      <c r="AJ33" s="179">
        <f>-Assumptions!$E$35*(1+Assumptions!$E$36)^2/12</f>
        <v/>
      </c>
      <c r="AK33" s="179">
        <f>-Assumptions!$E$35*(1+Assumptions!$E$36)^2/12</f>
        <v/>
      </c>
      <c r="AL33" s="179">
        <f>-Assumptions!$E$35*(1+Assumptions!$E$36)^2/12</f>
        <v/>
      </c>
      <c r="AM33" s="179">
        <f>-Assumptions!$E$35*(1+Assumptions!$E$36)^3/12</f>
        <v/>
      </c>
      <c r="AN33" s="179">
        <f>-Assumptions!$E$35*(1+Assumptions!$E$36)^3/12</f>
        <v/>
      </c>
      <c r="AO33" s="179">
        <f>-Assumptions!$E$35*(1+Assumptions!$E$36)^3/12</f>
        <v/>
      </c>
      <c r="AP33" s="179">
        <f>-Assumptions!$E$35*(1+Assumptions!$E$36)^3/12</f>
        <v/>
      </c>
      <c r="AQ33" s="179">
        <f>-Assumptions!$E$35*(1+Assumptions!$E$36)^3/12</f>
        <v/>
      </c>
      <c r="AR33" s="179">
        <f>-Assumptions!$E$35*(1+Assumptions!$E$36)^3/12</f>
        <v/>
      </c>
      <c r="AS33" s="179">
        <f>-Assumptions!$E$35*(1+Assumptions!$E$36)^3/12</f>
        <v/>
      </c>
      <c r="AT33" s="179">
        <f>-Assumptions!$E$35*(1+Assumptions!$E$36)^3/12</f>
        <v/>
      </c>
      <c r="AU33" s="179">
        <f>-Assumptions!$E$35*(1+Assumptions!$E$36)^3/12</f>
        <v/>
      </c>
      <c r="AV33" s="179">
        <f>-Assumptions!$E$35*(1+Assumptions!$E$36)^3/12</f>
        <v/>
      </c>
      <c r="AW33" s="179">
        <f>-Assumptions!$E$35*(1+Assumptions!$E$36)^3/12</f>
        <v/>
      </c>
      <c r="AX33" s="179">
        <f>-Assumptions!$E$35*(1+Assumptions!$E$36)^3/12</f>
        <v/>
      </c>
      <c r="AY33" s="179">
        <f>-Assumptions!$E$35*(1+Assumptions!$E$36)^4/12</f>
        <v/>
      </c>
      <c r="AZ33" s="179">
        <f>-Assumptions!$E$35*(1+Assumptions!$E$36)^4/12</f>
        <v/>
      </c>
      <c r="BA33" s="179">
        <f>-Assumptions!$E$35*(1+Assumptions!$E$36)^4/12</f>
        <v/>
      </c>
      <c r="BB33" s="179">
        <f>-Assumptions!$E$35*(1+Assumptions!$E$36)^4/12</f>
        <v/>
      </c>
      <c r="BC33" s="179">
        <f>-Assumptions!$E$35*(1+Assumptions!$E$36)^4/12</f>
        <v/>
      </c>
      <c r="BD33" s="179">
        <f>-Assumptions!$E$35*(1+Assumptions!$E$36)^4/12</f>
        <v/>
      </c>
      <c r="BE33" s="179">
        <f>-Assumptions!$E$35*(1+Assumptions!$E$36)^4/12</f>
        <v/>
      </c>
      <c r="BF33" s="179">
        <f>-Assumptions!$E$35*(1+Assumptions!$E$36)^4/12</f>
        <v/>
      </c>
      <c r="BG33" s="179">
        <f>-Assumptions!$E$35*(1+Assumptions!$E$36)^4/12</f>
        <v/>
      </c>
      <c r="BH33" s="179">
        <f>-Assumptions!$E$35*(1+Assumptions!$E$36)^4/12</f>
        <v/>
      </c>
      <c r="BI33" s="179">
        <f>-Assumptions!$E$35*(1+Assumptions!$E$36)^4/12</f>
        <v/>
      </c>
      <c r="BJ33" s="179">
        <f>-Assumptions!$E$35*(1+Assumptions!$E$36)^4/12</f>
        <v/>
      </c>
      <c r="BK33" s="179">
        <f>-Assumptions!$E$35*(1+Assumptions!$E$36)^5/12</f>
        <v/>
      </c>
      <c r="BL33" s="179">
        <f>-Assumptions!$E$35*(1+Assumptions!$E$36)^5/12</f>
        <v/>
      </c>
      <c r="BM33" s="179">
        <f>-Assumptions!$E$35*(1+Assumptions!$E$36)^5/12</f>
        <v/>
      </c>
      <c r="BN33" s="179">
        <f>-Assumptions!$E$35*(1+Assumptions!$E$36)^5/12</f>
        <v/>
      </c>
      <c r="BO33" s="179">
        <f>-Assumptions!$E$35*(1+Assumptions!$E$36)^5/12</f>
        <v/>
      </c>
      <c r="BP33" s="179">
        <f>-Assumptions!$E$35*(1+Assumptions!$E$36)^5/12</f>
        <v/>
      </c>
      <c r="BQ33" s="179">
        <f>-Assumptions!$E$35*(1+Assumptions!$E$36)^5/12</f>
        <v/>
      </c>
      <c r="BR33" s="179">
        <f>-Assumptions!$E$35*(1+Assumptions!$E$36)^5/12</f>
        <v/>
      </c>
      <c r="BS33" s="179">
        <f>-Assumptions!$E$35*(1+Assumptions!$E$36)^5/12</f>
        <v/>
      </c>
      <c r="BT33" s="179">
        <f>-Assumptions!$E$35*(1+Assumptions!$E$36)^5/12</f>
        <v/>
      </c>
      <c r="BU33" s="179">
        <f>-Assumptions!$E$35*(1+Assumptions!$E$36)^5/12</f>
        <v/>
      </c>
      <c r="BV33" s="179">
        <f>-Assumptions!$E$35*(1+Assumptions!$E$36)^5/12</f>
        <v/>
      </c>
      <c r="BW33" s="179">
        <f>-Assumptions!$E$35*(1+Assumptions!$E$36)^6/12</f>
        <v/>
      </c>
      <c r="BX33" s="179">
        <f>-Assumptions!$E$35*(1+Assumptions!$E$36)^6/12</f>
        <v/>
      </c>
      <c r="BY33" s="179">
        <f>-Assumptions!$E$35*(1+Assumptions!$E$36)^6/12</f>
        <v/>
      </c>
      <c r="BZ33" s="179">
        <f>-Assumptions!$E$35*(1+Assumptions!$E$36)^6/12</f>
        <v/>
      </c>
      <c r="CA33" s="179">
        <f>-Assumptions!$E$35*(1+Assumptions!$E$36)^6/12</f>
        <v/>
      </c>
      <c r="CB33" s="179">
        <f>-Assumptions!$E$35*(1+Assumptions!$E$36)^6/12</f>
        <v/>
      </c>
      <c r="CC33" s="179">
        <f>-Assumptions!$E$35*(1+Assumptions!$E$36)^6/12</f>
        <v/>
      </c>
      <c r="CD33" s="179">
        <f>-Assumptions!$E$35*(1+Assumptions!$E$36)^6/12</f>
        <v/>
      </c>
      <c r="CE33" s="179">
        <f>-Assumptions!$E$35*(1+Assumptions!$E$36)^6/12</f>
        <v/>
      </c>
      <c r="CF33" s="179">
        <f>-Assumptions!$E$35*(1+Assumptions!$E$36)^6/12</f>
        <v/>
      </c>
      <c r="CG33" s="179">
        <f>-Assumptions!$E$35*(1+Assumptions!$E$36)^6/12</f>
        <v/>
      </c>
      <c r="CH33" s="179">
        <f>-Assumptions!$E$35*(1+Assumptions!$E$36)^6/12</f>
        <v/>
      </c>
      <c r="CI33" s="179">
        <f>-Assumptions!$E$35*(1+Assumptions!$E$36)^7/12</f>
        <v/>
      </c>
      <c r="CJ33" s="179">
        <f>-Assumptions!$E$35*(1+Assumptions!$E$36)^7/12</f>
        <v/>
      </c>
      <c r="CK33" s="179">
        <f>-Assumptions!$E$35*(1+Assumptions!$E$36)^7/12</f>
        <v/>
      </c>
      <c r="CL33" s="179">
        <f>-Assumptions!$E$35*(1+Assumptions!$E$36)^7/12</f>
        <v/>
      </c>
      <c r="CM33" s="179">
        <f>-Assumptions!$E$35*(1+Assumptions!$E$36)^7/12</f>
        <v/>
      </c>
      <c r="CN33" s="179">
        <f>-Assumptions!$E$35*(1+Assumptions!$E$36)^7/12</f>
        <v/>
      </c>
      <c r="CO33" s="179">
        <f>-Assumptions!$E$35*(1+Assumptions!$E$36)^7/12</f>
        <v/>
      </c>
      <c r="CP33" s="179">
        <f>-Assumptions!$E$35*(1+Assumptions!$E$36)^7/12</f>
        <v/>
      </c>
      <c r="CQ33" s="179">
        <f>-Assumptions!$E$35*(1+Assumptions!$E$36)^7/12</f>
        <v/>
      </c>
      <c r="CR33" s="179">
        <f>-Assumptions!$E$35*(1+Assumptions!$E$36)^7/12</f>
        <v/>
      </c>
      <c r="CS33" s="179">
        <f>-Assumptions!$E$35*(1+Assumptions!$E$36)^7/12</f>
        <v/>
      </c>
      <c r="CT33" s="179">
        <f>-Assumptions!$E$35*(1+Assumptions!$E$36)^7/12</f>
        <v/>
      </c>
      <c r="CU33" s="179">
        <f>-Assumptions!$E$35*(1+Assumptions!$E$36)^8/12</f>
        <v/>
      </c>
      <c r="CV33" s="179">
        <f>-Assumptions!$E$35*(1+Assumptions!$E$36)^8/12</f>
        <v/>
      </c>
      <c r="CW33" s="179">
        <f>-Assumptions!$E$35*(1+Assumptions!$E$36)^8/12</f>
        <v/>
      </c>
      <c r="CX33" s="179">
        <f>-Assumptions!$E$35*(1+Assumptions!$E$36)^8/12</f>
        <v/>
      </c>
      <c r="CY33" s="179">
        <f>-Assumptions!$E$35*(1+Assumptions!$E$36)^8/12</f>
        <v/>
      </c>
      <c r="CZ33" s="179">
        <f>-Assumptions!$E$35*(1+Assumptions!$E$36)^8/12</f>
        <v/>
      </c>
      <c r="DA33" s="179">
        <f>-Assumptions!$E$35*(1+Assumptions!$E$36)^8/12</f>
        <v/>
      </c>
      <c r="DB33" s="179">
        <f>-Assumptions!$E$35*(1+Assumptions!$E$36)^8/12</f>
        <v/>
      </c>
      <c r="DC33" s="179">
        <f>-Assumptions!$E$35*(1+Assumptions!$E$36)^8/12</f>
        <v/>
      </c>
      <c r="DD33" s="179">
        <f>-Assumptions!$E$35*(1+Assumptions!$E$36)^8/12</f>
        <v/>
      </c>
      <c r="DE33" s="179">
        <f>-Assumptions!$E$35*(1+Assumptions!$E$36)^8/12</f>
        <v/>
      </c>
      <c r="DF33" s="179">
        <f>-Assumptions!$E$35*(1+Assumptions!$E$36)^8/12</f>
        <v/>
      </c>
      <c r="DG33" s="179">
        <f>-Assumptions!$E$35*(1+Assumptions!$E$36)^9/12</f>
        <v/>
      </c>
      <c r="DH33" s="179">
        <f>-Assumptions!$E$35*(1+Assumptions!$E$36)^9/12</f>
        <v/>
      </c>
      <c r="DI33" s="179">
        <f>-Assumptions!$E$35*(1+Assumptions!$E$36)^9/12</f>
        <v/>
      </c>
      <c r="DJ33" s="179">
        <f>-Assumptions!$E$35*(1+Assumptions!$E$36)^9/12</f>
        <v/>
      </c>
      <c r="DK33" s="179">
        <f>-Assumptions!$E$35*(1+Assumptions!$E$36)^9/12</f>
        <v/>
      </c>
      <c r="DL33" s="179">
        <f>-Assumptions!$E$35*(1+Assumptions!$E$36)^9/12</f>
        <v/>
      </c>
      <c r="DM33" s="179">
        <f>-Assumptions!$E$35*(1+Assumptions!$E$36)^9/12</f>
        <v/>
      </c>
      <c r="DN33" s="179">
        <f>-Assumptions!$E$35*(1+Assumptions!$E$36)^9/12</f>
        <v/>
      </c>
      <c r="DO33" s="179">
        <f>-Assumptions!$E$35*(1+Assumptions!$E$36)^9/12</f>
        <v/>
      </c>
      <c r="DP33" s="179">
        <f>-Assumptions!$E$35*(1+Assumptions!$E$36)^9/12</f>
        <v/>
      </c>
      <c r="DQ33" s="179">
        <f>-Assumptions!$E$35*(1+Assumptions!$E$36)^9/12</f>
        <v/>
      </c>
      <c r="DR33" s="179">
        <f>-Assumptions!$E$35*(1+Assumptions!$E$36)^9/12</f>
        <v/>
      </c>
      <c r="DS33" s="179">
        <f>-Assumptions!$E$35*(1+Assumptions!$E$36)^10/12</f>
        <v/>
      </c>
      <c r="DT33" s="179">
        <f>-Assumptions!$E$35*(1+Assumptions!$E$36)^10/12</f>
        <v/>
      </c>
      <c r="DU33" s="179">
        <f>-Assumptions!$E$35*(1+Assumptions!$E$36)^10/12</f>
        <v/>
      </c>
      <c r="DV33" s="179">
        <f>-Assumptions!$E$35*(1+Assumptions!$E$36)^10/12</f>
        <v/>
      </c>
      <c r="DW33" s="179">
        <f>-Assumptions!$E$35*(1+Assumptions!$E$36)^10/12</f>
        <v/>
      </c>
      <c r="DX33" s="179">
        <f>-Assumptions!$E$35*(1+Assumptions!$E$36)^10/12</f>
        <v/>
      </c>
      <c r="DY33" s="179">
        <f>-Assumptions!$E$35*(1+Assumptions!$E$36)^10/12</f>
        <v/>
      </c>
      <c r="DZ33" s="179">
        <f>-Assumptions!$E$35*(1+Assumptions!$E$36)^10/12</f>
        <v/>
      </c>
      <c r="EA33" s="179">
        <f>-Assumptions!$E$35*(1+Assumptions!$E$36)^10/12</f>
        <v/>
      </c>
      <c r="EB33" s="179">
        <f>-Assumptions!$E$35*(1+Assumptions!$E$36)^10/12</f>
        <v/>
      </c>
      <c r="EC33" s="179">
        <f>-Assumptions!$E$35*(1+Assumptions!$E$36)^10/12</f>
        <v/>
      </c>
      <c r="ED33" s="179">
        <f>-Assumptions!$E$35*(1+Assumptions!$E$36)^10/12</f>
        <v/>
      </c>
      <c r="EE33" s="179">
        <f>-Assumptions!$E$35*(1+Assumptions!$E$36)^11/12</f>
        <v/>
      </c>
      <c r="EF33" s="179">
        <f>-Assumptions!$E$35*(1+Assumptions!$E$36)^11/12</f>
        <v/>
      </c>
      <c r="EG33" s="179">
        <f>-Assumptions!$E$35*(1+Assumptions!$E$36)^11/12</f>
        <v/>
      </c>
      <c r="EH33" s="179">
        <f>-Assumptions!$E$35*(1+Assumptions!$E$36)^11/12</f>
        <v/>
      </c>
      <c r="EI33" s="179">
        <f>-Assumptions!$E$35*(1+Assumptions!$E$36)^11/12</f>
        <v/>
      </c>
      <c r="EJ33" s="179">
        <f>-Assumptions!$E$35*(1+Assumptions!$E$36)^11/12</f>
        <v/>
      </c>
      <c r="EK33" s="179">
        <f>-Assumptions!$E$35*(1+Assumptions!$E$36)^11/12</f>
        <v/>
      </c>
      <c r="EL33" s="179">
        <f>-Assumptions!$E$35*(1+Assumptions!$E$36)^11/12</f>
        <v/>
      </c>
      <c r="EM33" s="179">
        <f>-Assumptions!$E$35*(1+Assumptions!$E$36)^11/12</f>
        <v/>
      </c>
      <c r="EN33" s="179">
        <f>-Assumptions!$E$35*(1+Assumptions!$E$36)^11/12</f>
        <v/>
      </c>
      <c r="EO33" s="179">
        <f>-Assumptions!$E$35*(1+Assumptions!$E$36)^11/12</f>
        <v/>
      </c>
      <c r="EP33" s="179">
        <f>-Assumptions!$E$35*(1+Assumptions!$E$36)^11/12</f>
        <v/>
      </c>
      <c r="EQ33" s="179">
        <f>-Assumptions!$E$35*(1+Assumptions!$E$36)^12/12</f>
        <v/>
      </c>
      <c r="ER33" s="179">
        <f>-Assumptions!$E$35*(1+Assumptions!$E$36)^12/12</f>
        <v/>
      </c>
      <c r="ES33" s="179">
        <f>-Assumptions!$E$35*(1+Assumptions!$E$36)^12/12</f>
        <v/>
      </c>
      <c r="ET33" s="179">
        <f>-Assumptions!$E$35*(1+Assumptions!$E$36)^12/12</f>
        <v/>
      </c>
      <c r="EU33" s="179">
        <f>-Assumptions!$E$35*(1+Assumptions!$E$36)^12/12</f>
        <v/>
      </c>
      <c r="EV33" s="179">
        <f>-Assumptions!$E$35*(1+Assumptions!$E$36)^12/12</f>
        <v/>
      </c>
      <c r="EW33" s="179">
        <f>-Assumptions!$E$35*(1+Assumptions!$E$36)^12/12</f>
        <v/>
      </c>
      <c r="EX33" s="179">
        <f>-Assumptions!$E$35*(1+Assumptions!$E$36)^12/12</f>
        <v/>
      </c>
      <c r="EY33" s="179">
        <f>-Assumptions!$E$35*(1+Assumptions!$E$36)^12/12</f>
        <v/>
      </c>
      <c r="EZ33" s="179">
        <f>-Assumptions!$E$35*(1+Assumptions!$E$36)^12/12</f>
        <v/>
      </c>
      <c r="FA33" s="179">
        <f>-Assumptions!$E$35*(1+Assumptions!$E$36)^12/12</f>
        <v/>
      </c>
      <c r="FB33" s="179">
        <f>-Assumptions!$E$35*(1+Assumptions!$E$36)^12/12</f>
        <v/>
      </c>
      <c r="FC33" s="179">
        <f>-Assumptions!$E$35*(1+Assumptions!$E$36)^13/12</f>
        <v/>
      </c>
      <c r="FD33" s="179">
        <f>-Assumptions!$E$35*(1+Assumptions!$E$36)^13/12</f>
        <v/>
      </c>
      <c r="FE33" s="179">
        <f>-Assumptions!$E$35*(1+Assumptions!$E$36)^13/12</f>
        <v/>
      </c>
      <c r="FF33" s="179">
        <f>-Assumptions!$E$35*(1+Assumptions!$E$36)^13/12</f>
        <v/>
      </c>
      <c r="FG33" s="179">
        <f>-Assumptions!$E$35*(1+Assumptions!$E$36)^13/12</f>
        <v/>
      </c>
      <c r="FH33" s="179">
        <f>-Assumptions!$E$35*(1+Assumptions!$E$36)^13/12</f>
        <v/>
      </c>
      <c r="FI33" s="179">
        <f>-Assumptions!$E$35*(1+Assumptions!$E$36)^13/12</f>
        <v/>
      </c>
      <c r="FJ33" s="179">
        <f>-Assumptions!$E$35*(1+Assumptions!$E$36)^13/12</f>
        <v/>
      </c>
      <c r="FK33" s="179">
        <f>-Assumptions!$E$35*(1+Assumptions!$E$36)^13/12</f>
        <v/>
      </c>
      <c r="FL33" s="179">
        <f>-Assumptions!$E$35*(1+Assumptions!$E$36)^13/12</f>
        <v/>
      </c>
      <c r="FM33" s="179">
        <f>-Assumptions!$E$35*(1+Assumptions!$E$36)^13/12</f>
        <v/>
      </c>
      <c r="FN33" s="179">
        <f>-Assumptions!$E$35*(1+Assumptions!$E$36)^13/12</f>
        <v/>
      </c>
      <c r="FO33" s="179">
        <f>-Assumptions!$E$35*(1+Assumptions!$E$36)^14/12</f>
        <v/>
      </c>
      <c r="FP33" s="179">
        <f>-Assumptions!$E$35*(1+Assumptions!$E$36)^14/12</f>
        <v/>
      </c>
      <c r="FQ33" s="179">
        <f>-Assumptions!$E$35*(1+Assumptions!$E$36)^14/12</f>
        <v/>
      </c>
      <c r="FR33" s="179">
        <f>-Assumptions!$E$35*(1+Assumptions!$E$36)^14/12</f>
        <v/>
      </c>
      <c r="FS33" s="179">
        <f>-Assumptions!$E$35*(1+Assumptions!$E$36)^14/12</f>
        <v/>
      </c>
      <c r="FT33" s="179">
        <f>-Assumptions!$E$35*(1+Assumptions!$E$36)^14/12</f>
        <v/>
      </c>
      <c r="FU33" s="179">
        <f>-Assumptions!$E$35*(1+Assumptions!$E$36)^14/12</f>
        <v/>
      </c>
      <c r="FV33" s="179">
        <f>-Assumptions!$E$35*(1+Assumptions!$E$36)^14/12</f>
        <v/>
      </c>
      <c r="FW33" s="179">
        <f>-Assumptions!$E$35*(1+Assumptions!$E$36)^14/12</f>
        <v/>
      </c>
      <c r="FX33" s="179">
        <f>-Assumptions!$E$35*(1+Assumptions!$E$36)^14/12</f>
        <v/>
      </c>
      <c r="FY33" s="179">
        <f>-Assumptions!$E$35*(1+Assumptions!$E$36)^14/12</f>
        <v/>
      </c>
      <c r="FZ33" s="179">
        <f>-Assumptions!$E$35*(1+Assumptions!$E$36)^14/12</f>
        <v/>
      </c>
      <c r="GA33" s="179">
        <f>-Assumptions!$E$35*(1+Assumptions!$E$36)^15/12</f>
        <v/>
      </c>
      <c r="GB33" s="179">
        <f>-Assumptions!$E$35*(1+Assumptions!$E$36)^15/12</f>
        <v/>
      </c>
      <c r="GC33" s="179">
        <f>-Assumptions!$E$35*(1+Assumptions!$E$36)^15/12</f>
        <v/>
      </c>
      <c r="GD33" s="179">
        <f>-Assumptions!$E$35*(1+Assumptions!$E$36)^15/12</f>
        <v/>
      </c>
      <c r="GE33" s="179">
        <f>-Assumptions!$E$35*(1+Assumptions!$E$36)^15/12</f>
        <v/>
      </c>
      <c r="GF33" s="179">
        <f>-Assumptions!$E$35*(1+Assumptions!$E$36)^15/12</f>
        <v/>
      </c>
      <c r="GG33" s="179">
        <f>-Assumptions!$E$35*(1+Assumptions!$E$36)^15/12</f>
        <v/>
      </c>
      <c r="GH33" s="179">
        <f>-Assumptions!$E$35*(1+Assumptions!$E$36)^15/12</f>
        <v/>
      </c>
      <c r="GI33" s="179">
        <f>-Assumptions!$E$35*(1+Assumptions!$E$36)^15/12</f>
        <v/>
      </c>
      <c r="GJ33" s="179">
        <f>-Assumptions!$E$35*(1+Assumptions!$E$36)^15/12</f>
        <v/>
      </c>
      <c r="GK33" s="179">
        <f>-Assumptions!$E$35*(1+Assumptions!$E$36)^15/12</f>
        <v/>
      </c>
      <c r="GL33" s="179">
        <f>-Assumptions!$E$35*(1+Assumptions!$E$36)^15/12</f>
        <v/>
      </c>
      <c r="GM33" s="179">
        <f>-Assumptions!$E$35*(1+Assumptions!$E$36)^16/12</f>
        <v/>
      </c>
      <c r="GN33" s="179">
        <f>-Assumptions!$E$35*(1+Assumptions!$E$36)^16/12</f>
        <v/>
      </c>
      <c r="GO33" s="179">
        <f>-Assumptions!$E$35*(1+Assumptions!$E$36)^16/12</f>
        <v/>
      </c>
      <c r="GP33" s="179">
        <f>-Assumptions!$E$35*(1+Assumptions!$E$36)^16/12</f>
        <v/>
      </c>
      <c r="GQ33" s="179">
        <f>-Assumptions!$E$35*(1+Assumptions!$E$36)^16/12</f>
        <v/>
      </c>
      <c r="GR33" s="179">
        <f>-Assumptions!$E$35*(1+Assumptions!$E$36)^16/12</f>
        <v/>
      </c>
      <c r="GS33" s="179">
        <f>-Assumptions!$E$35*(1+Assumptions!$E$36)^16/12</f>
        <v/>
      </c>
      <c r="GT33" s="179">
        <f>-Assumptions!$E$35*(1+Assumptions!$E$36)^16/12</f>
        <v/>
      </c>
      <c r="GU33" s="179">
        <f>-Assumptions!$E$35*(1+Assumptions!$E$36)^16/12</f>
        <v/>
      </c>
      <c r="GV33" s="179">
        <f>-Assumptions!$E$35*(1+Assumptions!$E$36)^16/12</f>
        <v/>
      </c>
      <c r="GW33" s="179">
        <f>-Assumptions!$E$35*(1+Assumptions!$E$36)^16/12</f>
        <v/>
      </c>
      <c r="GX33" s="179">
        <f>-Assumptions!$E$35*(1+Assumptions!$E$36)^16/12</f>
        <v/>
      </c>
      <c r="GY33" s="179">
        <f>-Assumptions!$E$35*(1+Assumptions!$E$36)^17/12</f>
        <v/>
      </c>
      <c r="GZ33" s="179">
        <f>-Assumptions!$E$35*(1+Assumptions!$E$36)^17/12</f>
        <v/>
      </c>
      <c r="HA33" s="179">
        <f>-Assumptions!$E$35*(1+Assumptions!$E$36)^17/12</f>
        <v/>
      </c>
      <c r="HB33" s="179">
        <f>-Assumptions!$E$35*(1+Assumptions!$E$36)^17/12</f>
        <v/>
      </c>
      <c r="HC33" s="179">
        <f>-Assumptions!$E$35*(1+Assumptions!$E$36)^17/12</f>
        <v/>
      </c>
      <c r="HD33" s="179">
        <f>-Assumptions!$E$35*(1+Assumptions!$E$36)^17/12</f>
        <v/>
      </c>
      <c r="HE33" s="179">
        <f>-Assumptions!$E$35*(1+Assumptions!$E$36)^17/12</f>
        <v/>
      </c>
      <c r="HF33" s="179">
        <f>-Assumptions!$E$35*(1+Assumptions!$E$36)^17/12</f>
        <v/>
      </c>
      <c r="HG33" s="179">
        <f>-Assumptions!$E$35*(1+Assumptions!$E$36)^17/12</f>
        <v/>
      </c>
      <c r="HH33" s="179">
        <f>-Assumptions!$E$35*(1+Assumptions!$E$36)^17/12</f>
        <v/>
      </c>
      <c r="HI33" s="179">
        <f>-Assumptions!$E$35*(1+Assumptions!$E$36)^17/12</f>
        <v/>
      </c>
      <c r="HJ33" s="179">
        <f>-Assumptions!$E$35*(1+Assumptions!$E$36)^17/12</f>
        <v/>
      </c>
      <c r="HK33" s="179">
        <f>-Assumptions!$E$35*(1+Assumptions!$E$36)^18/12</f>
        <v/>
      </c>
      <c r="HL33" s="179">
        <f>-Assumptions!$E$35*(1+Assumptions!$E$36)^18/12</f>
        <v/>
      </c>
      <c r="HM33" s="179">
        <f>-Assumptions!$E$35*(1+Assumptions!$E$36)^18/12</f>
        <v/>
      </c>
      <c r="HN33" s="179">
        <f>-Assumptions!$E$35*(1+Assumptions!$E$36)^18/12</f>
        <v/>
      </c>
      <c r="HO33" s="179">
        <f>-Assumptions!$E$35*(1+Assumptions!$E$36)^18/12</f>
        <v/>
      </c>
      <c r="HP33" s="179">
        <f>-Assumptions!$E$35*(1+Assumptions!$E$36)^18/12</f>
        <v/>
      </c>
      <c r="HQ33" s="179">
        <f>-Assumptions!$E$35*(1+Assumptions!$E$36)^18/12</f>
        <v/>
      </c>
      <c r="HR33" s="179">
        <f>-Assumptions!$E$35*(1+Assumptions!$E$36)^18/12</f>
        <v/>
      </c>
      <c r="HS33" s="179">
        <f>-Assumptions!$E$35*(1+Assumptions!$E$36)^18/12</f>
        <v/>
      </c>
      <c r="HT33" s="179">
        <f>-Assumptions!$E$35*(1+Assumptions!$E$36)^18/12</f>
        <v/>
      </c>
      <c r="HU33" s="179">
        <f>-Assumptions!$E$35*(1+Assumptions!$E$36)^18/12</f>
        <v/>
      </c>
      <c r="HV33" s="179">
        <f>-Assumptions!$E$35*(1+Assumptions!$E$36)^18/12</f>
        <v/>
      </c>
      <c r="HW33" s="179">
        <f>-Assumptions!$E$35*(1+Assumptions!$E$36)^19/12</f>
        <v/>
      </c>
      <c r="HX33" s="179">
        <f>-Assumptions!$E$35*(1+Assumptions!$E$36)^19/12</f>
        <v/>
      </c>
      <c r="HY33" s="179">
        <f>-Assumptions!$E$35*(1+Assumptions!$E$36)^19/12</f>
        <v/>
      </c>
      <c r="HZ33" s="179">
        <f>-Assumptions!$E$35*(1+Assumptions!$E$36)^19/12</f>
        <v/>
      </c>
      <c r="IA33" s="179">
        <f>-Assumptions!$E$35*(1+Assumptions!$E$36)^19/12</f>
        <v/>
      </c>
      <c r="IB33" s="179">
        <f>-Assumptions!$E$35*(1+Assumptions!$E$36)^19/12</f>
        <v/>
      </c>
      <c r="IC33" s="179">
        <f>-Assumptions!$E$35*(1+Assumptions!$E$36)^19/12</f>
        <v/>
      </c>
      <c r="ID33" s="179">
        <f>-Assumptions!$E$35*(1+Assumptions!$E$36)^19/12</f>
        <v/>
      </c>
      <c r="IE33" s="179">
        <f>-Assumptions!$E$35*(1+Assumptions!$E$36)^19/12</f>
        <v/>
      </c>
      <c r="IF33" s="179">
        <f>-Assumptions!$E$35*(1+Assumptions!$E$36)^19/12</f>
        <v/>
      </c>
      <c r="IG33" s="179">
        <f>-Assumptions!$E$35*(1+Assumptions!$E$36)^19/12</f>
        <v/>
      </c>
      <c r="IH33" s="179">
        <f>-Assumptions!$E$35*(1+Assumptions!$E$36)^19/12</f>
        <v/>
      </c>
      <c r="II33" s="179">
        <f>-Assumptions!$E$35*(1+Assumptions!$E$36)^20/12</f>
        <v/>
      </c>
      <c r="IJ33" s="179">
        <f>-Assumptions!$E$35*(1+Assumptions!$E$36)^20/12</f>
        <v/>
      </c>
      <c r="IK33" s="179">
        <f>-Assumptions!$E$35*(1+Assumptions!$E$36)^20/12</f>
        <v/>
      </c>
      <c r="IL33" s="179">
        <f>-Assumptions!$E$35*(1+Assumptions!$E$36)^20/12</f>
        <v/>
      </c>
      <c r="IM33" s="179">
        <f>-Assumptions!$E$35*(1+Assumptions!$E$36)^20/12</f>
        <v/>
      </c>
      <c r="IN33" s="179">
        <f>-Assumptions!$E$35*(1+Assumptions!$E$36)^20/12</f>
        <v/>
      </c>
      <c r="IO33" s="179">
        <f>-Assumptions!$E$35*(1+Assumptions!$E$36)^20/12</f>
        <v/>
      </c>
      <c r="IP33" s="179">
        <f>-Assumptions!$E$35*(1+Assumptions!$E$36)^20/12</f>
        <v/>
      </c>
      <c r="IQ33" s="179">
        <f>-Assumptions!$E$35*(1+Assumptions!$E$36)^20/12</f>
        <v/>
      </c>
      <c r="IR33" s="179">
        <f>-Assumptions!$E$35*(1+Assumptions!$E$36)^20/12</f>
        <v/>
      </c>
      <c r="IS33" s="179">
        <f>-Assumptions!$E$35*(1+Assumptions!$E$36)^20/12</f>
        <v/>
      </c>
      <c r="IT33" s="179">
        <f>-Assumptions!$E$35*(1+Assumptions!$E$36)^20/12</f>
        <v/>
      </c>
      <c r="IU33" s="179">
        <f>-Assumptions!$E$35*(1+Assumptions!$E$36)^21/12</f>
        <v/>
      </c>
      <c r="IV33" s="179">
        <f>-Assumptions!$E$35*(1+Assumptions!$E$36)^21/12</f>
        <v/>
      </c>
      <c r="IW33" s="179">
        <f>-Assumptions!$E$35*(1+Assumptions!$E$36)^21/12</f>
        <v/>
      </c>
      <c r="IX33" s="179">
        <f>-Assumptions!$E$35*(1+Assumptions!$E$36)^21/12</f>
        <v/>
      </c>
      <c r="IY33" s="179">
        <f>-Assumptions!$E$35*(1+Assumptions!$E$36)^21/12</f>
        <v/>
      </c>
      <c r="IZ33" s="179">
        <f>-Assumptions!$E$35*(1+Assumptions!$E$36)^21/12</f>
        <v/>
      </c>
      <c r="JA33" s="179">
        <f>-Assumptions!$E$35*(1+Assumptions!$E$36)^21/12</f>
        <v/>
      </c>
      <c r="JB33" s="179">
        <f>-Assumptions!$E$35*(1+Assumptions!$E$36)^21/12</f>
        <v/>
      </c>
      <c r="JC33" s="179">
        <f>-Assumptions!$E$35*(1+Assumptions!$E$36)^21/12</f>
        <v/>
      </c>
      <c r="JD33" s="179">
        <f>-Assumptions!$E$35*(1+Assumptions!$E$36)^21/12</f>
        <v/>
      </c>
      <c r="JE33" s="179">
        <f>-Assumptions!$E$35*(1+Assumptions!$E$36)^21/12</f>
        <v/>
      </c>
      <c r="JF33" s="179">
        <f>-Assumptions!$E$35*(1+Assumptions!$E$36)^21/12</f>
        <v/>
      </c>
      <c r="JG33" s="179">
        <f>-Assumptions!$E$35*(1+Assumptions!$E$36)^22/12</f>
        <v/>
      </c>
      <c r="JH33" s="179">
        <f>-Assumptions!$E$35*(1+Assumptions!$E$36)^22/12</f>
        <v/>
      </c>
      <c r="JI33" s="179">
        <f>-Assumptions!$E$35*(1+Assumptions!$E$36)^22/12</f>
        <v/>
      </c>
      <c r="JJ33" s="179">
        <f>-Assumptions!$E$35*(1+Assumptions!$E$36)^22/12</f>
        <v/>
      </c>
      <c r="JK33" s="179">
        <f>-Assumptions!$E$35*(1+Assumptions!$E$36)^22/12</f>
        <v/>
      </c>
      <c r="JL33" s="179">
        <f>-Assumptions!$E$35*(1+Assumptions!$E$36)^22/12</f>
        <v/>
      </c>
      <c r="JM33" s="179">
        <f>-Assumptions!$E$35*(1+Assumptions!$E$36)^22/12</f>
        <v/>
      </c>
      <c r="JN33" s="179">
        <f>-Assumptions!$E$35*(1+Assumptions!$E$36)^22/12</f>
        <v/>
      </c>
      <c r="JO33" s="179">
        <f>-Assumptions!$E$35*(1+Assumptions!$E$36)^22/12</f>
        <v/>
      </c>
      <c r="JP33" s="179">
        <f>-Assumptions!$E$35*(1+Assumptions!$E$36)^22/12</f>
        <v/>
      </c>
      <c r="JQ33" s="179">
        <f>-Assumptions!$E$35*(1+Assumptions!$E$36)^22/12</f>
        <v/>
      </c>
      <c r="JR33" s="179">
        <f>-Assumptions!$E$35*(1+Assumptions!$E$36)^22/12</f>
        <v/>
      </c>
      <c r="JS33" s="179">
        <f>-Assumptions!$E$35*(1+Assumptions!$E$36)^23/12</f>
        <v/>
      </c>
      <c r="JT33" s="179">
        <f>-Assumptions!$E$35*(1+Assumptions!$E$36)^23/12</f>
        <v/>
      </c>
      <c r="JU33" s="179">
        <f>-Assumptions!$E$35*(1+Assumptions!$E$36)^23/12</f>
        <v/>
      </c>
      <c r="JV33" s="179">
        <f>-Assumptions!$E$35*(1+Assumptions!$E$36)^23/12</f>
        <v/>
      </c>
      <c r="JW33" s="179">
        <f>-Assumptions!$E$35*(1+Assumptions!$E$36)^23/12</f>
        <v/>
      </c>
      <c r="JX33" s="179">
        <f>-Assumptions!$E$35*(1+Assumptions!$E$36)^23/12</f>
        <v/>
      </c>
      <c r="JY33" s="179">
        <f>-Assumptions!$E$35*(1+Assumptions!$E$36)^23/12</f>
        <v/>
      </c>
      <c r="JZ33" s="179">
        <f>-Assumptions!$E$35*(1+Assumptions!$E$36)^23/12</f>
        <v/>
      </c>
      <c r="KA33" s="179">
        <f>-Assumptions!$E$35*(1+Assumptions!$E$36)^23/12</f>
        <v/>
      </c>
      <c r="KB33" s="179">
        <f>-Assumptions!$E$35*(1+Assumptions!$E$36)^23/12</f>
        <v/>
      </c>
      <c r="KC33" s="179">
        <f>-Assumptions!$E$35*(1+Assumptions!$E$36)^23/12</f>
        <v/>
      </c>
      <c r="KD33" s="179">
        <f>-Assumptions!$E$35*(1+Assumptions!$E$36)^23/12</f>
        <v/>
      </c>
      <c r="KE33" s="179">
        <f>-Assumptions!$E$35*(1+Assumptions!$E$36)^24/12</f>
        <v/>
      </c>
      <c r="KF33" s="179">
        <f>-Assumptions!$E$35*(1+Assumptions!$E$36)^24/12</f>
        <v/>
      </c>
      <c r="KG33" s="179">
        <f>-Assumptions!$E$35*(1+Assumptions!$E$36)^24/12</f>
        <v/>
      </c>
      <c r="KH33" s="179">
        <f>-Assumptions!$E$35*(1+Assumptions!$E$36)^24/12</f>
        <v/>
      </c>
      <c r="KI33" s="179">
        <f>-Assumptions!$E$35*(1+Assumptions!$E$36)^24/12</f>
        <v/>
      </c>
      <c r="KJ33" s="179">
        <f>-Assumptions!$E$35*(1+Assumptions!$E$36)^24/12</f>
        <v/>
      </c>
      <c r="KK33" s="179">
        <f>-Assumptions!$E$35*(1+Assumptions!$E$36)^24/12</f>
        <v/>
      </c>
      <c r="KL33" s="179">
        <f>-Assumptions!$E$35*(1+Assumptions!$E$36)^24/12</f>
        <v/>
      </c>
      <c r="KM33" s="179">
        <f>-Assumptions!$E$35*(1+Assumptions!$E$36)^24/12</f>
        <v/>
      </c>
      <c r="KN33" s="179">
        <f>-Assumptions!$E$35*(1+Assumptions!$E$36)^24/12</f>
        <v/>
      </c>
      <c r="KO33" s="179">
        <f>-Assumptions!$E$35*(1+Assumptions!$E$36)^24/12</f>
        <v/>
      </c>
      <c r="KP33" s="179">
        <f>-Assumptions!$E$35*(1+Assumptions!$E$36)^24/12</f>
        <v/>
      </c>
    </row>
    <row r="34" ht="16" customHeight="1" s="133">
      <c r="A34" s="188" t="inlineStr">
        <is>
          <t>EBITDA (EURk)</t>
        </is>
      </c>
      <c r="B34" s="189" t="inlineStr">
        <is>
          <t>EURk</t>
        </is>
      </c>
      <c r="C34" s="190">
        <f>C32+C33</f>
        <v/>
      </c>
      <c r="D34" s="190">
        <f>D32+D33</f>
        <v/>
      </c>
      <c r="E34" s="190">
        <f>E32+E33</f>
        <v/>
      </c>
      <c r="F34" s="190">
        <f>F32+F33</f>
        <v/>
      </c>
      <c r="G34" s="190">
        <f>G32+G33</f>
        <v/>
      </c>
      <c r="H34" s="190">
        <f>H32+H33</f>
        <v/>
      </c>
      <c r="I34" s="190">
        <f>I32+I33</f>
        <v/>
      </c>
      <c r="J34" s="190">
        <f>J32+J33</f>
        <v/>
      </c>
      <c r="K34" s="190">
        <f>K32+K33</f>
        <v/>
      </c>
      <c r="L34" s="190">
        <f>L32+L33</f>
        <v/>
      </c>
      <c r="M34" s="190">
        <f>M32+M33</f>
        <v/>
      </c>
      <c r="N34" s="190">
        <f>N32+N33</f>
        <v/>
      </c>
      <c r="O34" s="190">
        <f>O32+O33</f>
        <v/>
      </c>
      <c r="P34" s="190">
        <f>P32+P33</f>
        <v/>
      </c>
      <c r="Q34" s="190">
        <f>Q32+Q33</f>
        <v/>
      </c>
      <c r="R34" s="190">
        <f>R32+R33</f>
        <v/>
      </c>
      <c r="S34" s="190">
        <f>S32+S33</f>
        <v/>
      </c>
      <c r="T34" s="190">
        <f>T32+T33</f>
        <v/>
      </c>
      <c r="U34" s="190">
        <f>U32+U33</f>
        <v/>
      </c>
      <c r="V34" s="190">
        <f>V32+V33</f>
        <v/>
      </c>
      <c r="W34" s="190">
        <f>W32+W33</f>
        <v/>
      </c>
      <c r="X34" s="190">
        <f>X32+X33</f>
        <v/>
      </c>
      <c r="Y34" s="190">
        <f>Y32+Y33</f>
        <v/>
      </c>
      <c r="Z34" s="190">
        <f>Z32+Z33</f>
        <v/>
      </c>
      <c r="AA34" s="190">
        <f>AA32+AA33</f>
        <v/>
      </c>
      <c r="AB34" s="190">
        <f>AB32+AB33</f>
        <v/>
      </c>
      <c r="AC34" s="190">
        <f>AC32+AC33</f>
        <v/>
      </c>
      <c r="AD34" s="190">
        <f>AD32+AD33</f>
        <v/>
      </c>
      <c r="AE34" s="190">
        <f>AE32+AE33</f>
        <v/>
      </c>
      <c r="AF34" s="190">
        <f>AF32+AF33</f>
        <v/>
      </c>
      <c r="AG34" s="190">
        <f>AG32+AG33</f>
        <v/>
      </c>
      <c r="AH34" s="190">
        <f>AH32+AH33</f>
        <v/>
      </c>
      <c r="AI34" s="190">
        <f>AI32+AI33</f>
        <v/>
      </c>
      <c r="AJ34" s="190">
        <f>AJ32+AJ33</f>
        <v/>
      </c>
      <c r="AK34" s="190">
        <f>AK32+AK33</f>
        <v/>
      </c>
      <c r="AL34" s="190">
        <f>AL32+AL33</f>
        <v/>
      </c>
      <c r="AM34" s="190">
        <f>AM32+AM33</f>
        <v/>
      </c>
      <c r="AN34" s="190">
        <f>AN32+AN33</f>
        <v/>
      </c>
      <c r="AO34" s="190">
        <f>AO32+AO33</f>
        <v/>
      </c>
      <c r="AP34" s="190">
        <f>AP32+AP33</f>
        <v/>
      </c>
      <c r="AQ34" s="190">
        <f>AQ32+AQ33</f>
        <v/>
      </c>
      <c r="AR34" s="190">
        <f>AR32+AR33</f>
        <v/>
      </c>
      <c r="AS34" s="190">
        <f>AS32+AS33</f>
        <v/>
      </c>
      <c r="AT34" s="190">
        <f>AT32+AT33</f>
        <v/>
      </c>
      <c r="AU34" s="190">
        <f>AU32+AU33</f>
        <v/>
      </c>
      <c r="AV34" s="190">
        <f>AV32+AV33</f>
        <v/>
      </c>
      <c r="AW34" s="190">
        <f>AW32+AW33</f>
        <v/>
      </c>
      <c r="AX34" s="190">
        <f>AX32+AX33</f>
        <v/>
      </c>
      <c r="AY34" s="190">
        <f>AY32+AY33</f>
        <v/>
      </c>
      <c r="AZ34" s="190">
        <f>AZ32+AZ33</f>
        <v/>
      </c>
      <c r="BA34" s="190">
        <f>BA32+BA33</f>
        <v/>
      </c>
      <c r="BB34" s="190">
        <f>BB32+BB33</f>
        <v/>
      </c>
      <c r="BC34" s="190">
        <f>BC32+BC33</f>
        <v/>
      </c>
      <c r="BD34" s="190">
        <f>BD32+BD33</f>
        <v/>
      </c>
      <c r="BE34" s="190">
        <f>BE32+BE33</f>
        <v/>
      </c>
      <c r="BF34" s="190">
        <f>BF32+BF33</f>
        <v/>
      </c>
      <c r="BG34" s="190">
        <f>BG32+BG33</f>
        <v/>
      </c>
      <c r="BH34" s="190">
        <f>BH32+BH33</f>
        <v/>
      </c>
      <c r="BI34" s="190">
        <f>BI32+BI33</f>
        <v/>
      </c>
      <c r="BJ34" s="190">
        <f>BJ32+BJ33</f>
        <v/>
      </c>
      <c r="BK34" s="190">
        <f>BK32+BK33</f>
        <v/>
      </c>
      <c r="BL34" s="190">
        <f>BL32+BL33</f>
        <v/>
      </c>
      <c r="BM34" s="190">
        <f>BM32+BM33</f>
        <v/>
      </c>
      <c r="BN34" s="190">
        <f>BN32+BN33</f>
        <v/>
      </c>
      <c r="BO34" s="190">
        <f>BO32+BO33</f>
        <v/>
      </c>
      <c r="BP34" s="190">
        <f>BP32+BP33</f>
        <v/>
      </c>
      <c r="BQ34" s="190">
        <f>BQ32+BQ33</f>
        <v/>
      </c>
      <c r="BR34" s="190">
        <f>BR32+BR33</f>
        <v/>
      </c>
      <c r="BS34" s="190">
        <f>BS32+BS33</f>
        <v/>
      </c>
      <c r="BT34" s="190">
        <f>BT32+BT33</f>
        <v/>
      </c>
      <c r="BU34" s="190">
        <f>BU32+BU33</f>
        <v/>
      </c>
      <c r="BV34" s="190">
        <f>BV32+BV33</f>
        <v/>
      </c>
      <c r="BW34" s="190">
        <f>BW32+BW33</f>
        <v/>
      </c>
      <c r="BX34" s="190">
        <f>BX32+BX33</f>
        <v/>
      </c>
      <c r="BY34" s="190">
        <f>BY32+BY33</f>
        <v/>
      </c>
      <c r="BZ34" s="190">
        <f>BZ32+BZ33</f>
        <v/>
      </c>
      <c r="CA34" s="190">
        <f>CA32+CA33</f>
        <v/>
      </c>
      <c r="CB34" s="190">
        <f>CB32+CB33</f>
        <v/>
      </c>
      <c r="CC34" s="190">
        <f>CC32+CC33</f>
        <v/>
      </c>
      <c r="CD34" s="190">
        <f>CD32+CD33</f>
        <v/>
      </c>
      <c r="CE34" s="190">
        <f>CE32+CE33</f>
        <v/>
      </c>
      <c r="CF34" s="190">
        <f>CF32+CF33</f>
        <v/>
      </c>
      <c r="CG34" s="190">
        <f>CG32+CG33</f>
        <v/>
      </c>
      <c r="CH34" s="190">
        <f>CH32+CH33</f>
        <v/>
      </c>
      <c r="CI34" s="190">
        <f>CI32+CI33</f>
        <v/>
      </c>
      <c r="CJ34" s="190">
        <f>CJ32+CJ33</f>
        <v/>
      </c>
      <c r="CK34" s="190">
        <f>CK32+CK33</f>
        <v/>
      </c>
      <c r="CL34" s="190">
        <f>CL32+CL33</f>
        <v/>
      </c>
      <c r="CM34" s="190">
        <f>CM32+CM33</f>
        <v/>
      </c>
      <c r="CN34" s="190">
        <f>CN32+CN33</f>
        <v/>
      </c>
      <c r="CO34" s="190">
        <f>CO32+CO33</f>
        <v/>
      </c>
      <c r="CP34" s="190">
        <f>CP32+CP33</f>
        <v/>
      </c>
      <c r="CQ34" s="190">
        <f>CQ32+CQ33</f>
        <v/>
      </c>
      <c r="CR34" s="190">
        <f>CR32+CR33</f>
        <v/>
      </c>
      <c r="CS34" s="190">
        <f>CS32+CS33</f>
        <v/>
      </c>
      <c r="CT34" s="190">
        <f>CT32+CT33</f>
        <v/>
      </c>
      <c r="CU34" s="190">
        <f>CU32+CU33</f>
        <v/>
      </c>
      <c r="CV34" s="190">
        <f>CV32+CV33</f>
        <v/>
      </c>
      <c r="CW34" s="190">
        <f>CW32+CW33</f>
        <v/>
      </c>
      <c r="CX34" s="190">
        <f>CX32+CX33</f>
        <v/>
      </c>
      <c r="CY34" s="190">
        <f>CY32+CY33</f>
        <v/>
      </c>
      <c r="CZ34" s="190">
        <f>CZ32+CZ33</f>
        <v/>
      </c>
      <c r="DA34" s="190">
        <f>DA32+DA33</f>
        <v/>
      </c>
      <c r="DB34" s="190">
        <f>DB32+DB33</f>
        <v/>
      </c>
      <c r="DC34" s="190">
        <f>DC32+DC33</f>
        <v/>
      </c>
      <c r="DD34" s="190">
        <f>DD32+DD33</f>
        <v/>
      </c>
      <c r="DE34" s="190">
        <f>DE32+DE33</f>
        <v/>
      </c>
      <c r="DF34" s="190">
        <f>DF32+DF33</f>
        <v/>
      </c>
      <c r="DG34" s="190">
        <f>DG32+DG33</f>
        <v/>
      </c>
      <c r="DH34" s="190">
        <f>DH32+DH33</f>
        <v/>
      </c>
      <c r="DI34" s="190">
        <f>DI32+DI33</f>
        <v/>
      </c>
      <c r="DJ34" s="190">
        <f>DJ32+DJ33</f>
        <v/>
      </c>
      <c r="DK34" s="190">
        <f>DK32+DK33</f>
        <v/>
      </c>
      <c r="DL34" s="190">
        <f>DL32+DL33</f>
        <v/>
      </c>
      <c r="DM34" s="190">
        <f>DM32+DM33</f>
        <v/>
      </c>
      <c r="DN34" s="190">
        <f>DN32+DN33</f>
        <v/>
      </c>
      <c r="DO34" s="190">
        <f>DO32+DO33</f>
        <v/>
      </c>
      <c r="DP34" s="190">
        <f>DP32+DP33</f>
        <v/>
      </c>
      <c r="DQ34" s="190">
        <f>DQ32+DQ33</f>
        <v/>
      </c>
      <c r="DR34" s="190">
        <f>DR32+DR33</f>
        <v/>
      </c>
      <c r="DS34" s="190">
        <f>DS32+DS33</f>
        <v/>
      </c>
      <c r="DT34" s="190">
        <f>DT32+DT33</f>
        <v/>
      </c>
      <c r="DU34" s="190">
        <f>DU32+DU33</f>
        <v/>
      </c>
      <c r="DV34" s="190">
        <f>DV32+DV33</f>
        <v/>
      </c>
      <c r="DW34" s="190">
        <f>DW32+DW33</f>
        <v/>
      </c>
      <c r="DX34" s="190">
        <f>DX32+DX33</f>
        <v/>
      </c>
      <c r="DY34" s="190">
        <f>DY32+DY33</f>
        <v/>
      </c>
      <c r="DZ34" s="190">
        <f>DZ32+DZ33</f>
        <v/>
      </c>
      <c r="EA34" s="190">
        <f>EA32+EA33</f>
        <v/>
      </c>
      <c r="EB34" s="190">
        <f>EB32+EB33</f>
        <v/>
      </c>
      <c r="EC34" s="190">
        <f>EC32+EC33</f>
        <v/>
      </c>
      <c r="ED34" s="190">
        <f>ED32+ED33</f>
        <v/>
      </c>
      <c r="EE34" s="190">
        <f>EE32+EE33</f>
        <v/>
      </c>
      <c r="EF34" s="190">
        <f>EF32+EF33</f>
        <v/>
      </c>
      <c r="EG34" s="190">
        <f>EG32+EG33</f>
        <v/>
      </c>
      <c r="EH34" s="190">
        <f>EH32+EH33</f>
        <v/>
      </c>
      <c r="EI34" s="190">
        <f>EI32+EI33</f>
        <v/>
      </c>
      <c r="EJ34" s="190">
        <f>EJ32+EJ33</f>
        <v/>
      </c>
      <c r="EK34" s="190">
        <f>EK32+EK33</f>
        <v/>
      </c>
      <c r="EL34" s="190">
        <f>EL32+EL33</f>
        <v/>
      </c>
      <c r="EM34" s="190">
        <f>EM32+EM33</f>
        <v/>
      </c>
      <c r="EN34" s="190">
        <f>EN32+EN33</f>
        <v/>
      </c>
      <c r="EO34" s="190">
        <f>EO32+EO33</f>
        <v/>
      </c>
      <c r="EP34" s="190">
        <f>EP32+EP33</f>
        <v/>
      </c>
      <c r="EQ34" s="190">
        <f>EQ32+EQ33</f>
        <v/>
      </c>
      <c r="ER34" s="190">
        <f>ER32+ER33</f>
        <v/>
      </c>
      <c r="ES34" s="190">
        <f>ES32+ES33</f>
        <v/>
      </c>
      <c r="ET34" s="190">
        <f>ET32+ET33</f>
        <v/>
      </c>
      <c r="EU34" s="190">
        <f>EU32+EU33</f>
        <v/>
      </c>
      <c r="EV34" s="190">
        <f>EV32+EV33</f>
        <v/>
      </c>
      <c r="EW34" s="190">
        <f>EW32+EW33</f>
        <v/>
      </c>
      <c r="EX34" s="190">
        <f>EX32+EX33</f>
        <v/>
      </c>
      <c r="EY34" s="190">
        <f>EY32+EY33</f>
        <v/>
      </c>
      <c r="EZ34" s="190">
        <f>EZ32+EZ33</f>
        <v/>
      </c>
      <c r="FA34" s="190">
        <f>FA32+FA33</f>
        <v/>
      </c>
      <c r="FB34" s="190">
        <f>FB32+FB33</f>
        <v/>
      </c>
      <c r="FC34" s="190">
        <f>FC32+FC33</f>
        <v/>
      </c>
      <c r="FD34" s="190">
        <f>FD32+FD33</f>
        <v/>
      </c>
      <c r="FE34" s="190">
        <f>FE32+FE33</f>
        <v/>
      </c>
      <c r="FF34" s="190">
        <f>FF32+FF33</f>
        <v/>
      </c>
      <c r="FG34" s="190">
        <f>FG32+FG33</f>
        <v/>
      </c>
      <c r="FH34" s="190">
        <f>FH32+FH33</f>
        <v/>
      </c>
      <c r="FI34" s="190">
        <f>FI32+FI33</f>
        <v/>
      </c>
      <c r="FJ34" s="190">
        <f>FJ32+FJ33</f>
        <v/>
      </c>
      <c r="FK34" s="190">
        <f>FK32+FK33</f>
        <v/>
      </c>
      <c r="FL34" s="190">
        <f>FL32+FL33</f>
        <v/>
      </c>
      <c r="FM34" s="190">
        <f>FM32+FM33</f>
        <v/>
      </c>
      <c r="FN34" s="190">
        <f>FN32+FN33</f>
        <v/>
      </c>
      <c r="FO34" s="190">
        <f>FO32+FO33</f>
        <v/>
      </c>
      <c r="FP34" s="190">
        <f>FP32+FP33</f>
        <v/>
      </c>
      <c r="FQ34" s="190">
        <f>FQ32+FQ33</f>
        <v/>
      </c>
      <c r="FR34" s="190">
        <f>FR32+FR33</f>
        <v/>
      </c>
      <c r="FS34" s="190">
        <f>FS32+FS33</f>
        <v/>
      </c>
      <c r="FT34" s="190">
        <f>FT32+FT33</f>
        <v/>
      </c>
      <c r="FU34" s="190">
        <f>FU32+FU33</f>
        <v/>
      </c>
      <c r="FV34" s="190">
        <f>FV32+FV33</f>
        <v/>
      </c>
      <c r="FW34" s="190">
        <f>FW32+FW33</f>
        <v/>
      </c>
      <c r="FX34" s="190">
        <f>FX32+FX33</f>
        <v/>
      </c>
      <c r="FY34" s="190">
        <f>FY32+FY33</f>
        <v/>
      </c>
      <c r="FZ34" s="190">
        <f>FZ32+FZ33</f>
        <v/>
      </c>
      <c r="GA34" s="190">
        <f>GA32+GA33</f>
        <v/>
      </c>
      <c r="GB34" s="190">
        <f>GB32+GB33</f>
        <v/>
      </c>
      <c r="GC34" s="190">
        <f>GC32+GC33</f>
        <v/>
      </c>
      <c r="GD34" s="190">
        <f>GD32+GD33</f>
        <v/>
      </c>
      <c r="GE34" s="190">
        <f>GE32+GE33</f>
        <v/>
      </c>
      <c r="GF34" s="190">
        <f>GF32+GF33</f>
        <v/>
      </c>
      <c r="GG34" s="190">
        <f>GG32+GG33</f>
        <v/>
      </c>
      <c r="GH34" s="190">
        <f>GH32+GH33</f>
        <v/>
      </c>
      <c r="GI34" s="190">
        <f>GI32+GI33</f>
        <v/>
      </c>
      <c r="GJ34" s="190">
        <f>GJ32+GJ33</f>
        <v/>
      </c>
      <c r="GK34" s="190">
        <f>GK32+GK33</f>
        <v/>
      </c>
      <c r="GL34" s="190">
        <f>GL32+GL33</f>
        <v/>
      </c>
      <c r="GM34" s="190">
        <f>GM32+GM33</f>
        <v/>
      </c>
      <c r="GN34" s="190">
        <f>GN32+GN33</f>
        <v/>
      </c>
      <c r="GO34" s="190">
        <f>GO32+GO33</f>
        <v/>
      </c>
      <c r="GP34" s="190">
        <f>GP32+GP33</f>
        <v/>
      </c>
      <c r="GQ34" s="190">
        <f>GQ32+GQ33</f>
        <v/>
      </c>
      <c r="GR34" s="190">
        <f>GR32+GR33</f>
        <v/>
      </c>
      <c r="GS34" s="190">
        <f>GS32+GS33</f>
        <v/>
      </c>
      <c r="GT34" s="190">
        <f>GT32+GT33</f>
        <v/>
      </c>
      <c r="GU34" s="190">
        <f>GU32+GU33</f>
        <v/>
      </c>
      <c r="GV34" s="190">
        <f>GV32+GV33</f>
        <v/>
      </c>
      <c r="GW34" s="190">
        <f>GW32+GW33</f>
        <v/>
      </c>
      <c r="GX34" s="190">
        <f>GX32+GX33</f>
        <v/>
      </c>
      <c r="GY34" s="190">
        <f>GY32+GY33</f>
        <v/>
      </c>
      <c r="GZ34" s="190">
        <f>GZ32+GZ33</f>
        <v/>
      </c>
      <c r="HA34" s="190">
        <f>HA32+HA33</f>
        <v/>
      </c>
      <c r="HB34" s="190">
        <f>HB32+HB33</f>
        <v/>
      </c>
      <c r="HC34" s="190">
        <f>HC32+HC33</f>
        <v/>
      </c>
      <c r="HD34" s="190">
        <f>HD32+HD33</f>
        <v/>
      </c>
      <c r="HE34" s="190">
        <f>HE32+HE33</f>
        <v/>
      </c>
      <c r="HF34" s="190">
        <f>HF32+HF33</f>
        <v/>
      </c>
      <c r="HG34" s="190">
        <f>HG32+HG33</f>
        <v/>
      </c>
      <c r="HH34" s="190">
        <f>HH32+HH33</f>
        <v/>
      </c>
      <c r="HI34" s="190">
        <f>HI32+HI33</f>
        <v/>
      </c>
      <c r="HJ34" s="190">
        <f>HJ32+HJ33</f>
        <v/>
      </c>
      <c r="HK34" s="190">
        <f>HK32+HK33</f>
        <v/>
      </c>
      <c r="HL34" s="190">
        <f>HL32+HL33</f>
        <v/>
      </c>
      <c r="HM34" s="190">
        <f>HM32+HM33</f>
        <v/>
      </c>
      <c r="HN34" s="190">
        <f>HN32+HN33</f>
        <v/>
      </c>
      <c r="HO34" s="190">
        <f>HO32+HO33</f>
        <v/>
      </c>
      <c r="HP34" s="190">
        <f>HP32+HP33</f>
        <v/>
      </c>
      <c r="HQ34" s="190">
        <f>HQ32+HQ33</f>
        <v/>
      </c>
      <c r="HR34" s="190">
        <f>HR32+HR33</f>
        <v/>
      </c>
      <c r="HS34" s="190">
        <f>HS32+HS33</f>
        <v/>
      </c>
      <c r="HT34" s="190">
        <f>HT32+HT33</f>
        <v/>
      </c>
      <c r="HU34" s="190">
        <f>HU32+HU33</f>
        <v/>
      </c>
      <c r="HV34" s="190">
        <f>HV32+HV33</f>
        <v/>
      </c>
      <c r="HW34" s="190">
        <f>HW32+HW33</f>
        <v/>
      </c>
      <c r="HX34" s="190">
        <f>HX32+HX33</f>
        <v/>
      </c>
      <c r="HY34" s="190">
        <f>HY32+HY33</f>
        <v/>
      </c>
      <c r="HZ34" s="190">
        <f>HZ32+HZ33</f>
        <v/>
      </c>
      <c r="IA34" s="190">
        <f>IA32+IA33</f>
        <v/>
      </c>
      <c r="IB34" s="190">
        <f>IB32+IB33</f>
        <v/>
      </c>
      <c r="IC34" s="190">
        <f>IC32+IC33</f>
        <v/>
      </c>
      <c r="ID34" s="190">
        <f>ID32+ID33</f>
        <v/>
      </c>
      <c r="IE34" s="190">
        <f>IE32+IE33</f>
        <v/>
      </c>
      <c r="IF34" s="190">
        <f>IF32+IF33</f>
        <v/>
      </c>
      <c r="IG34" s="190">
        <f>IG32+IG33</f>
        <v/>
      </c>
      <c r="IH34" s="190">
        <f>IH32+IH33</f>
        <v/>
      </c>
      <c r="II34" s="190">
        <f>II32+II33</f>
        <v/>
      </c>
      <c r="IJ34" s="190">
        <f>IJ32+IJ33</f>
        <v/>
      </c>
      <c r="IK34" s="190">
        <f>IK32+IK33</f>
        <v/>
      </c>
      <c r="IL34" s="190">
        <f>IL32+IL33</f>
        <v/>
      </c>
      <c r="IM34" s="190">
        <f>IM32+IM33</f>
        <v/>
      </c>
      <c r="IN34" s="190">
        <f>IN32+IN33</f>
        <v/>
      </c>
      <c r="IO34" s="190">
        <f>IO32+IO33</f>
        <v/>
      </c>
      <c r="IP34" s="190">
        <f>IP32+IP33</f>
        <v/>
      </c>
      <c r="IQ34" s="190">
        <f>IQ32+IQ33</f>
        <v/>
      </c>
      <c r="IR34" s="190">
        <f>IR32+IR33</f>
        <v/>
      </c>
      <c r="IS34" s="190">
        <f>IS32+IS33</f>
        <v/>
      </c>
      <c r="IT34" s="190">
        <f>IT32+IT33</f>
        <v/>
      </c>
      <c r="IU34" s="190">
        <f>IU32+IU33</f>
        <v/>
      </c>
      <c r="IV34" s="190">
        <f>IV32+IV33</f>
        <v/>
      </c>
      <c r="IW34" s="190">
        <f>IW32+IW33</f>
        <v/>
      </c>
      <c r="IX34" s="190">
        <f>IX32+IX33</f>
        <v/>
      </c>
      <c r="IY34" s="190">
        <f>IY32+IY33</f>
        <v/>
      </c>
      <c r="IZ34" s="190">
        <f>IZ32+IZ33</f>
        <v/>
      </c>
      <c r="JA34" s="190">
        <f>JA32+JA33</f>
        <v/>
      </c>
      <c r="JB34" s="190">
        <f>JB32+JB33</f>
        <v/>
      </c>
      <c r="JC34" s="190">
        <f>JC32+JC33</f>
        <v/>
      </c>
      <c r="JD34" s="190">
        <f>JD32+JD33</f>
        <v/>
      </c>
      <c r="JE34" s="190">
        <f>JE32+JE33</f>
        <v/>
      </c>
      <c r="JF34" s="190">
        <f>JF32+JF33</f>
        <v/>
      </c>
      <c r="JG34" s="190">
        <f>JG32+JG33</f>
        <v/>
      </c>
      <c r="JH34" s="190">
        <f>JH32+JH33</f>
        <v/>
      </c>
      <c r="JI34" s="190">
        <f>JI32+JI33</f>
        <v/>
      </c>
      <c r="JJ34" s="190">
        <f>JJ32+JJ33</f>
        <v/>
      </c>
      <c r="JK34" s="190">
        <f>JK32+JK33</f>
        <v/>
      </c>
      <c r="JL34" s="190">
        <f>JL32+JL33</f>
        <v/>
      </c>
      <c r="JM34" s="190">
        <f>JM32+JM33</f>
        <v/>
      </c>
      <c r="JN34" s="190">
        <f>JN32+JN33</f>
        <v/>
      </c>
      <c r="JO34" s="190">
        <f>JO32+JO33</f>
        <v/>
      </c>
      <c r="JP34" s="190">
        <f>JP32+JP33</f>
        <v/>
      </c>
      <c r="JQ34" s="190">
        <f>JQ32+JQ33</f>
        <v/>
      </c>
      <c r="JR34" s="190">
        <f>JR32+JR33</f>
        <v/>
      </c>
      <c r="JS34" s="190">
        <f>JS32+JS33</f>
        <v/>
      </c>
      <c r="JT34" s="190">
        <f>JT32+JT33</f>
        <v/>
      </c>
      <c r="JU34" s="190">
        <f>JU32+JU33</f>
        <v/>
      </c>
      <c r="JV34" s="190">
        <f>JV32+JV33</f>
        <v/>
      </c>
      <c r="JW34" s="190">
        <f>JW32+JW33</f>
        <v/>
      </c>
      <c r="JX34" s="190">
        <f>JX32+JX33</f>
        <v/>
      </c>
      <c r="JY34" s="190">
        <f>JY32+JY33</f>
        <v/>
      </c>
      <c r="JZ34" s="190">
        <f>JZ32+JZ33</f>
        <v/>
      </c>
      <c r="KA34" s="190">
        <f>KA32+KA33</f>
        <v/>
      </c>
      <c r="KB34" s="190">
        <f>KB32+KB33</f>
        <v/>
      </c>
      <c r="KC34" s="190">
        <f>KC32+KC33</f>
        <v/>
      </c>
      <c r="KD34" s="190">
        <f>KD32+KD33</f>
        <v/>
      </c>
      <c r="KE34" s="190">
        <f>KE32+KE33</f>
        <v/>
      </c>
      <c r="KF34" s="190">
        <f>KF32+KF33</f>
        <v/>
      </c>
      <c r="KG34" s="190">
        <f>KG32+KG33</f>
        <v/>
      </c>
      <c r="KH34" s="190">
        <f>KH32+KH33</f>
        <v/>
      </c>
      <c r="KI34" s="190">
        <f>KI32+KI33</f>
        <v/>
      </c>
      <c r="KJ34" s="190">
        <f>KJ32+KJ33</f>
        <v/>
      </c>
      <c r="KK34" s="190">
        <f>KK32+KK33</f>
        <v/>
      </c>
      <c r="KL34" s="190">
        <f>KL32+KL33</f>
        <v/>
      </c>
      <c r="KM34" s="190">
        <f>KM32+KM33</f>
        <v/>
      </c>
      <c r="KN34" s="190">
        <f>KN32+KN33</f>
        <v/>
      </c>
      <c r="KO34" s="190">
        <f>KO32+KO33</f>
        <v/>
      </c>
      <c r="KP34" s="190">
        <f>KP32+KP33</f>
        <v/>
      </c>
    </row>
    <row r="35" ht="16" customHeight="1" s="133">
      <c r="A35" s="177" t="inlineStr">
        <is>
          <t>Tax (EURk)</t>
        </is>
      </c>
      <c r="B35" s="178" t="inlineStr">
        <is>
          <t>EURk</t>
        </is>
      </c>
      <c r="C35" s="179">
        <f>IF(C34&gt;0,-C34*Assumptions!$E$47,0)</f>
        <v/>
      </c>
      <c r="D35" s="179">
        <f>IF(D34&gt;0,-D34*Assumptions!$E$47,0)</f>
        <v/>
      </c>
      <c r="E35" s="179">
        <f>IF(E34&gt;0,-E34*Assumptions!$E$47,0)</f>
        <v/>
      </c>
      <c r="F35" s="179">
        <f>IF(F34&gt;0,-F34*Assumptions!$E$47,0)</f>
        <v/>
      </c>
      <c r="G35" s="179">
        <f>IF(G34&gt;0,-G34*Assumptions!$E$47,0)</f>
        <v/>
      </c>
      <c r="H35" s="179">
        <f>IF(H34&gt;0,-H34*Assumptions!$E$47,0)</f>
        <v/>
      </c>
      <c r="I35" s="179">
        <f>IF(I34&gt;0,-I34*Assumptions!$E$47,0)</f>
        <v/>
      </c>
      <c r="J35" s="179">
        <f>IF(J34&gt;0,-J34*Assumptions!$E$47,0)</f>
        <v/>
      </c>
      <c r="K35" s="179">
        <f>IF(K34&gt;0,-K34*Assumptions!$E$47,0)</f>
        <v/>
      </c>
      <c r="L35" s="179">
        <f>IF(L34&gt;0,-L34*Assumptions!$E$47,0)</f>
        <v/>
      </c>
      <c r="M35" s="179">
        <f>IF(M34&gt;0,-M34*Assumptions!$E$47,0)</f>
        <v/>
      </c>
      <c r="N35" s="179">
        <f>IF(N34&gt;0,-N34*Assumptions!$E$47,0)</f>
        <v/>
      </c>
      <c r="O35" s="179">
        <f>IF(O34&gt;0,-O34*Assumptions!$E$47,0)</f>
        <v/>
      </c>
      <c r="P35" s="179">
        <f>IF(P34&gt;0,-P34*Assumptions!$E$47,0)</f>
        <v/>
      </c>
      <c r="Q35" s="179">
        <f>IF(Q34&gt;0,-Q34*Assumptions!$E$47,0)</f>
        <v/>
      </c>
      <c r="R35" s="179">
        <f>IF(R34&gt;0,-R34*Assumptions!$E$47,0)</f>
        <v/>
      </c>
      <c r="S35" s="179">
        <f>IF(S34&gt;0,-S34*Assumptions!$E$47,0)</f>
        <v/>
      </c>
      <c r="T35" s="179">
        <f>IF(T34&gt;0,-T34*Assumptions!$E$47,0)</f>
        <v/>
      </c>
      <c r="U35" s="179">
        <f>IF(U34&gt;0,-U34*Assumptions!$E$47,0)</f>
        <v/>
      </c>
      <c r="V35" s="179">
        <f>IF(V34&gt;0,-V34*Assumptions!$E$47,0)</f>
        <v/>
      </c>
      <c r="W35" s="179">
        <f>IF(W34&gt;0,-W34*Assumptions!$E$47,0)</f>
        <v/>
      </c>
      <c r="X35" s="179">
        <f>IF(X34&gt;0,-X34*Assumptions!$E$47,0)</f>
        <v/>
      </c>
      <c r="Y35" s="179">
        <f>IF(Y34&gt;0,-Y34*Assumptions!$E$47,0)</f>
        <v/>
      </c>
      <c r="Z35" s="179">
        <f>IF(Z34&gt;0,-Z34*Assumptions!$E$47,0)</f>
        <v/>
      </c>
      <c r="AA35" s="179">
        <f>IF(AA34&gt;0,-AA34*Assumptions!$E$47,0)</f>
        <v/>
      </c>
      <c r="AB35" s="179">
        <f>IF(AB34&gt;0,-AB34*Assumptions!$E$47,0)</f>
        <v/>
      </c>
      <c r="AC35" s="179">
        <f>IF(AC34&gt;0,-AC34*Assumptions!$E$47,0)</f>
        <v/>
      </c>
      <c r="AD35" s="179">
        <f>IF(AD34&gt;0,-AD34*Assumptions!$E$47,0)</f>
        <v/>
      </c>
      <c r="AE35" s="179">
        <f>IF(AE34&gt;0,-AE34*Assumptions!$E$47,0)</f>
        <v/>
      </c>
      <c r="AF35" s="179">
        <f>IF(AF34&gt;0,-AF34*Assumptions!$E$47,0)</f>
        <v/>
      </c>
      <c r="AG35" s="179">
        <f>IF(AG34&gt;0,-AG34*Assumptions!$E$47,0)</f>
        <v/>
      </c>
      <c r="AH35" s="179">
        <f>IF(AH34&gt;0,-AH34*Assumptions!$E$47,0)</f>
        <v/>
      </c>
      <c r="AI35" s="179">
        <f>IF(AI34&gt;0,-AI34*Assumptions!$E$47,0)</f>
        <v/>
      </c>
      <c r="AJ35" s="179">
        <f>IF(AJ34&gt;0,-AJ34*Assumptions!$E$47,0)</f>
        <v/>
      </c>
      <c r="AK35" s="179">
        <f>IF(AK34&gt;0,-AK34*Assumptions!$E$47,0)</f>
        <v/>
      </c>
      <c r="AL35" s="179">
        <f>IF(AL34&gt;0,-AL34*Assumptions!$E$47,0)</f>
        <v/>
      </c>
      <c r="AM35" s="179">
        <f>IF(AM34&gt;0,-AM34*Assumptions!$E$47,0)</f>
        <v/>
      </c>
      <c r="AN35" s="179">
        <f>IF(AN34&gt;0,-AN34*Assumptions!$E$47,0)</f>
        <v/>
      </c>
      <c r="AO35" s="179">
        <f>IF(AO34&gt;0,-AO34*Assumptions!$E$47,0)</f>
        <v/>
      </c>
      <c r="AP35" s="179">
        <f>IF(AP34&gt;0,-AP34*Assumptions!$E$47,0)</f>
        <v/>
      </c>
      <c r="AQ35" s="179">
        <f>IF(AQ34&gt;0,-AQ34*Assumptions!$E$47,0)</f>
        <v/>
      </c>
      <c r="AR35" s="179">
        <f>IF(AR34&gt;0,-AR34*Assumptions!$E$47,0)</f>
        <v/>
      </c>
      <c r="AS35" s="179">
        <f>IF(AS34&gt;0,-AS34*Assumptions!$E$47,0)</f>
        <v/>
      </c>
      <c r="AT35" s="179">
        <f>IF(AT34&gt;0,-AT34*Assumptions!$E$47,0)</f>
        <v/>
      </c>
      <c r="AU35" s="179">
        <f>IF(AU34&gt;0,-AU34*Assumptions!$E$47,0)</f>
        <v/>
      </c>
      <c r="AV35" s="179">
        <f>IF(AV34&gt;0,-AV34*Assumptions!$E$47,0)</f>
        <v/>
      </c>
      <c r="AW35" s="179">
        <f>IF(AW34&gt;0,-AW34*Assumptions!$E$47,0)</f>
        <v/>
      </c>
      <c r="AX35" s="179">
        <f>IF(AX34&gt;0,-AX34*Assumptions!$E$47,0)</f>
        <v/>
      </c>
      <c r="AY35" s="179">
        <f>IF(AY34&gt;0,-AY34*Assumptions!$E$47,0)</f>
        <v/>
      </c>
      <c r="AZ35" s="179">
        <f>IF(AZ34&gt;0,-AZ34*Assumptions!$E$47,0)</f>
        <v/>
      </c>
      <c r="BA35" s="179">
        <f>IF(BA34&gt;0,-BA34*Assumptions!$E$47,0)</f>
        <v/>
      </c>
      <c r="BB35" s="179">
        <f>IF(BB34&gt;0,-BB34*Assumptions!$E$47,0)</f>
        <v/>
      </c>
      <c r="BC35" s="179">
        <f>IF(BC34&gt;0,-BC34*Assumptions!$E$47,0)</f>
        <v/>
      </c>
      <c r="BD35" s="179">
        <f>IF(BD34&gt;0,-BD34*Assumptions!$E$47,0)</f>
        <v/>
      </c>
      <c r="BE35" s="179">
        <f>IF(BE34&gt;0,-BE34*Assumptions!$E$47,0)</f>
        <v/>
      </c>
      <c r="BF35" s="179">
        <f>IF(BF34&gt;0,-BF34*Assumptions!$E$47,0)</f>
        <v/>
      </c>
      <c r="BG35" s="179">
        <f>IF(BG34&gt;0,-BG34*Assumptions!$E$47,0)</f>
        <v/>
      </c>
      <c r="BH35" s="179">
        <f>IF(BH34&gt;0,-BH34*Assumptions!$E$47,0)</f>
        <v/>
      </c>
      <c r="BI35" s="179">
        <f>IF(BI34&gt;0,-BI34*Assumptions!$E$47,0)</f>
        <v/>
      </c>
      <c r="BJ35" s="179">
        <f>IF(BJ34&gt;0,-BJ34*Assumptions!$E$47,0)</f>
        <v/>
      </c>
      <c r="BK35" s="179">
        <f>IF(BK34&gt;0,-BK34*Assumptions!$E$47,0)</f>
        <v/>
      </c>
      <c r="BL35" s="179">
        <f>IF(BL34&gt;0,-BL34*Assumptions!$E$47,0)</f>
        <v/>
      </c>
      <c r="BM35" s="179">
        <f>IF(BM34&gt;0,-BM34*Assumptions!$E$47,0)</f>
        <v/>
      </c>
      <c r="BN35" s="179">
        <f>IF(BN34&gt;0,-BN34*Assumptions!$E$47,0)</f>
        <v/>
      </c>
      <c r="BO35" s="179">
        <f>IF(BO34&gt;0,-BO34*Assumptions!$E$47,0)</f>
        <v/>
      </c>
      <c r="BP35" s="179">
        <f>IF(BP34&gt;0,-BP34*Assumptions!$E$47,0)</f>
        <v/>
      </c>
      <c r="BQ35" s="179">
        <f>IF(BQ34&gt;0,-BQ34*Assumptions!$E$47,0)</f>
        <v/>
      </c>
      <c r="BR35" s="179">
        <f>IF(BR34&gt;0,-BR34*Assumptions!$E$47,0)</f>
        <v/>
      </c>
      <c r="BS35" s="179">
        <f>IF(BS34&gt;0,-BS34*Assumptions!$E$47,0)</f>
        <v/>
      </c>
      <c r="BT35" s="179">
        <f>IF(BT34&gt;0,-BT34*Assumptions!$E$47,0)</f>
        <v/>
      </c>
      <c r="BU35" s="179">
        <f>IF(BU34&gt;0,-BU34*Assumptions!$E$47,0)</f>
        <v/>
      </c>
      <c r="BV35" s="179">
        <f>IF(BV34&gt;0,-BV34*Assumptions!$E$47,0)</f>
        <v/>
      </c>
      <c r="BW35" s="179">
        <f>IF(BW34&gt;0,-BW34*Assumptions!$E$47,0)</f>
        <v/>
      </c>
      <c r="BX35" s="179">
        <f>IF(BX34&gt;0,-BX34*Assumptions!$E$47,0)</f>
        <v/>
      </c>
      <c r="BY35" s="179">
        <f>IF(BY34&gt;0,-BY34*Assumptions!$E$47,0)</f>
        <v/>
      </c>
      <c r="BZ35" s="179">
        <f>IF(BZ34&gt;0,-BZ34*Assumptions!$E$47,0)</f>
        <v/>
      </c>
      <c r="CA35" s="179">
        <f>IF(CA34&gt;0,-CA34*Assumptions!$E$47,0)</f>
        <v/>
      </c>
      <c r="CB35" s="179">
        <f>IF(CB34&gt;0,-CB34*Assumptions!$E$47,0)</f>
        <v/>
      </c>
      <c r="CC35" s="179">
        <f>IF(CC34&gt;0,-CC34*Assumptions!$E$47,0)</f>
        <v/>
      </c>
      <c r="CD35" s="179">
        <f>IF(CD34&gt;0,-CD34*Assumptions!$E$47,0)</f>
        <v/>
      </c>
      <c r="CE35" s="179">
        <f>IF(CE34&gt;0,-CE34*Assumptions!$E$47,0)</f>
        <v/>
      </c>
      <c r="CF35" s="179">
        <f>IF(CF34&gt;0,-CF34*Assumptions!$E$47,0)</f>
        <v/>
      </c>
      <c r="CG35" s="179">
        <f>IF(CG34&gt;0,-CG34*Assumptions!$E$47,0)</f>
        <v/>
      </c>
      <c r="CH35" s="179">
        <f>IF(CH34&gt;0,-CH34*Assumptions!$E$47,0)</f>
        <v/>
      </c>
      <c r="CI35" s="179">
        <f>IF(CI34&gt;0,-CI34*Assumptions!$E$47,0)</f>
        <v/>
      </c>
      <c r="CJ35" s="179">
        <f>IF(CJ34&gt;0,-CJ34*Assumptions!$E$47,0)</f>
        <v/>
      </c>
      <c r="CK35" s="179">
        <f>IF(CK34&gt;0,-CK34*Assumptions!$E$47,0)</f>
        <v/>
      </c>
      <c r="CL35" s="179">
        <f>IF(CL34&gt;0,-CL34*Assumptions!$E$47,0)</f>
        <v/>
      </c>
      <c r="CM35" s="179">
        <f>IF(CM34&gt;0,-CM34*Assumptions!$E$47,0)</f>
        <v/>
      </c>
      <c r="CN35" s="179">
        <f>IF(CN34&gt;0,-CN34*Assumptions!$E$47,0)</f>
        <v/>
      </c>
      <c r="CO35" s="179">
        <f>IF(CO34&gt;0,-CO34*Assumptions!$E$47,0)</f>
        <v/>
      </c>
      <c r="CP35" s="179">
        <f>IF(CP34&gt;0,-CP34*Assumptions!$E$47,0)</f>
        <v/>
      </c>
      <c r="CQ35" s="179">
        <f>IF(CQ34&gt;0,-CQ34*Assumptions!$E$47,0)</f>
        <v/>
      </c>
      <c r="CR35" s="179">
        <f>IF(CR34&gt;0,-CR34*Assumptions!$E$47,0)</f>
        <v/>
      </c>
      <c r="CS35" s="179">
        <f>IF(CS34&gt;0,-CS34*Assumptions!$E$47,0)</f>
        <v/>
      </c>
      <c r="CT35" s="179">
        <f>IF(CT34&gt;0,-CT34*Assumptions!$E$47,0)</f>
        <v/>
      </c>
      <c r="CU35" s="179">
        <f>IF(CU34&gt;0,-CU34*Assumptions!$E$47,0)</f>
        <v/>
      </c>
      <c r="CV35" s="179">
        <f>IF(CV34&gt;0,-CV34*Assumptions!$E$47,0)</f>
        <v/>
      </c>
      <c r="CW35" s="179">
        <f>IF(CW34&gt;0,-CW34*Assumptions!$E$47,0)</f>
        <v/>
      </c>
      <c r="CX35" s="179">
        <f>IF(CX34&gt;0,-CX34*Assumptions!$E$47,0)</f>
        <v/>
      </c>
      <c r="CY35" s="179">
        <f>IF(CY34&gt;0,-CY34*Assumptions!$E$47,0)</f>
        <v/>
      </c>
      <c r="CZ35" s="179">
        <f>IF(CZ34&gt;0,-CZ34*Assumptions!$E$47,0)</f>
        <v/>
      </c>
      <c r="DA35" s="179">
        <f>IF(DA34&gt;0,-DA34*Assumptions!$E$47,0)</f>
        <v/>
      </c>
      <c r="DB35" s="179">
        <f>IF(DB34&gt;0,-DB34*Assumptions!$E$47,0)</f>
        <v/>
      </c>
      <c r="DC35" s="179">
        <f>IF(DC34&gt;0,-DC34*Assumptions!$E$47,0)</f>
        <v/>
      </c>
      <c r="DD35" s="179">
        <f>IF(DD34&gt;0,-DD34*Assumptions!$E$47,0)</f>
        <v/>
      </c>
      <c r="DE35" s="179">
        <f>IF(DE34&gt;0,-DE34*Assumptions!$E$47,0)</f>
        <v/>
      </c>
      <c r="DF35" s="179">
        <f>IF(DF34&gt;0,-DF34*Assumptions!$E$47,0)</f>
        <v/>
      </c>
      <c r="DG35" s="179">
        <f>IF(DG34&gt;0,-DG34*Assumptions!$E$47,0)</f>
        <v/>
      </c>
      <c r="DH35" s="179">
        <f>IF(DH34&gt;0,-DH34*Assumptions!$E$47,0)</f>
        <v/>
      </c>
      <c r="DI35" s="179">
        <f>IF(DI34&gt;0,-DI34*Assumptions!$E$47,0)</f>
        <v/>
      </c>
      <c r="DJ35" s="179">
        <f>IF(DJ34&gt;0,-DJ34*Assumptions!$E$47,0)</f>
        <v/>
      </c>
      <c r="DK35" s="179">
        <f>IF(DK34&gt;0,-DK34*Assumptions!$E$47,0)</f>
        <v/>
      </c>
      <c r="DL35" s="179">
        <f>IF(DL34&gt;0,-DL34*Assumptions!$E$47,0)</f>
        <v/>
      </c>
      <c r="DM35" s="179">
        <f>IF(DM34&gt;0,-DM34*Assumptions!$E$47,0)</f>
        <v/>
      </c>
      <c r="DN35" s="179">
        <f>IF(DN34&gt;0,-DN34*Assumptions!$E$47,0)</f>
        <v/>
      </c>
      <c r="DO35" s="179">
        <f>IF(DO34&gt;0,-DO34*Assumptions!$E$47,0)</f>
        <v/>
      </c>
      <c r="DP35" s="179">
        <f>IF(DP34&gt;0,-DP34*Assumptions!$E$47,0)</f>
        <v/>
      </c>
      <c r="DQ35" s="179">
        <f>IF(DQ34&gt;0,-DQ34*Assumptions!$E$47,0)</f>
        <v/>
      </c>
      <c r="DR35" s="179">
        <f>IF(DR34&gt;0,-DR34*Assumptions!$E$47,0)</f>
        <v/>
      </c>
      <c r="DS35" s="179">
        <f>IF(DS34&gt;0,-DS34*Assumptions!$E$47,0)</f>
        <v/>
      </c>
      <c r="DT35" s="179">
        <f>IF(DT34&gt;0,-DT34*Assumptions!$E$47,0)</f>
        <v/>
      </c>
      <c r="DU35" s="179">
        <f>IF(DU34&gt;0,-DU34*Assumptions!$E$47,0)</f>
        <v/>
      </c>
      <c r="DV35" s="179">
        <f>IF(DV34&gt;0,-DV34*Assumptions!$E$47,0)</f>
        <v/>
      </c>
      <c r="DW35" s="179">
        <f>IF(DW34&gt;0,-DW34*Assumptions!$E$47,0)</f>
        <v/>
      </c>
      <c r="DX35" s="179">
        <f>IF(DX34&gt;0,-DX34*Assumptions!$E$47,0)</f>
        <v/>
      </c>
      <c r="DY35" s="179">
        <f>IF(DY34&gt;0,-DY34*Assumptions!$E$47,0)</f>
        <v/>
      </c>
      <c r="DZ35" s="179">
        <f>IF(DZ34&gt;0,-DZ34*Assumptions!$E$47,0)</f>
        <v/>
      </c>
      <c r="EA35" s="179">
        <f>IF(EA34&gt;0,-EA34*Assumptions!$E$47,0)</f>
        <v/>
      </c>
      <c r="EB35" s="179">
        <f>IF(EB34&gt;0,-EB34*Assumptions!$E$47,0)</f>
        <v/>
      </c>
      <c r="EC35" s="179">
        <f>IF(EC34&gt;0,-EC34*Assumptions!$E$47,0)</f>
        <v/>
      </c>
      <c r="ED35" s="179">
        <f>IF(ED34&gt;0,-ED34*Assumptions!$E$47,0)</f>
        <v/>
      </c>
      <c r="EE35" s="179">
        <f>IF(EE34&gt;0,-EE34*Assumptions!$E$47,0)</f>
        <v/>
      </c>
      <c r="EF35" s="179">
        <f>IF(EF34&gt;0,-EF34*Assumptions!$E$47,0)</f>
        <v/>
      </c>
      <c r="EG35" s="179">
        <f>IF(EG34&gt;0,-EG34*Assumptions!$E$47,0)</f>
        <v/>
      </c>
      <c r="EH35" s="179">
        <f>IF(EH34&gt;0,-EH34*Assumptions!$E$47,0)</f>
        <v/>
      </c>
      <c r="EI35" s="179">
        <f>IF(EI34&gt;0,-EI34*Assumptions!$E$47,0)</f>
        <v/>
      </c>
      <c r="EJ35" s="179">
        <f>IF(EJ34&gt;0,-EJ34*Assumptions!$E$47,0)</f>
        <v/>
      </c>
      <c r="EK35" s="179">
        <f>IF(EK34&gt;0,-EK34*Assumptions!$E$47,0)</f>
        <v/>
      </c>
      <c r="EL35" s="179">
        <f>IF(EL34&gt;0,-EL34*Assumptions!$E$47,0)</f>
        <v/>
      </c>
      <c r="EM35" s="179">
        <f>IF(EM34&gt;0,-EM34*Assumptions!$E$47,0)</f>
        <v/>
      </c>
      <c r="EN35" s="179">
        <f>IF(EN34&gt;0,-EN34*Assumptions!$E$47,0)</f>
        <v/>
      </c>
      <c r="EO35" s="179">
        <f>IF(EO34&gt;0,-EO34*Assumptions!$E$47,0)</f>
        <v/>
      </c>
      <c r="EP35" s="179">
        <f>IF(EP34&gt;0,-EP34*Assumptions!$E$47,0)</f>
        <v/>
      </c>
      <c r="EQ35" s="179">
        <f>IF(EQ34&gt;0,-EQ34*Assumptions!$E$47,0)</f>
        <v/>
      </c>
      <c r="ER35" s="179">
        <f>IF(ER34&gt;0,-ER34*Assumptions!$E$47,0)</f>
        <v/>
      </c>
      <c r="ES35" s="179">
        <f>IF(ES34&gt;0,-ES34*Assumptions!$E$47,0)</f>
        <v/>
      </c>
      <c r="ET35" s="179">
        <f>IF(ET34&gt;0,-ET34*Assumptions!$E$47,0)</f>
        <v/>
      </c>
      <c r="EU35" s="179">
        <f>IF(EU34&gt;0,-EU34*Assumptions!$E$47,0)</f>
        <v/>
      </c>
      <c r="EV35" s="179">
        <f>IF(EV34&gt;0,-EV34*Assumptions!$E$47,0)</f>
        <v/>
      </c>
      <c r="EW35" s="179">
        <f>IF(EW34&gt;0,-EW34*Assumptions!$E$47,0)</f>
        <v/>
      </c>
      <c r="EX35" s="179">
        <f>IF(EX34&gt;0,-EX34*Assumptions!$E$47,0)</f>
        <v/>
      </c>
      <c r="EY35" s="179">
        <f>IF(EY34&gt;0,-EY34*Assumptions!$E$47,0)</f>
        <v/>
      </c>
      <c r="EZ35" s="179">
        <f>IF(EZ34&gt;0,-EZ34*Assumptions!$E$47,0)</f>
        <v/>
      </c>
      <c r="FA35" s="179">
        <f>IF(FA34&gt;0,-FA34*Assumptions!$E$47,0)</f>
        <v/>
      </c>
      <c r="FB35" s="179">
        <f>IF(FB34&gt;0,-FB34*Assumptions!$E$47,0)</f>
        <v/>
      </c>
      <c r="FC35" s="179">
        <f>IF(FC34&gt;0,-FC34*Assumptions!$E$47,0)</f>
        <v/>
      </c>
      <c r="FD35" s="179">
        <f>IF(FD34&gt;0,-FD34*Assumptions!$E$47,0)</f>
        <v/>
      </c>
      <c r="FE35" s="179">
        <f>IF(FE34&gt;0,-FE34*Assumptions!$E$47,0)</f>
        <v/>
      </c>
      <c r="FF35" s="179">
        <f>IF(FF34&gt;0,-FF34*Assumptions!$E$47,0)</f>
        <v/>
      </c>
      <c r="FG35" s="179">
        <f>IF(FG34&gt;0,-FG34*Assumptions!$E$47,0)</f>
        <v/>
      </c>
      <c r="FH35" s="179">
        <f>IF(FH34&gt;0,-FH34*Assumptions!$E$47,0)</f>
        <v/>
      </c>
      <c r="FI35" s="179">
        <f>IF(FI34&gt;0,-FI34*Assumptions!$E$47,0)</f>
        <v/>
      </c>
      <c r="FJ35" s="179">
        <f>IF(FJ34&gt;0,-FJ34*Assumptions!$E$47,0)</f>
        <v/>
      </c>
      <c r="FK35" s="179">
        <f>IF(FK34&gt;0,-FK34*Assumptions!$E$47,0)</f>
        <v/>
      </c>
      <c r="FL35" s="179">
        <f>IF(FL34&gt;0,-FL34*Assumptions!$E$47,0)</f>
        <v/>
      </c>
      <c r="FM35" s="179">
        <f>IF(FM34&gt;0,-FM34*Assumptions!$E$47,0)</f>
        <v/>
      </c>
      <c r="FN35" s="179">
        <f>IF(FN34&gt;0,-FN34*Assumptions!$E$47,0)</f>
        <v/>
      </c>
      <c r="FO35" s="179">
        <f>IF(FO34&gt;0,-FO34*Assumptions!$E$47,0)</f>
        <v/>
      </c>
      <c r="FP35" s="179">
        <f>IF(FP34&gt;0,-FP34*Assumptions!$E$47,0)</f>
        <v/>
      </c>
      <c r="FQ35" s="179">
        <f>IF(FQ34&gt;0,-FQ34*Assumptions!$E$47,0)</f>
        <v/>
      </c>
      <c r="FR35" s="179">
        <f>IF(FR34&gt;0,-FR34*Assumptions!$E$47,0)</f>
        <v/>
      </c>
      <c r="FS35" s="179">
        <f>IF(FS34&gt;0,-FS34*Assumptions!$E$47,0)</f>
        <v/>
      </c>
      <c r="FT35" s="179">
        <f>IF(FT34&gt;0,-FT34*Assumptions!$E$47,0)</f>
        <v/>
      </c>
      <c r="FU35" s="179">
        <f>IF(FU34&gt;0,-FU34*Assumptions!$E$47,0)</f>
        <v/>
      </c>
      <c r="FV35" s="179">
        <f>IF(FV34&gt;0,-FV34*Assumptions!$E$47,0)</f>
        <v/>
      </c>
      <c r="FW35" s="179">
        <f>IF(FW34&gt;0,-FW34*Assumptions!$E$47,0)</f>
        <v/>
      </c>
      <c r="FX35" s="179">
        <f>IF(FX34&gt;0,-FX34*Assumptions!$E$47,0)</f>
        <v/>
      </c>
      <c r="FY35" s="179">
        <f>IF(FY34&gt;0,-FY34*Assumptions!$E$47,0)</f>
        <v/>
      </c>
      <c r="FZ35" s="179">
        <f>IF(FZ34&gt;0,-FZ34*Assumptions!$E$47,0)</f>
        <v/>
      </c>
      <c r="GA35" s="179">
        <f>IF(GA34&gt;0,-GA34*Assumptions!$E$47,0)</f>
        <v/>
      </c>
      <c r="GB35" s="179">
        <f>IF(GB34&gt;0,-GB34*Assumptions!$E$47,0)</f>
        <v/>
      </c>
      <c r="GC35" s="179">
        <f>IF(GC34&gt;0,-GC34*Assumptions!$E$47,0)</f>
        <v/>
      </c>
      <c r="GD35" s="179">
        <f>IF(GD34&gt;0,-GD34*Assumptions!$E$47,0)</f>
        <v/>
      </c>
      <c r="GE35" s="179">
        <f>IF(GE34&gt;0,-GE34*Assumptions!$E$47,0)</f>
        <v/>
      </c>
      <c r="GF35" s="179">
        <f>IF(GF34&gt;0,-GF34*Assumptions!$E$47,0)</f>
        <v/>
      </c>
      <c r="GG35" s="179">
        <f>IF(GG34&gt;0,-GG34*Assumptions!$E$47,0)</f>
        <v/>
      </c>
      <c r="GH35" s="179">
        <f>IF(GH34&gt;0,-GH34*Assumptions!$E$47,0)</f>
        <v/>
      </c>
      <c r="GI35" s="179">
        <f>IF(GI34&gt;0,-GI34*Assumptions!$E$47,0)</f>
        <v/>
      </c>
      <c r="GJ35" s="179">
        <f>IF(GJ34&gt;0,-GJ34*Assumptions!$E$47,0)</f>
        <v/>
      </c>
      <c r="GK35" s="179">
        <f>IF(GK34&gt;0,-GK34*Assumptions!$E$47,0)</f>
        <v/>
      </c>
      <c r="GL35" s="179">
        <f>IF(GL34&gt;0,-GL34*Assumptions!$E$47,0)</f>
        <v/>
      </c>
      <c r="GM35" s="179">
        <f>IF(GM34&gt;0,-GM34*Assumptions!$E$47,0)</f>
        <v/>
      </c>
      <c r="GN35" s="179">
        <f>IF(GN34&gt;0,-GN34*Assumptions!$E$47,0)</f>
        <v/>
      </c>
      <c r="GO35" s="179">
        <f>IF(GO34&gt;0,-GO34*Assumptions!$E$47,0)</f>
        <v/>
      </c>
      <c r="GP35" s="179">
        <f>IF(GP34&gt;0,-GP34*Assumptions!$E$47,0)</f>
        <v/>
      </c>
      <c r="GQ35" s="179">
        <f>IF(GQ34&gt;0,-GQ34*Assumptions!$E$47,0)</f>
        <v/>
      </c>
      <c r="GR35" s="179">
        <f>IF(GR34&gt;0,-GR34*Assumptions!$E$47,0)</f>
        <v/>
      </c>
      <c r="GS35" s="179">
        <f>IF(GS34&gt;0,-GS34*Assumptions!$E$47,0)</f>
        <v/>
      </c>
      <c r="GT35" s="179">
        <f>IF(GT34&gt;0,-GT34*Assumptions!$E$47,0)</f>
        <v/>
      </c>
      <c r="GU35" s="179">
        <f>IF(GU34&gt;0,-GU34*Assumptions!$E$47,0)</f>
        <v/>
      </c>
      <c r="GV35" s="179">
        <f>IF(GV34&gt;0,-GV34*Assumptions!$E$47,0)</f>
        <v/>
      </c>
      <c r="GW35" s="179">
        <f>IF(GW34&gt;0,-GW34*Assumptions!$E$47,0)</f>
        <v/>
      </c>
      <c r="GX35" s="179">
        <f>IF(GX34&gt;0,-GX34*Assumptions!$E$47,0)</f>
        <v/>
      </c>
      <c r="GY35" s="179">
        <f>IF(GY34&gt;0,-GY34*Assumptions!$E$47,0)</f>
        <v/>
      </c>
      <c r="GZ35" s="179">
        <f>IF(GZ34&gt;0,-GZ34*Assumptions!$E$47,0)</f>
        <v/>
      </c>
      <c r="HA35" s="179">
        <f>IF(HA34&gt;0,-HA34*Assumptions!$E$47,0)</f>
        <v/>
      </c>
      <c r="HB35" s="179">
        <f>IF(HB34&gt;0,-HB34*Assumptions!$E$47,0)</f>
        <v/>
      </c>
      <c r="HC35" s="179">
        <f>IF(HC34&gt;0,-HC34*Assumptions!$E$47,0)</f>
        <v/>
      </c>
      <c r="HD35" s="179">
        <f>IF(HD34&gt;0,-HD34*Assumptions!$E$47,0)</f>
        <v/>
      </c>
      <c r="HE35" s="179">
        <f>IF(HE34&gt;0,-HE34*Assumptions!$E$47,0)</f>
        <v/>
      </c>
      <c r="HF35" s="179">
        <f>IF(HF34&gt;0,-HF34*Assumptions!$E$47,0)</f>
        <v/>
      </c>
      <c r="HG35" s="179">
        <f>IF(HG34&gt;0,-HG34*Assumptions!$E$47,0)</f>
        <v/>
      </c>
      <c r="HH35" s="179">
        <f>IF(HH34&gt;0,-HH34*Assumptions!$E$47,0)</f>
        <v/>
      </c>
      <c r="HI35" s="179">
        <f>IF(HI34&gt;0,-HI34*Assumptions!$E$47,0)</f>
        <v/>
      </c>
      <c r="HJ35" s="179">
        <f>IF(HJ34&gt;0,-HJ34*Assumptions!$E$47,0)</f>
        <v/>
      </c>
      <c r="HK35" s="179">
        <f>IF(HK34&gt;0,-HK34*Assumptions!$E$47,0)</f>
        <v/>
      </c>
      <c r="HL35" s="179">
        <f>IF(HL34&gt;0,-HL34*Assumptions!$E$47,0)</f>
        <v/>
      </c>
      <c r="HM35" s="179">
        <f>IF(HM34&gt;0,-HM34*Assumptions!$E$47,0)</f>
        <v/>
      </c>
      <c r="HN35" s="179">
        <f>IF(HN34&gt;0,-HN34*Assumptions!$E$47,0)</f>
        <v/>
      </c>
      <c r="HO35" s="179">
        <f>IF(HO34&gt;0,-HO34*Assumptions!$E$47,0)</f>
        <v/>
      </c>
      <c r="HP35" s="179">
        <f>IF(HP34&gt;0,-HP34*Assumptions!$E$47,0)</f>
        <v/>
      </c>
      <c r="HQ35" s="179">
        <f>IF(HQ34&gt;0,-HQ34*Assumptions!$E$47,0)</f>
        <v/>
      </c>
      <c r="HR35" s="179">
        <f>IF(HR34&gt;0,-HR34*Assumptions!$E$47,0)</f>
        <v/>
      </c>
      <c r="HS35" s="179">
        <f>IF(HS34&gt;0,-HS34*Assumptions!$E$47,0)</f>
        <v/>
      </c>
      <c r="HT35" s="179">
        <f>IF(HT34&gt;0,-HT34*Assumptions!$E$47,0)</f>
        <v/>
      </c>
      <c r="HU35" s="179">
        <f>IF(HU34&gt;0,-HU34*Assumptions!$E$47,0)</f>
        <v/>
      </c>
      <c r="HV35" s="179">
        <f>IF(HV34&gt;0,-HV34*Assumptions!$E$47,0)</f>
        <v/>
      </c>
      <c r="HW35" s="179">
        <f>IF(HW34&gt;0,-HW34*Assumptions!$E$47,0)</f>
        <v/>
      </c>
      <c r="HX35" s="179">
        <f>IF(HX34&gt;0,-HX34*Assumptions!$E$47,0)</f>
        <v/>
      </c>
      <c r="HY35" s="179">
        <f>IF(HY34&gt;0,-HY34*Assumptions!$E$47,0)</f>
        <v/>
      </c>
      <c r="HZ35" s="179">
        <f>IF(HZ34&gt;0,-HZ34*Assumptions!$E$47,0)</f>
        <v/>
      </c>
      <c r="IA35" s="179">
        <f>IF(IA34&gt;0,-IA34*Assumptions!$E$47,0)</f>
        <v/>
      </c>
      <c r="IB35" s="179">
        <f>IF(IB34&gt;0,-IB34*Assumptions!$E$47,0)</f>
        <v/>
      </c>
      <c r="IC35" s="179">
        <f>IF(IC34&gt;0,-IC34*Assumptions!$E$47,0)</f>
        <v/>
      </c>
      <c r="ID35" s="179">
        <f>IF(ID34&gt;0,-ID34*Assumptions!$E$47,0)</f>
        <v/>
      </c>
      <c r="IE35" s="179">
        <f>IF(IE34&gt;0,-IE34*Assumptions!$E$47,0)</f>
        <v/>
      </c>
      <c r="IF35" s="179">
        <f>IF(IF34&gt;0,-IF34*Assumptions!$E$47,0)</f>
        <v/>
      </c>
      <c r="IG35" s="179">
        <f>IF(IG34&gt;0,-IG34*Assumptions!$E$47,0)</f>
        <v/>
      </c>
      <c r="IH35" s="179">
        <f>IF(IH34&gt;0,-IH34*Assumptions!$E$47,0)</f>
        <v/>
      </c>
      <c r="II35" s="179">
        <f>IF(II34&gt;0,-II34*Assumptions!$E$47,0)</f>
        <v/>
      </c>
      <c r="IJ35" s="179">
        <f>IF(IJ34&gt;0,-IJ34*Assumptions!$E$47,0)</f>
        <v/>
      </c>
      <c r="IK35" s="179">
        <f>IF(IK34&gt;0,-IK34*Assumptions!$E$47,0)</f>
        <v/>
      </c>
      <c r="IL35" s="179">
        <f>IF(IL34&gt;0,-IL34*Assumptions!$E$47,0)</f>
        <v/>
      </c>
      <c r="IM35" s="179">
        <f>IF(IM34&gt;0,-IM34*Assumptions!$E$47,0)</f>
        <v/>
      </c>
      <c r="IN35" s="179">
        <f>IF(IN34&gt;0,-IN34*Assumptions!$E$47,0)</f>
        <v/>
      </c>
      <c r="IO35" s="179">
        <f>IF(IO34&gt;0,-IO34*Assumptions!$E$47,0)</f>
        <v/>
      </c>
      <c r="IP35" s="179">
        <f>IF(IP34&gt;0,-IP34*Assumptions!$E$47,0)</f>
        <v/>
      </c>
      <c r="IQ35" s="179">
        <f>IF(IQ34&gt;0,-IQ34*Assumptions!$E$47,0)</f>
        <v/>
      </c>
      <c r="IR35" s="179">
        <f>IF(IR34&gt;0,-IR34*Assumptions!$E$47,0)</f>
        <v/>
      </c>
      <c r="IS35" s="179">
        <f>IF(IS34&gt;0,-IS34*Assumptions!$E$47,0)</f>
        <v/>
      </c>
      <c r="IT35" s="179">
        <f>IF(IT34&gt;0,-IT34*Assumptions!$E$47,0)</f>
        <v/>
      </c>
      <c r="IU35" s="179">
        <f>IF(IU34&gt;0,-IU34*Assumptions!$E$47,0)</f>
        <v/>
      </c>
      <c r="IV35" s="179">
        <f>IF(IV34&gt;0,-IV34*Assumptions!$E$47,0)</f>
        <v/>
      </c>
      <c r="IW35" s="179">
        <f>IF(IW34&gt;0,-IW34*Assumptions!$E$47,0)</f>
        <v/>
      </c>
      <c r="IX35" s="179">
        <f>IF(IX34&gt;0,-IX34*Assumptions!$E$47,0)</f>
        <v/>
      </c>
      <c r="IY35" s="179">
        <f>IF(IY34&gt;0,-IY34*Assumptions!$E$47,0)</f>
        <v/>
      </c>
      <c r="IZ35" s="179">
        <f>IF(IZ34&gt;0,-IZ34*Assumptions!$E$47,0)</f>
        <v/>
      </c>
      <c r="JA35" s="179">
        <f>IF(JA34&gt;0,-JA34*Assumptions!$E$47,0)</f>
        <v/>
      </c>
      <c r="JB35" s="179">
        <f>IF(JB34&gt;0,-JB34*Assumptions!$E$47,0)</f>
        <v/>
      </c>
      <c r="JC35" s="179">
        <f>IF(JC34&gt;0,-JC34*Assumptions!$E$47,0)</f>
        <v/>
      </c>
      <c r="JD35" s="179">
        <f>IF(JD34&gt;0,-JD34*Assumptions!$E$47,0)</f>
        <v/>
      </c>
      <c r="JE35" s="179">
        <f>IF(JE34&gt;0,-JE34*Assumptions!$E$47,0)</f>
        <v/>
      </c>
      <c r="JF35" s="179">
        <f>IF(JF34&gt;0,-JF34*Assumptions!$E$47,0)</f>
        <v/>
      </c>
      <c r="JG35" s="179">
        <f>IF(JG34&gt;0,-JG34*Assumptions!$E$47,0)</f>
        <v/>
      </c>
      <c r="JH35" s="179">
        <f>IF(JH34&gt;0,-JH34*Assumptions!$E$47,0)</f>
        <v/>
      </c>
      <c r="JI35" s="179">
        <f>IF(JI34&gt;0,-JI34*Assumptions!$E$47,0)</f>
        <v/>
      </c>
      <c r="JJ35" s="179">
        <f>IF(JJ34&gt;0,-JJ34*Assumptions!$E$47,0)</f>
        <v/>
      </c>
      <c r="JK35" s="179">
        <f>IF(JK34&gt;0,-JK34*Assumptions!$E$47,0)</f>
        <v/>
      </c>
      <c r="JL35" s="179">
        <f>IF(JL34&gt;0,-JL34*Assumptions!$E$47,0)</f>
        <v/>
      </c>
      <c r="JM35" s="179">
        <f>IF(JM34&gt;0,-JM34*Assumptions!$E$47,0)</f>
        <v/>
      </c>
      <c r="JN35" s="179">
        <f>IF(JN34&gt;0,-JN34*Assumptions!$E$47,0)</f>
        <v/>
      </c>
      <c r="JO35" s="179">
        <f>IF(JO34&gt;0,-JO34*Assumptions!$E$47,0)</f>
        <v/>
      </c>
      <c r="JP35" s="179">
        <f>IF(JP34&gt;0,-JP34*Assumptions!$E$47,0)</f>
        <v/>
      </c>
      <c r="JQ35" s="179">
        <f>IF(JQ34&gt;0,-JQ34*Assumptions!$E$47,0)</f>
        <v/>
      </c>
      <c r="JR35" s="179">
        <f>IF(JR34&gt;0,-JR34*Assumptions!$E$47,0)</f>
        <v/>
      </c>
      <c r="JS35" s="179">
        <f>IF(JS34&gt;0,-JS34*Assumptions!$E$47,0)</f>
        <v/>
      </c>
      <c r="JT35" s="179">
        <f>IF(JT34&gt;0,-JT34*Assumptions!$E$47,0)</f>
        <v/>
      </c>
      <c r="JU35" s="179">
        <f>IF(JU34&gt;0,-JU34*Assumptions!$E$47,0)</f>
        <v/>
      </c>
      <c r="JV35" s="179">
        <f>IF(JV34&gt;0,-JV34*Assumptions!$E$47,0)</f>
        <v/>
      </c>
      <c r="JW35" s="179">
        <f>IF(JW34&gt;0,-JW34*Assumptions!$E$47,0)</f>
        <v/>
      </c>
      <c r="JX35" s="179">
        <f>IF(JX34&gt;0,-JX34*Assumptions!$E$47,0)</f>
        <v/>
      </c>
      <c r="JY35" s="179">
        <f>IF(JY34&gt;0,-JY34*Assumptions!$E$47,0)</f>
        <v/>
      </c>
      <c r="JZ35" s="179">
        <f>IF(JZ34&gt;0,-JZ34*Assumptions!$E$47,0)</f>
        <v/>
      </c>
      <c r="KA35" s="179">
        <f>IF(KA34&gt;0,-KA34*Assumptions!$E$47,0)</f>
        <v/>
      </c>
      <c r="KB35" s="179">
        <f>IF(KB34&gt;0,-KB34*Assumptions!$E$47,0)</f>
        <v/>
      </c>
      <c r="KC35" s="179">
        <f>IF(KC34&gt;0,-KC34*Assumptions!$E$47,0)</f>
        <v/>
      </c>
      <c r="KD35" s="179">
        <f>IF(KD34&gt;0,-KD34*Assumptions!$E$47,0)</f>
        <v/>
      </c>
      <c r="KE35" s="179">
        <f>IF(KE34&gt;0,-KE34*Assumptions!$E$47,0)</f>
        <v/>
      </c>
      <c r="KF35" s="179">
        <f>IF(KF34&gt;0,-KF34*Assumptions!$E$47,0)</f>
        <v/>
      </c>
      <c r="KG35" s="179">
        <f>IF(KG34&gt;0,-KG34*Assumptions!$E$47,0)</f>
        <v/>
      </c>
      <c r="KH35" s="179">
        <f>IF(KH34&gt;0,-KH34*Assumptions!$E$47,0)</f>
        <v/>
      </c>
      <c r="KI35" s="179">
        <f>IF(KI34&gt;0,-KI34*Assumptions!$E$47,0)</f>
        <v/>
      </c>
      <c r="KJ35" s="179">
        <f>IF(KJ34&gt;0,-KJ34*Assumptions!$E$47,0)</f>
        <v/>
      </c>
      <c r="KK35" s="179">
        <f>IF(KK34&gt;0,-KK34*Assumptions!$E$47,0)</f>
        <v/>
      </c>
      <c r="KL35" s="179">
        <f>IF(KL34&gt;0,-KL34*Assumptions!$E$47,0)</f>
        <v/>
      </c>
      <c r="KM35" s="179">
        <f>IF(KM34&gt;0,-KM34*Assumptions!$E$47,0)</f>
        <v/>
      </c>
      <c r="KN35" s="179">
        <f>IF(KN34&gt;0,-KN34*Assumptions!$E$47,0)</f>
        <v/>
      </c>
      <c r="KO35" s="179">
        <f>IF(KO34&gt;0,-KO34*Assumptions!$E$47,0)</f>
        <v/>
      </c>
      <c r="KP35" s="179">
        <f>IF(KP34&gt;0,-KP34*Assumptions!$E$47,0)</f>
        <v/>
      </c>
    </row>
    <row r="36" ht="16" customHeight="1" s="133">
      <c r="A36" s="188" t="inlineStr">
        <is>
          <t>FCFF (EURk)</t>
        </is>
      </c>
      <c r="B36" s="189" t="inlineStr">
        <is>
          <t>EURk</t>
        </is>
      </c>
      <c r="C36" s="190">
        <f>C34+C35</f>
        <v/>
      </c>
      <c r="D36" s="190">
        <f>D34+D35</f>
        <v/>
      </c>
      <c r="E36" s="190">
        <f>E34+E35</f>
        <v/>
      </c>
      <c r="F36" s="190">
        <f>F34+F35</f>
        <v/>
      </c>
      <c r="G36" s="190">
        <f>G34+G35</f>
        <v/>
      </c>
      <c r="H36" s="190">
        <f>H34+H35</f>
        <v/>
      </c>
      <c r="I36" s="190">
        <f>I34+I35</f>
        <v/>
      </c>
      <c r="J36" s="190">
        <f>J34+J35</f>
        <v/>
      </c>
      <c r="K36" s="190">
        <f>K34+K35</f>
        <v/>
      </c>
      <c r="L36" s="190">
        <f>L34+L35</f>
        <v/>
      </c>
      <c r="M36" s="190">
        <f>M34+M35</f>
        <v/>
      </c>
      <c r="N36" s="190">
        <f>N34+N35</f>
        <v/>
      </c>
      <c r="O36" s="190">
        <f>O34+O35</f>
        <v/>
      </c>
      <c r="P36" s="190">
        <f>P34+P35</f>
        <v/>
      </c>
      <c r="Q36" s="190">
        <f>Q34+Q35</f>
        <v/>
      </c>
      <c r="R36" s="190">
        <f>R34+R35</f>
        <v/>
      </c>
      <c r="S36" s="190">
        <f>S34+S35</f>
        <v/>
      </c>
      <c r="T36" s="190">
        <f>T34+T35</f>
        <v/>
      </c>
      <c r="U36" s="190">
        <f>U34+U35</f>
        <v/>
      </c>
      <c r="V36" s="190">
        <f>V34+V35</f>
        <v/>
      </c>
      <c r="W36" s="190">
        <f>W34+W35</f>
        <v/>
      </c>
      <c r="X36" s="190">
        <f>X34+X35</f>
        <v/>
      </c>
      <c r="Y36" s="190">
        <f>Y34+Y35</f>
        <v/>
      </c>
      <c r="Z36" s="190">
        <f>Z34+Z35</f>
        <v/>
      </c>
      <c r="AA36" s="190">
        <f>AA34+AA35</f>
        <v/>
      </c>
      <c r="AB36" s="190">
        <f>AB34+AB35</f>
        <v/>
      </c>
      <c r="AC36" s="190">
        <f>AC34+AC35</f>
        <v/>
      </c>
      <c r="AD36" s="190">
        <f>AD34+AD35</f>
        <v/>
      </c>
      <c r="AE36" s="190">
        <f>AE34+AE35</f>
        <v/>
      </c>
      <c r="AF36" s="190">
        <f>AF34+AF35</f>
        <v/>
      </c>
      <c r="AG36" s="190">
        <f>AG34+AG35</f>
        <v/>
      </c>
      <c r="AH36" s="190">
        <f>AH34+AH35</f>
        <v/>
      </c>
      <c r="AI36" s="190">
        <f>AI34+AI35</f>
        <v/>
      </c>
      <c r="AJ36" s="190">
        <f>AJ34+AJ35</f>
        <v/>
      </c>
      <c r="AK36" s="190">
        <f>AK34+AK35</f>
        <v/>
      </c>
      <c r="AL36" s="190">
        <f>AL34+AL35</f>
        <v/>
      </c>
      <c r="AM36" s="190">
        <f>AM34+AM35</f>
        <v/>
      </c>
      <c r="AN36" s="190">
        <f>AN34+AN35</f>
        <v/>
      </c>
      <c r="AO36" s="190">
        <f>AO34+AO35</f>
        <v/>
      </c>
      <c r="AP36" s="190">
        <f>AP34+AP35</f>
        <v/>
      </c>
      <c r="AQ36" s="190">
        <f>AQ34+AQ35</f>
        <v/>
      </c>
      <c r="AR36" s="190">
        <f>AR34+AR35</f>
        <v/>
      </c>
      <c r="AS36" s="190">
        <f>AS34+AS35</f>
        <v/>
      </c>
      <c r="AT36" s="190">
        <f>AT34+AT35</f>
        <v/>
      </c>
      <c r="AU36" s="190">
        <f>AU34+AU35</f>
        <v/>
      </c>
      <c r="AV36" s="190">
        <f>AV34+AV35</f>
        <v/>
      </c>
      <c r="AW36" s="190">
        <f>AW34+AW35</f>
        <v/>
      </c>
      <c r="AX36" s="190">
        <f>AX34+AX35</f>
        <v/>
      </c>
      <c r="AY36" s="190">
        <f>AY34+AY35</f>
        <v/>
      </c>
      <c r="AZ36" s="190">
        <f>AZ34+AZ35</f>
        <v/>
      </c>
      <c r="BA36" s="190">
        <f>BA34+BA35</f>
        <v/>
      </c>
      <c r="BB36" s="190">
        <f>BB34+BB35</f>
        <v/>
      </c>
      <c r="BC36" s="190">
        <f>BC34+BC35</f>
        <v/>
      </c>
      <c r="BD36" s="190">
        <f>BD34+BD35</f>
        <v/>
      </c>
      <c r="BE36" s="190">
        <f>BE34+BE35</f>
        <v/>
      </c>
      <c r="BF36" s="190">
        <f>BF34+BF35</f>
        <v/>
      </c>
      <c r="BG36" s="190">
        <f>BG34+BG35</f>
        <v/>
      </c>
      <c r="BH36" s="190">
        <f>BH34+BH35</f>
        <v/>
      </c>
      <c r="BI36" s="190">
        <f>BI34+BI35</f>
        <v/>
      </c>
      <c r="BJ36" s="190">
        <f>BJ34+BJ35</f>
        <v/>
      </c>
      <c r="BK36" s="190">
        <f>BK34+BK35</f>
        <v/>
      </c>
      <c r="BL36" s="190">
        <f>BL34+BL35</f>
        <v/>
      </c>
      <c r="BM36" s="190">
        <f>BM34+BM35</f>
        <v/>
      </c>
      <c r="BN36" s="190">
        <f>BN34+BN35</f>
        <v/>
      </c>
      <c r="BO36" s="190">
        <f>BO34+BO35</f>
        <v/>
      </c>
      <c r="BP36" s="190">
        <f>BP34+BP35</f>
        <v/>
      </c>
      <c r="BQ36" s="190">
        <f>BQ34+BQ35</f>
        <v/>
      </c>
      <c r="BR36" s="190">
        <f>BR34+BR35</f>
        <v/>
      </c>
      <c r="BS36" s="190">
        <f>BS34+BS35</f>
        <v/>
      </c>
      <c r="BT36" s="190">
        <f>BT34+BT35</f>
        <v/>
      </c>
      <c r="BU36" s="190">
        <f>BU34+BU35</f>
        <v/>
      </c>
      <c r="BV36" s="190">
        <f>BV34+BV35</f>
        <v/>
      </c>
      <c r="BW36" s="190">
        <f>BW34+BW35</f>
        <v/>
      </c>
      <c r="BX36" s="190">
        <f>BX34+BX35</f>
        <v/>
      </c>
      <c r="BY36" s="190">
        <f>BY34+BY35</f>
        <v/>
      </c>
      <c r="BZ36" s="190">
        <f>BZ34+BZ35</f>
        <v/>
      </c>
      <c r="CA36" s="190">
        <f>CA34+CA35</f>
        <v/>
      </c>
      <c r="CB36" s="190">
        <f>CB34+CB35</f>
        <v/>
      </c>
      <c r="CC36" s="190">
        <f>CC34+CC35</f>
        <v/>
      </c>
      <c r="CD36" s="190">
        <f>CD34+CD35</f>
        <v/>
      </c>
      <c r="CE36" s="190">
        <f>CE34+CE35</f>
        <v/>
      </c>
      <c r="CF36" s="190">
        <f>CF34+CF35</f>
        <v/>
      </c>
      <c r="CG36" s="190">
        <f>CG34+CG35</f>
        <v/>
      </c>
      <c r="CH36" s="190">
        <f>CH34+CH35</f>
        <v/>
      </c>
      <c r="CI36" s="190">
        <f>CI34+CI35</f>
        <v/>
      </c>
      <c r="CJ36" s="190">
        <f>CJ34+CJ35</f>
        <v/>
      </c>
      <c r="CK36" s="190">
        <f>CK34+CK35</f>
        <v/>
      </c>
      <c r="CL36" s="190">
        <f>CL34+CL35</f>
        <v/>
      </c>
      <c r="CM36" s="190">
        <f>CM34+CM35</f>
        <v/>
      </c>
      <c r="CN36" s="190">
        <f>CN34+CN35</f>
        <v/>
      </c>
      <c r="CO36" s="190">
        <f>CO34+CO35</f>
        <v/>
      </c>
      <c r="CP36" s="190">
        <f>CP34+CP35</f>
        <v/>
      </c>
      <c r="CQ36" s="190">
        <f>CQ34+CQ35</f>
        <v/>
      </c>
      <c r="CR36" s="190">
        <f>CR34+CR35</f>
        <v/>
      </c>
      <c r="CS36" s="190">
        <f>CS34+CS35</f>
        <v/>
      </c>
      <c r="CT36" s="190">
        <f>CT34+CT35</f>
        <v/>
      </c>
      <c r="CU36" s="190">
        <f>CU34+CU35</f>
        <v/>
      </c>
      <c r="CV36" s="190">
        <f>CV34+CV35</f>
        <v/>
      </c>
      <c r="CW36" s="190">
        <f>CW34+CW35</f>
        <v/>
      </c>
      <c r="CX36" s="190">
        <f>CX34+CX35</f>
        <v/>
      </c>
      <c r="CY36" s="190">
        <f>CY34+CY35</f>
        <v/>
      </c>
      <c r="CZ36" s="190">
        <f>CZ34+CZ35</f>
        <v/>
      </c>
      <c r="DA36" s="190">
        <f>DA34+DA35</f>
        <v/>
      </c>
      <c r="DB36" s="190">
        <f>DB34+DB35</f>
        <v/>
      </c>
      <c r="DC36" s="190">
        <f>DC34+DC35</f>
        <v/>
      </c>
      <c r="DD36" s="190">
        <f>DD34+DD35</f>
        <v/>
      </c>
      <c r="DE36" s="190">
        <f>DE34+DE35</f>
        <v/>
      </c>
      <c r="DF36" s="190">
        <f>DF34+DF35</f>
        <v/>
      </c>
      <c r="DG36" s="190">
        <f>DG34+DG35</f>
        <v/>
      </c>
      <c r="DH36" s="190">
        <f>DH34+DH35</f>
        <v/>
      </c>
      <c r="DI36" s="190">
        <f>DI34+DI35</f>
        <v/>
      </c>
      <c r="DJ36" s="190">
        <f>DJ34+DJ35</f>
        <v/>
      </c>
      <c r="DK36" s="190">
        <f>DK34+DK35</f>
        <v/>
      </c>
      <c r="DL36" s="190">
        <f>DL34+DL35</f>
        <v/>
      </c>
      <c r="DM36" s="190">
        <f>DM34+DM35</f>
        <v/>
      </c>
      <c r="DN36" s="190">
        <f>DN34+DN35</f>
        <v/>
      </c>
      <c r="DO36" s="190">
        <f>DO34+DO35</f>
        <v/>
      </c>
      <c r="DP36" s="190">
        <f>DP34+DP35</f>
        <v/>
      </c>
      <c r="DQ36" s="190">
        <f>DQ34+DQ35</f>
        <v/>
      </c>
      <c r="DR36" s="190">
        <f>DR34+DR35</f>
        <v/>
      </c>
      <c r="DS36" s="190">
        <f>DS34+DS35</f>
        <v/>
      </c>
      <c r="DT36" s="190">
        <f>DT34+DT35</f>
        <v/>
      </c>
      <c r="DU36" s="190">
        <f>DU34+DU35</f>
        <v/>
      </c>
      <c r="DV36" s="190">
        <f>DV34+DV35</f>
        <v/>
      </c>
      <c r="DW36" s="190">
        <f>DW34+DW35</f>
        <v/>
      </c>
      <c r="DX36" s="190">
        <f>DX34+DX35</f>
        <v/>
      </c>
      <c r="DY36" s="190">
        <f>DY34+DY35</f>
        <v/>
      </c>
      <c r="DZ36" s="190">
        <f>DZ34+DZ35</f>
        <v/>
      </c>
      <c r="EA36" s="190">
        <f>EA34+EA35</f>
        <v/>
      </c>
      <c r="EB36" s="190">
        <f>EB34+EB35</f>
        <v/>
      </c>
      <c r="EC36" s="190">
        <f>EC34+EC35</f>
        <v/>
      </c>
      <c r="ED36" s="190">
        <f>ED34+ED35</f>
        <v/>
      </c>
      <c r="EE36" s="190">
        <f>EE34+EE35</f>
        <v/>
      </c>
      <c r="EF36" s="190">
        <f>EF34+EF35</f>
        <v/>
      </c>
      <c r="EG36" s="190">
        <f>EG34+EG35</f>
        <v/>
      </c>
      <c r="EH36" s="190">
        <f>EH34+EH35</f>
        <v/>
      </c>
      <c r="EI36" s="190">
        <f>EI34+EI35</f>
        <v/>
      </c>
      <c r="EJ36" s="190">
        <f>EJ34+EJ35</f>
        <v/>
      </c>
      <c r="EK36" s="190">
        <f>EK34+EK35</f>
        <v/>
      </c>
      <c r="EL36" s="190">
        <f>EL34+EL35</f>
        <v/>
      </c>
      <c r="EM36" s="190">
        <f>EM34+EM35</f>
        <v/>
      </c>
      <c r="EN36" s="190">
        <f>EN34+EN35</f>
        <v/>
      </c>
      <c r="EO36" s="190">
        <f>EO34+EO35</f>
        <v/>
      </c>
      <c r="EP36" s="190">
        <f>EP34+EP35</f>
        <v/>
      </c>
      <c r="EQ36" s="190">
        <f>EQ34+EQ35</f>
        <v/>
      </c>
      <c r="ER36" s="190">
        <f>ER34+ER35</f>
        <v/>
      </c>
      <c r="ES36" s="190">
        <f>ES34+ES35</f>
        <v/>
      </c>
      <c r="ET36" s="190">
        <f>ET34+ET35</f>
        <v/>
      </c>
      <c r="EU36" s="190">
        <f>EU34+EU35</f>
        <v/>
      </c>
      <c r="EV36" s="190">
        <f>EV34+EV35</f>
        <v/>
      </c>
      <c r="EW36" s="190">
        <f>EW34+EW35</f>
        <v/>
      </c>
      <c r="EX36" s="190">
        <f>EX34+EX35</f>
        <v/>
      </c>
      <c r="EY36" s="190">
        <f>EY34+EY35</f>
        <v/>
      </c>
      <c r="EZ36" s="190">
        <f>EZ34+EZ35</f>
        <v/>
      </c>
      <c r="FA36" s="190">
        <f>FA34+FA35</f>
        <v/>
      </c>
      <c r="FB36" s="190">
        <f>FB34+FB35</f>
        <v/>
      </c>
      <c r="FC36" s="190">
        <f>FC34+FC35</f>
        <v/>
      </c>
      <c r="FD36" s="190">
        <f>FD34+FD35</f>
        <v/>
      </c>
      <c r="FE36" s="190">
        <f>FE34+FE35</f>
        <v/>
      </c>
      <c r="FF36" s="190">
        <f>FF34+FF35</f>
        <v/>
      </c>
      <c r="FG36" s="190">
        <f>FG34+FG35</f>
        <v/>
      </c>
      <c r="FH36" s="190">
        <f>FH34+FH35</f>
        <v/>
      </c>
      <c r="FI36" s="190">
        <f>FI34+FI35</f>
        <v/>
      </c>
      <c r="FJ36" s="190">
        <f>FJ34+FJ35</f>
        <v/>
      </c>
      <c r="FK36" s="190">
        <f>FK34+FK35</f>
        <v/>
      </c>
      <c r="FL36" s="190">
        <f>FL34+FL35</f>
        <v/>
      </c>
      <c r="FM36" s="190">
        <f>FM34+FM35</f>
        <v/>
      </c>
      <c r="FN36" s="190">
        <f>FN34+FN35</f>
        <v/>
      </c>
      <c r="FO36" s="190">
        <f>FO34+FO35</f>
        <v/>
      </c>
      <c r="FP36" s="190">
        <f>FP34+FP35</f>
        <v/>
      </c>
      <c r="FQ36" s="190">
        <f>FQ34+FQ35</f>
        <v/>
      </c>
      <c r="FR36" s="190">
        <f>FR34+FR35</f>
        <v/>
      </c>
      <c r="FS36" s="190">
        <f>FS34+FS35</f>
        <v/>
      </c>
      <c r="FT36" s="190">
        <f>FT34+FT35</f>
        <v/>
      </c>
      <c r="FU36" s="190">
        <f>FU34+FU35</f>
        <v/>
      </c>
      <c r="FV36" s="190">
        <f>FV34+FV35</f>
        <v/>
      </c>
      <c r="FW36" s="190">
        <f>FW34+FW35</f>
        <v/>
      </c>
      <c r="FX36" s="190">
        <f>FX34+FX35</f>
        <v/>
      </c>
      <c r="FY36" s="190">
        <f>FY34+FY35</f>
        <v/>
      </c>
      <c r="FZ36" s="190">
        <f>FZ34+FZ35</f>
        <v/>
      </c>
      <c r="GA36" s="190">
        <f>GA34+GA35</f>
        <v/>
      </c>
      <c r="GB36" s="190">
        <f>GB34+GB35</f>
        <v/>
      </c>
      <c r="GC36" s="190">
        <f>GC34+GC35</f>
        <v/>
      </c>
      <c r="GD36" s="190">
        <f>GD34+GD35</f>
        <v/>
      </c>
      <c r="GE36" s="190">
        <f>GE34+GE35</f>
        <v/>
      </c>
      <c r="GF36" s="190">
        <f>GF34+GF35</f>
        <v/>
      </c>
      <c r="GG36" s="190">
        <f>GG34+GG35</f>
        <v/>
      </c>
      <c r="GH36" s="190">
        <f>GH34+GH35</f>
        <v/>
      </c>
      <c r="GI36" s="190">
        <f>GI34+GI35</f>
        <v/>
      </c>
      <c r="GJ36" s="190">
        <f>GJ34+GJ35</f>
        <v/>
      </c>
      <c r="GK36" s="190">
        <f>GK34+GK35</f>
        <v/>
      </c>
      <c r="GL36" s="190">
        <f>GL34+GL35</f>
        <v/>
      </c>
      <c r="GM36" s="190">
        <f>GM34+GM35</f>
        <v/>
      </c>
      <c r="GN36" s="190">
        <f>GN34+GN35</f>
        <v/>
      </c>
      <c r="GO36" s="190">
        <f>GO34+GO35</f>
        <v/>
      </c>
      <c r="GP36" s="190">
        <f>GP34+GP35</f>
        <v/>
      </c>
      <c r="GQ36" s="190">
        <f>GQ34+GQ35</f>
        <v/>
      </c>
      <c r="GR36" s="190">
        <f>GR34+GR35</f>
        <v/>
      </c>
      <c r="GS36" s="190">
        <f>GS34+GS35</f>
        <v/>
      </c>
      <c r="GT36" s="190">
        <f>GT34+GT35</f>
        <v/>
      </c>
      <c r="GU36" s="190">
        <f>GU34+GU35</f>
        <v/>
      </c>
      <c r="GV36" s="190">
        <f>GV34+GV35</f>
        <v/>
      </c>
      <c r="GW36" s="190">
        <f>GW34+GW35</f>
        <v/>
      </c>
      <c r="GX36" s="190">
        <f>GX34+GX35</f>
        <v/>
      </c>
      <c r="GY36" s="190">
        <f>GY34+GY35</f>
        <v/>
      </c>
      <c r="GZ36" s="190">
        <f>GZ34+GZ35</f>
        <v/>
      </c>
      <c r="HA36" s="190">
        <f>HA34+HA35</f>
        <v/>
      </c>
      <c r="HB36" s="190">
        <f>HB34+HB35</f>
        <v/>
      </c>
      <c r="HC36" s="190">
        <f>HC34+HC35</f>
        <v/>
      </c>
      <c r="HD36" s="190">
        <f>HD34+HD35</f>
        <v/>
      </c>
      <c r="HE36" s="190">
        <f>HE34+HE35</f>
        <v/>
      </c>
      <c r="HF36" s="190">
        <f>HF34+HF35</f>
        <v/>
      </c>
      <c r="HG36" s="190">
        <f>HG34+HG35</f>
        <v/>
      </c>
      <c r="HH36" s="190">
        <f>HH34+HH35</f>
        <v/>
      </c>
      <c r="HI36" s="190">
        <f>HI34+HI35</f>
        <v/>
      </c>
      <c r="HJ36" s="190">
        <f>HJ34+HJ35</f>
        <v/>
      </c>
      <c r="HK36" s="190">
        <f>HK34+HK35</f>
        <v/>
      </c>
      <c r="HL36" s="190">
        <f>HL34+HL35</f>
        <v/>
      </c>
      <c r="HM36" s="190">
        <f>HM34+HM35</f>
        <v/>
      </c>
      <c r="HN36" s="190">
        <f>HN34+HN35</f>
        <v/>
      </c>
      <c r="HO36" s="190">
        <f>HO34+HO35</f>
        <v/>
      </c>
      <c r="HP36" s="190">
        <f>HP34+HP35</f>
        <v/>
      </c>
      <c r="HQ36" s="190">
        <f>HQ34+HQ35</f>
        <v/>
      </c>
      <c r="HR36" s="190">
        <f>HR34+HR35</f>
        <v/>
      </c>
      <c r="HS36" s="190">
        <f>HS34+HS35</f>
        <v/>
      </c>
      <c r="HT36" s="190">
        <f>HT34+HT35</f>
        <v/>
      </c>
      <c r="HU36" s="190">
        <f>HU34+HU35</f>
        <v/>
      </c>
      <c r="HV36" s="190">
        <f>HV34+HV35</f>
        <v/>
      </c>
      <c r="HW36" s="190">
        <f>HW34+HW35</f>
        <v/>
      </c>
      <c r="HX36" s="190">
        <f>HX34+HX35</f>
        <v/>
      </c>
      <c r="HY36" s="190">
        <f>HY34+HY35</f>
        <v/>
      </c>
      <c r="HZ36" s="190">
        <f>HZ34+HZ35</f>
        <v/>
      </c>
      <c r="IA36" s="190">
        <f>IA34+IA35</f>
        <v/>
      </c>
      <c r="IB36" s="190">
        <f>IB34+IB35</f>
        <v/>
      </c>
      <c r="IC36" s="190">
        <f>IC34+IC35</f>
        <v/>
      </c>
      <c r="ID36" s="190">
        <f>ID34+ID35</f>
        <v/>
      </c>
      <c r="IE36" s="190">
        <f>IE34+IE35</f>
        <v/>
      </c>
      <c r="IF36" s="190">
        <f>IF34+IF35</f>
        <v/>
      </c>
      <c r="IG36" s="190">
        <f>IG34+IG35</f>
        <v/>
      </c>
      <c r="IH36" s="190">
        <f>IH34+IH35</f>
        <v/>
      </c>
      <c r="II36" s="190">
        <f>II34+II35</f>
        <v/>
      </c>
      <c r="IJ36" s="190">
        <f>IJ34+IJ35</f>
        <v/>
      </c>
      <c r="IK36" s="190">
        <f>IK34+IK35</f>
        <v/>
      </c>
      <c r="IL36" s="190">
        <f>IL34+IL35</f>
        <v/>
      </c>
      <c r="IM36" s="190">
        <f>IM34+IM35</f>
        <v/>
      </c>
      <c r="IN36" s="190">
        <f>IN34+IN35</f>
        <v/>
      </c>
      <c r="IO36" s="190">
        <f>IO34+IO35</f>
        <v/>
      </c>
      <c r="IP36" s="190">
        <f>IP34+IP35</f>
        <v/>
      </c>
      <c r="IQ36" s="190">
        <f>IQ34+IQ35</f>
        <v/>
      </c>
      <c r="IR36" s="190">
        <f>IR34+IR35</f>
        <v/>
      </c>
      <c r="IS36" s="190">
        <f>IS34+IS35</f>
        <v/>
      </c>
      <c r="IT36" s="190">
        <f>IT34+IT35</f>
        <v/>
      </c>
      <c r="IU36" s="190">
        <f>IU34+IU35</f>
        <v/>
      </c>
      <c r="IV36" s="190">
        <f>IV34+IV35</f>
        <v/>
      </c>
      <c r="IW36" s="190">
        <f>IW34+IW35</f>
        <v/>
      </c>
      <c r="IX36" s="190">
        <f>IX34+IX35</f>
        <v/>
      </c>
      <c r="IY36" s="190">
        <f>IY34+IY35</f>
        <v/>
      </c>
      <c r="IZ36" s="190">
        <f>IZ34+IZ35</f>
        <v/>
      </c>
      <c r="JA36" s="190">
        <f>JA34+JA35</f>
        <v/>
      </c>
      <c r="JB36" s="190">
        <f>JB34+JB35</f>
        <v/>
      </c>
      <c r="JC36" s="190">
        <f>JC34+JC35</f>
        <v/>
      </c>
      <c r="JD36" s="190">
        <f>JD34+JD35</f>
        <v/>
      </c>
      <c r="JE36" s="190">
        <f>JE34+JE35</f>
        <v/>
      </c>
      <c r="JF36" s="190">
        <f>JF34+JF35</f>
        <v/>
      </c>
      <c r="JG36" s="190">
        <f>JG34+JG35</f>
        <v/>
      </c>
      <c r="JH36" s="190">
        <f>JH34+JH35</f>
        <v/>
      </c>
      <c r="JI36" s="190">
        <f>JI34+JI35</f>
        <v/>
      </c>
      <c r="JJ36" s="190">
        <f>JJ34+JJ35</f>
        <v/>
      </c>
      <c r="JK36" s="190">
        <f>JK34+JK35</f>
        <v/>
      </c>
      <c r="JL36" s="190">
        <f>JL34+JL35</f>
        <v/>
      </c>
      <c r="JM36" s="190">
        <f>JM34+JM35</f>
        <v/>
      </c>
      <c r="JN36" s="190">
        <f>JN34+JN35</f>
        <v/>
      </c>
      <c r="JO36" s="190">
        <f>JO34+JO35</f>
        <v/>
      </c>
      <c r="JP36" s="190">
        <f>JP34+JP35</f>
        <v/>
      </c>
      <c r="JQ36" s="190">
        <f>JQ34+JQ35</f>
        <v/>
      </c>
      <c r="JR36" s="190">
        <f>JR34+JR35</f>
        <v/>
      </c>
      <c r="JS36" s="190">
        <f>JS34+JS35</f>
        <v/>
      </c>
      <c r="JT36" s="190">
        <f>JT34+JT35</f>
        <v/>
      </c>
      <c r="JU36" s="190">
        <f>JU34+JU35</f>
        <v/>
      </c>
      <c r="JV36" s="190">
        <f>JV34+JV35</f>
        <v/>
      </c>
      <c r="JW36" s="190">
        <f>JW34+JW35</f>
        <v/>
      </c>
      <c r="JX36" s="190">
        <f>JX34+JX35</f>
        <v/>
      </c>
      <c r="JY36" s="190">
        <f>JY34+JY35</f>
        <v/>
      </c>
      <c r="JZ36" s="190">
        <f>JZ34+JZ35</f>
        <v/>
      </c>
      <c r="KA36" s="190">
        <f>KA34+KA35</f>
        <v/>
      </c>
      <c r="KB36" s="190">
        <f>KB34+KB35</f>
        <v/>
      </c>
      <c r="KC36" s="190">
        <f>KC34+KC35</f>
        <v/>
      </c>
      <c r="KD36" s="190">
        <f>KD34+KD35</f>
        <v/>
      </c>
      <c r="KE36" s="190">
        <f>KE34+KE35</f>
        <v/>
      </c>
      <c r="KF36" s="190">
        <f>KF34+KF35</f>
        <v/>
      </c>
      <c r="KG36" s="190">
        <f>KG34+KG35</f>
        <v/>
      </c>
      <c r="KH36" s="190">
        <f>KH34+KH35</f>
        <v/>
      </c>
      <c r="KI36" s="190">
        <f>KI34+KI35</f>
        <v/>
      </c>
      <c r="KJ36" s="190">
        <f>KJ34+KJ35</f>
        <v/>
      </c>
      <c r="KK36" s="190">
        <f>KK34+KK35</f>
        <v/>
      </c>
      <c r="KL36" s="190">
        <f>KL34+KL35</f>
        <v/>
      </c>
      <c r="KM36" s="190">
        <f>KM34+KM35</f>
        <v/>
      </c>
      <c r="KN36" s="190">
        <f>KN34+KN35</f>
        <v/>
      </c>
      <c r="KO36" s="190">
        <f>KO34+KO35</f>
        <v/>
      </c>
      <c r="KP36" s="190">
        <f>KP34+KP35</f>
        <v/>
      </c>
    </row>
    <row r="37" ht="16" customHeight="1" s="133">
      <c r="A37" s="177" t="inlineStr">
        <is>
          <t>Discount Factor</t>
        </is>
      </c>
      <c r="B37" s="178" t="inlineStr">
        <is>
          <t>-</t>
        </is>
      </c>
      <c r="C37" s="184">
        <f>1/(1+WACC!$E$34)^1</f>
        <v/>
      </c>
      <c r="D37" s="184">
        <f>1/(1+WACC!$E$34)^2</f>
        <v/>
      </c>
      <c r="E37" s="184">
        <f>1/(1+WACC!$E$34)^3</f>
        <v/>
      </c>
      <c r="F37" s="184">
        <f>1/(1+WACC!$E$34)^4</f>
        <v/>
      </c>
      <c r="G37" s="184">
        <f>1/(1+WACC!$E$34)^5</f>
        <v/>
      </c>
      <c r="H37" s="184">
        <f>1/(1+WACC!$E$34)^6</f>
        <v/>
      </c>
      <c r="I37" s="184">
        <f>1/(1+WACC!$E$34)^7</f>
        <v/>
      </c>
      <c r="J37" s="184">
        <f>1/(1+WACC!$E$34)^8</f>
        <v/>
      </c>
      <c r="K37" s="184">
        <f>1/(1+WACC!$E$34)^9</f>
        <v/>
      </c>
      <c r="L37" s="184">
        <f>1/(1+WACC!$E$34)^10</f>
        <v/>
      </c>
      <c r="M37" s="184">
        <f>1/(1+WACC!$E$34)^11</f>
        <v/>
      </c>
      <c r="N37" s="184">
        <f>1/(1+WACC!$E$34)^12</f>
        <v/>
      </c>
      <c r="O37" s="184">
        <f>1/(1+WACC!$E$34)^13</f>
        <v/>
      </c>
      <c r="P37" s="184">
        <f>1/(1+WACC!$E$34)^14</f>
        <v/>
      </c>
      <c r="Q37" s="184">
        <f>1/(1+WACC!$E$34)^15</f>
        <v/>
      </c>
      <c r="R37" s="184">
        <f>1/(1+WACC!$E$34)^16</f>
        <v/>
      </c>
      <c r="S37" s="184">
        <f>1/(1+WACC!$E$34)^17</f>
        <v/>
      </c>
      <c r="T37" s="184">
        <f>1/(1+WACC!$E$34)^18</f>
        <v/>
      </c>
      <c r="U37" s="184">
        <f>1/(1+WACC!$E$34)^19</f>
        <v/>
      </c>
      <c r="V37" s="184">
        <f>1/(1+WACC!$E$34)^20</f>
        <v/>
      </c>
      <c r="W37" s="184">
        <f>1/(1+WACC!$E$34)^21</f>
        <v/>
      </c>
      <c r="X37" s="184">
        <f>1/(1+WACC!$E$34)^22</f>
        <v/>
      </c>
      <c r="Y37" s="184">
        <f>1/(1+WACC!$E$34)^23</f>
        <v/>
      </c>
      <c r="Z37" s="184">
        <f>1/(1+WACC!$E$34)^24</f>
        <v/>
      </c>
      <c r="AA37" s="184">
        <f>1/(1+WACC!$E$34)^25</f>
        <v/>
      </c>
      <c r="AB37" s="184">
        <f>1/(1+WACC!$E$34)^26</f>
        <v/>
      </c>
      <c r="AC37" s="184">
        <f>1/(1+WACC!$E$34)^27</f>
        <v/>
      </c>
      <c r="AD37" s="184">
        <f>1/(1+WACC!$E$34)^28</f>
        <v/>
      </c>
      <c r="AE37" s="184">
        <f>1/(1+WACC!$E$34)^29</f>
        <v/>
      </c>
      <c r="AF37" s="184">
        <f>1/(1+WACC!$E$34)^30</f>
        <v/>
      </c>
      <c r="AG37" s="184">
        <f>1/(1+WACC!$E$34)^31</f>
        <v/>
      </c>
      <c r="AH37" s="184">
        <f>1/(1+WACC!$E$34)^32</f>
        <v/>
      </c>
      <c r="AI37" s="184">
        <f>1/(1+WACC!$E$34)^33</f>
        <v/>
      </c>
      <c r="AJ37" s="184">
        <f>1/(1+WACC!$E$34)^34</f>
        <v/>
      </c>
      <c r="AK37" s="184">
        <f>1/(1+WACC!$E$34)^35</f>
        <v/>
      </c>
      <c r="AL37" s="184">
        <f>1/(1+WACC!$E$34)^36</f>
        <v/>
      </c>
      <c r="AM37" s="184">
        <f>1/(1+WACC!$E$34)^37</f>
        <v/>
      </c>
      <c r="AN37" s="184">
        <f>1/(1+WACC!$E$34)^38</f>
        <v/>
      </c>
      <c r="AO37" s="184">
        <f>1/(1+WACC!$E$34)^39</f>
        <v/>
      </c>
      <c r="AP37" s="184">
        <f>1/(1+WACC!$E$34)^40</f>
        <v/>
      </c>
      <c r="AQ37" s="184">
        <f>1/(1+WACC!$E$34)^41</f>
        <v/>
      </c>
      <c r="AR37" s="184">
        <f>1/(1+WACC!$E$34)^42</f>
        <v/>
      </c>
      <c r="AS37" s="184">
        <f>1/(1+WACC!$E$34)^43</f>
        <v/>
      </c>
      <c r="AT37" s="184">
        <f>1/(1+WACC!$E$34)^44</f>
        <v/>
      </c>
      <c r="AU37" s="184">
        <f>1/(1+WACC!$E$34)^45</f>
        <v/>
      </c>
      <c r="AV37" s="184">
        <f>1/(1+WACC!$E$34)^46</f>
        <v/>
      </c>
      <c r="AW37" s="184">
        <f>1/(1+WACC!$E$34)^47</f>
        <v/>
      </c>
      <c r="AX37" s="184">
        <f>1/(1+WACC!$E$34)^48</f>
        <v/>
      </c>
      <c r="AY37" s="184">
        <f>1/(1+WACC!$E$34)^49</f>
        <v/>
      </c>
      <c r="AZ37" s="184">
        <f>1/(1+WACC!$E$34)^50</f>
        <v/>
      </c>
      <c r="BA37" s="184">
        <f>1/(1+WACC!$E$34)^51</f>
        <v/>
      </c>
      <c r="BB37" s="184">
        <f>1/(1+WACC!$E$34)^52</f>
        <v/>
      </c>
      <c r="BC37" s="184">
        <f>1/(1+WACC!$E$34)^53</f>
        <v/>
      </c>
      <c r="BD37" s="184">
        <f>1/(1+WACC!$E$34)^54</f>
        <v/>
      </c>
      <c r="BE37" s="184">
        <f>1/(1+WACC!$E$34)^55</f>
        <v/>
      </c>
      <c r="BF37" s="184">
        <f>1/(1+WACC!$E$34)^56</f>
        <v/>
      </c>
      <c r="BG37" s="184">
        <f>1/(1+WACC!$E$34)^57</f>
        <v/>
      </c>
      <c r="BH37" s="184">
        <f>1/(1+WACC!$E$34)^58</f>
        <v/>
      </c>
      <c r="BI37" s="184">
        <f>1/(1+WACC!$E$34)^59</f>
        <v/>
      </c>
      <c r="BJ37" s="184">
        <f>1/(1+WACC!$E$34)^60</f>
        <v/>
      </c>
      <c r="BK37" s="184">
        <f>1/(1+WACC!$E$34)^61</f>
        <v/>
      </c>
      <c r="BL37" s="184">
        <f>1/(1+WACC!$E$34)^62</f>
        <v/>
      </c>
      <c r="BM37" s="184">
        <f>1/(1+WACC!$E$34)^63</f>
        <v/>
      </c>
      <c r="BN37" s="184">
        <f>1/(1+WACC!$E$34)^64</f>
        <v/>
      </c>
      <c r="BO37" s="184">
        <f>1/(1+WACC!$E$34)^65</f>
        <v/>
      </c>
      <c r="BP37" s="184">
        <f>1/(1+WACC!$E$34)^66</f>
        <v/>
      </c>
      <c r="BQ37" s="184">
        <f>1/(1+WACC!$E$34)^67</f>
        <v/>
      </c>
      <c r="BR37" s="184">
        <f>1/(1+WACC!$E$34)^68</f>
        <v/>
      </c>
      <c r="BS37" s="184">
        <f>1/(1+WACC!$E$34)^69</f>
        <v/>
      </c>
      <c r="BT37" s="184">
        <f>1/(1+WACC!$E$34)^70</f>
        <v/>
      </c>
      <c r="BU37" s="184">
        <f>1/(1+WACC!$E$34)^71</f>
        <v/>
      </c>
      <c r="BV37" s="184">
        <f>1/(1+WACC!$E$34)^72</f>
        <v/>
      </c>
      <c r="BW37" s="184">
        <f>1/(1+WACC!$E$34)^73</f>
        <v/>
      </c>
      <c r="BX37" s="184">
        <f>1/(1+WACC!$E$34)^74</f>
        <v/>
      </c>
      <c r="BY37" s="184">
        <f>1/(1+WACC!$E$34)^75</f>
        <v/>
      </c>
      <c r="BZ37" s="184">
        <f>1/(1+WACC!$E$34)^76</f>
        <v/>
      </c>
      <c r="CA37" s="184">
        <f>1/(1+WACC!$E$34)^77</f>
        <v/>
      </c>
      <c r="CB37" s="184">
        <f>1/(1+WACC!$E$34)^78</f>
        <v/>
      </c>
      <c r="CC37" s="184">
        <f>1/(1+WACC!$E$34)^79</f>
        <v/>
      </c>
      <c r="CD37" s="184">
        <f>1/(1+WACC!$E$34)^80</f>
        <v/>
      </c>
      <c r="CE37" s="184">
        <f>1/(1+WACC!$E$34)^81</f>
        <v/>
      </c>
      <c r="CF37" s="184">
        <f>1/(1+WACC!$E$34)^82</f>
        <v/>
      </c>
      <c r="CG37" s="184">
        <f>1/(1+WACC!$E$34)^83</f>
        <v/>
      </c>
      <c r="CH37" s="184">
        <f>1/(1+WACC!$E$34)^84</f>
        <v/>
      </c>
      <c r="CI37" s="184">
        <f>1/(1+WACC!$E$34)^85</f>
        <v/>
      </c>
      <c r="CJ37" s="184">
        <f>1/(1+WACC!$E$34)^86</f>
        <v/>
      </c>
      <c r="CK37" s="184">
        <f>1/(1+WACC!$E$34)^87</f>
        <v/>
      </c>
      <c r="CL37" s="184">
        <f>1/(1+WACC!$E$34)^88</f>
        <v/>
      </c>
      <c r="CM37" s="184">
        <f>1/(1+WACC!$E$34)^89</f>
        <v/>
      </c>
      <c r="CN37" s="184">
        <f>1/(1+WACC!$E$34)^90</f>
        <v/>
      </c>
      <c r="CO37" s="184">
        <f>1/(1+WACC!$E$34)^91</f>
        <v/>
      </c>
      <c r="CP37" s="184">
        <f>1/(1+WACC!$E$34)^92</f>
        <v/>
      </c>
      <c r="CQ37" s="184">
        <f>1/(1+WACC!$E$34)^93</f>
        <v/>
      </c>
      <c r="CR37" s="184">
        <f>1/(1+WACC!$E$34)^94</f>
        <v/>
      </c>
      <c r="CS37" s="184">
        <f>1/(1+WACC!$E$34)^95</f>
        <v/>
      </c>
      <c r="CT37" s="184">
        <f>1/(1+WACC!$E$34)^96</f>
        <v/>
      </c>
      <c r="CU37" s="184">
        <f>1/(1+WACC!$E$34)^97</f>
        <v/>
      </c>
      <c r="CV37" s="184">
        <f>1/(1+WACC!$E$34)^98</f>
        <v/>
      </c>
      <c r="CW37" s="184">
        <f>1/(1+WACC!$E$34)^99</f>
        <v/>
      </c>
      <c r="CX37" s="184">
        <f>1/(1+WACC!$E$34)^100</f>
        <v/>
      </c>
      <c r="CY37" s="184">
        <f>1/(1+WACC!$E$34)^101</f>
        <v/>
      </c>
      <c r="CZ37" s="184">
        <f>1/(1+WACC!$E$34)^102</f>
        <v/>
      </c>
      <c r="DA37" s="184">
        <f>1/(1+WACC!$E$34)^103</f>
        <v/>
      </c>
      <c r="DB37" s="184">
        <f>1/(1+WACC!$E$34)^104</f>
        <v/>
      </c>
      <c r="DC37" s="184">
        <f>1/(1+WACC!$E$34)^105</f>
        <v/>
      </c>
      <c r="DD37" s="184">
        <f>1/(1+WACC!$E$34)^106</f>
        <v/>
      </c>
      <c r="DE37" s="184">
        <f>1/(1+WACC!$E$34)^107</f>
        <v/>
      </c>
      <c r="DF37" s="184">
        <f>1/(1+WACC!$E$34)^108</f>
        <v/>
      </c>
      <c r="DG37" s="184">
        <f>1/(1+WACC!$E$34)^109</f>
        <v/>
      </c>
      <c r="DH37" s="184">
        <f>1/(1+WACC!$E$34)^110</f>
        <v/>
      </c>
      <c r="DI37" s="184">
        <f>1/(1+WACC!$E$34)^111</f>
        <v/>
      </c>
      <c r="DJ37" s="184">
        <f>1/(1+WACC!$E$34)^112</f>
        <v/>
      </c>
      <c r="DK37" s="184">
        <f>1/(1+WACC!$E$34)^113</f>
        <v/>
      </c>
      <c r="DL37" s="184">
        <f>1/(1+WACC!$E$34)^114</f>
        <v/>
      </c>
      <c r="DM37" s="184">
        <f>1/(1+WACC!$E$34)^115</f>
        <v/>
      </c>
      <c r="DN37" s="184">
        <f>1/(1+WACC!$E$34)^116</f>
        <v/>
      </c>
      <c r="DO37" s="184">
        <f>1/(1+WACC!$E$34)^117</f>
        <v/>
      </c>
      <c r="DP37" s="184">
        <f>1/(1+WACC!$E$34)^118</f>
        <v/>
      </c>
      <c r="DQ37" s="184">
        <f>1/(1+WACC!$E$34)^119</f>
        <v/>
      </c>
      <c r="DR37" s="184">
        <f>1/(1+WACC!$E$34)^120</f>
        <v/>
      </c>
      <c r="DS37" s="184">
        <f>(1/(1+WACC!$E$34)^120)*(1/(1+WACC!$E$35)^1)</f>
        <v/>
      </c>
      <c r="DT37" s="184">
        <f>(1/(1+WACC!$E$34)^120)*(1/(1+WACC!$E$35)^2)</f>
        <v/>
      </c>
      <c r="DU37" s="184">
        <f>(1/(1+WACC!$E$34)^120)*(1/(1+WACC!$E$35)^3)</f>
        <v/>
      </c>
      <c r="DV37" s="184">
        <f>(1/(1+WACC!$E$34)^120)*(1/(1+WACC!$E$35)^4)</f>
        <v/>
      </c>
      <c r="DW37" s="184">
        <f>(1/(1+WACC!$E$34)^120)*(1/(1+WACC!$E$35)^5)</f>
        <v/>
      </c>
      <c r="DX37" s="184">
        <f>(1/(1+WACC!$E$34)^120)*(1/(1+WACC!$E$35)^6)</f>
        <v/>
      </c>
      <c r="DY37" s="184">
        <f>(1/(1+WACC!$E$34)^120)*(1/(1+WACC!$E$35)^7)</f>
        <v/>
      </c>
      <c r="DZ37" s="184">
        <f>(1/(1+WACC!$E$34)^120)*(1/(1+WACC!$E$35)^8)</f>
        <v/>
      </c>
      <c r="EA37" s="184">
        <f>(1/(1+WACC!$E$34)^120)*(1/(1+WACC!$E$35)^9)</f>
        <v/>
      </c>
      <c r="EB37" s="184">
        <f>(1/(1+WACC!$E$34)^120)*(1/(1+WACC!$E$35)^10)</f>
        <v/>
      </c>
      <c r="EC37" s="184">
        <f>(1/(1+WACC!$E$34)^120)*(1/(1+WACC!$E$35)^11)</f>
        <v/>
      </c>
      <c r="ED37" s="184">
        <f>(1/(1+WACC!$E$34)^120)*(1/(1+WACC!$E$35)^12)</f>
        <v/>
      </c>
      <c r="EE37" s="184">
        <f>(1/(1+WACC!$E$34)^120)*(1/(1+WACC!$E$35)^13)</f>
        <v/>
      </c>
      <c r="EF37" s="184">
        <f>(1/(1+WACC!$E$34)^120)*(1/(1+WACC!$E$35)^14)</f>
        <v/>
      </c>
      <c r="EG37" s="184">
        <f>(1/(1+WACC!$E$34)^120)*(1/(1+WACC!$E$35)^15)</f>
        <v/>
      </c>
      <c r="EH37" s="184">
        <f>(1/(1+WACC!$E$34)^120)*(1/(1+WACC!$E$35)^16)</f>
        <v/>
      </c>
      <c r="EI37" s="184">
        <f>(1/(1+WACC!$E$34)^120)*(1/(1+WACC!$E$35)^17)</f>
        <v/>
      </c>
      <c r="EJ37" s="184">
        <f>(1/(1+WACC!$E$34)^120)*(1/(1+WACC!$E$35)^18)</f>
        <v/>
      </c>
      <c r="EK37" s="184">
        <f>(1/(1+WACC!$E$34)^120)*(1/(1+WACC!$E$35)^19)</f>
        <v/>
      </c>
      <c r="EL37" s="184">
        <f>(1/(1+WACC!$E$34)^120)*(1/(1+WACC!$E$35)^20)</f>
        <v/>
      </c>
      <c r="EM37" s="184">
        <f>(1/(1+WACC!$E$34)^120)*(1/(1+WACC!$E$35)^21)</f>
        <v/>
      </c>
      <c r="EN37" s="184">
        <f>(1/(1+WACC!$E$34)^120)*(1/(1+WACC!$E$35)^22)</f>
        <v/>
      </c>
      <c r="EO37" s="184">
        <f>(1/(1+WACC!$E$34)^120)*(1/(1+WACC!$E$35)^23)</f>
        <v/>
      </c>
      <c r="EP37" s="184">
        <f>(1/(1+WACC!$E$34)^120)*(1/(1+WACC!$E$35)^24)</f>
        <v/>
      </c>
      <c r="EQ37" s="184">
        <f>(1/(1+WACC!$E$34)^120)*(1/(1+WACC!$E$35)^25)</f>
        <v/>
      </c>
      <c r="ER37" s="184">
        <f>(1/(1+WACC!$E$34)^120)*(1/(1+WACC!$E$35)^26)</f>
        <v/>
      </c>
      <c r="ES37" s="184">
        <f>(1/(1+WACC!$E$34)^120)*(1/(1+WACC!$E$35)^27)</f>
        <v/>
      </c>
      <c r="ET37" s="184">
        <f>(1/(1+WACC!$E$34)^120)*(1/(1+WACC!$E$35)^28)</f>
        <v/>
      </c>
      <c r="EU37" s="184">
        <f>(1/(1+WACC!$E$34)^120)*(1/(1+WACC!$E$35)^29)</f>
        <v/>
      </c>
      <c r="EV37" s="184">
        <f>(1/(1+WACC!$E$34)^120)*(1/(1+WACC!$E$35)^30)</f>
        <v/>
      </c>
      <c r="EW37" s="184">
        <f>(1/(1+WACC!$E$34)^120)*(1/(1+WACC!$E$35)^31)</f>
        <v/>
      </c>
      <c r="EX37" s="184">
        <f>(1/(1+WACC!$E$34)^120)*(1/(1+WACC!$E$35)^32)</f>
        <v/>
      </c>
      <c r="EY37" s="184">
        <f>(1/(1+WACC!$E$34)^120)*(1/(1+WACC!$E$35)^33)</f>
        <v/>
      </c>
      <c r="EZ37" s="184">
        <f>(1/(1+WACC!$E$34)^120)*(1/(1+WACC!$E$35)^34)</f>
        <v/>
      </c>
      <c r="FA37" s="184">
        <f>(1/(1+WACC!$E$34)^120)*(1/(1+WACC!$E$35)^35)</f>
        <v/>
      </c>
      <c r="FB37" s="184">
        <f>(1/(1+WACC!$E$34)^120)*(1/(1+WACC!$E$35)^36)</f>
        <v/>
      </c>
      <c r="FC37" s="184">
        <f>(1/(1+WACC!$E$34)^120)*(1/(1+WACC!$E$35)^37)</f>
        <v/>
      </c>
      <c r="FD37" s="184">
        <f>(1/(1+WACC!$E$34)^120)*(1/(1+WACC!$E$35)^38)</f>
        <v/>
      </c>
      <c r="FE37" s="184">
        <f>(1/(1+WACC!$E$34)^120)*(1/(1+WACC!$E$35)^39)</f>
        <v/>
      </c>
      <c r="FF37" s="184">
        <f>(1/(1+WACC!$E$34)^120)*(1/(1+WACC!$E$35)^40)</f>
        <v/>
      </c>
      <c r="FG37" s="184">
        <f>(1/(1+WACC!$E$34)^120)*(1/(1+WACC!$E$35)^41)</f>
        <v/>
      </c>
      <c r="FH37" s="184">
        <f>(1/(1+WACC!$E$34)^120)*(1/(1+WACC!$E$35)^42)</f>
        <v/>
      </c>
      <c r="FI37" s="184">
        <f>(1/(1+WACC!$E$34)^120)*(1/(1+WACC!$E$35)^43)</f>
        <v/>
      </c>
      <c r="FJ37" s="184">
        <f>(1/(1+WACC!$E$34)^120)*(1/(1+WACC!$E$35)^44)</f>
        <v/>
      </c>
      <c r="FK37" s="184">
        <f>(1/(1+WACC!$E$34)^120)*(1/(1+WACC!$E$35)^45)</f>
        <v/>
      </c>
      <c r="FL37" s="184">
        <f>(1/(1+WACC!$E$34)^120)*(1/(1+WACC!$E$35)^46)</f>
        <v/>
      </c>
      <c r="FM37" s="184">
        <f>(1/(1+WACC!$E$34)^120)*(1/(1+WACC!$E$35)^47)</f>
        <v/>
      </c>
      <c r="FN37" s="184">
        <f>(1/(1+WACC!$E$34)^120)*(1/(1+WACC!$E$35)^48)</f>
        <v/>
      </c>
      <c r="FO37" s="184">
        <f>(1/(1+WACC!$E$34)^120)*(1/(1+WACC!$E$35)^49)</f>
        <v/>
      </c>
      <c r="FP37" s="184">
        <f>(1/(1+WACC!$E$34)^120)*(1/(1+WACC!$E$35)^50)</f>
        <v/>
      </c>
      <c r="FQ37" s="184">
        <f>(1/(1+WACC!$E$34)^120)*(1/(1+WACC!$E$35)^51)</f>
        <v/>
      </c>
      <c r="FR37" s="184">
        <f>(1/(1+WACC!$E$34)^120)*(1/(1+WACC!$E$35)^52)</f>
        <v/>
      </c>
      <c r="FS37" s="184">
        <f>(1/(1+WACC!$E$34)^120)*(1/(1+WACC!$E$35)^53)</f>
        <v/>
      </c>
      <c r="FT37" s="184">
        <f>(1/(1+WACC!$E$34)^120)*(1/(1+WACC!$E$35)^54)</f>
        <v/>
      </c>
      <c r="FU37" s="184">
        <f>(1/(1+WACC!$E$34)^120)*(1/(1+WACC!$E$35)^55)</f>
        <v/>
      </c>
      <c r="FV37" s="184">
        <f>(1/(1+WACC!$E$34)^120)*(1/(1+WACC!$E$35)^56)</f>
        <v/>
      </c>
      <c r="FW37" s="184">
        <f>(1/(1+WACC!$E$34)^120)*(1/(1+WACC!$E$35)^57)</f>
        <v/>
      </c>
      <c r="FX37" s="184">
        <f>(1/(1+WACC!$E$34)^120)*(1/(1+WACC!$E$35)^58)</f>
        <v/>
      </c>
      <c r="FY37" s="184">
        <f>(1/(1+WACC!$E$34)^120)*(1/(1+WACC!$E$35)^59)</f>
        <v/>
      </c>
      <c r="FZ37" s="184">
        <f>(1/(1+WACC!$E$34)^120)*(1/(1+WACC!$E$35)^60)</f>
        <v/>
      </c>
      <c r="GA37" s="184">
        <f>(1/(1+WACC!$E$34)^120)*(1/(1+WACC!$E$35)^61)</f>
        <v/>
      </c>
      <c r="GB37" s="184">
        <f>(1/(1+WACC!$E$34)^120)*(1/(1+WACC!$E$35)^62)</f>
        <v/>
      </c>
      <c r="GC37" s="184">
        <f>(1/(1+WACC!$E$34)^120)*(1/(1+WACC!$E$35)^63)</f>
        <v/>
      </c>
      <c r="GD37" s="184">
        <f>(1/(1+WACC!$E$34)^120)*(1/(1+WACC!$E$35)^64)</f>
        <v/>
      </c>
      <c r="GE37" s="184">
        <f>(1/(1+WACC!$E$34)^120)*(1/(1+WACC!$E$35)^65)</f>
        <v/>
      </c>
      <c r="GF37" s="184">
        <f>(1/(1+WACC!$E$34)^120)*(1/(1+WACC!$E$35)^66)</f>
        <v/>
      </c>
      <c r="GG37" s="184">
        <f>(1/(1+WACC!$E$34)^120)*(1/(1+WACC!$E$35)^67)</f>
        <v/>
      </c>
      <c r="GH37" s="184">
        <f>(1/(1+WACC!$E$34)^120)*(1/(1+WACC!$E$35)^68)</f>
        <v/>
      </c>
      <c r="GI37" s="184">
        <f>(1/(1+WACC!$E$34)^120)*(1/(1+WACC!$E$35)^69)</f>
        <v/>
      </c>
      <c r="GJ37" s="184">
        <f>(1/(1+WACC!$E$34)^120)*(1/(1+WACC!$E$35)^70)</f>
        <v/>
      </c>
      <c r="GK37" s="184">
        <f>(1/(1+WACC!$E$34)^120)*(1/(1+WACC!$E$35)^71)</f>
        <v/>
      </c>
      <c r="GL37" s="184">
        <f>(1/(1+WACC!$E$34)^120)*(1/(1+WACC!$E$35)^72)</f>
        <v/>
      </c>
      <c r="GM37" s="184">
        <f>(1/(1+WACC!$E$34)^120)*(1/(1+WACC!$E$35)^73)</f>
        <v/>
      </c>
      <c r="GN37" s="184">
        <f>(1/(1+WACC!$E$34)^120)*(1/(1+WACC!$E$35)^74)</f>
        <v/>
      </c>
      <c r="GO37" s="184">
        <f>(1/(1+WACC!$E$34)^120)*(1/(1+WACC!$E$35)^75)</f>
        <v/>
      </c>
      <c r="GP37" s="184">
        <f>(1/(1+WACC!$E$34)^120)*(1/(1+WACC!$E$35)^76)</f>
        <v/>
      </c>
      <c r="GQ37" s="184">
        <f>(1/(1+WACC!$E$34)^120)*(1/(1+WACC!$E$35)^77)</f>
        <v/>
      </c>
      <c r="GR37" s="184">
        <f>(1/(1+WACC!$E$34)^120)*(1/(1+WACC!$E$35)^78)</f>
        <v/>
      </c>
      <c r="GS37" s="184">
        <f>(1/(1+WACC!$E$34)^120)*(1/(1+WACC!$E$35)^79)</f>
        <v/>
      </c>
      <c r="GT37" s="184">
        <f>(1/(1+WACC!$E$34)^120)*(1/(1+WACC!$E$35)^80)</f>
        <v/>
      </c>
      <c r="GU37" s="184">
        <f>(1/(1+WACC!$E$34)^120)*(1/(1+WACC!$E$35)^81)</f>
        <v/>
      </c>
      <c r="GV37" s="184">
        <f>(1/(1+WACC!$E$34)^120)*(1/(1+WACC!$E$35)^82)</f>
        <v/>
      </c>
      <c r="GW37" s="184">
        <f>(1/(1+WACC!$E$34)^120)*(1/(1+WACC!$E$35)^83)</f>
        <v/>
      </c>
      <c r="GX37" s="184">
        <f>(1/(1+WACC!$E$34)^120)*(1/(1+WACC!$E$35)^84)</f>
        <v/>
      </c>
      <c r="GY37" s="184">
        <f>(1/(1+WACC!$E$34)^120)*(1/(1+WACC!$E$35)^85)</f>
        <v/>
      </c>
      <c r="GZ37" s="184">
        <f>(1/(1+WACC!$E$34)^120)*(1/(1+WACC!$E$35)^86)</f>
        <v/>
      </c>
      <c r="HA37" s="184">
        <f>(1/(1+WACC!$E$34)^120)*(1/(1+WACC!$E$35)^87)</f>
        <v/>
      </c>
      <c r="HB37" s="184">
        <f>(1/(1+WACC!$E$34)^120)*(1/(1+WACC!$E$35)^88)</f>
        <v/>
      </c>
      <c r="HC37" s="184">
        <f>(1/(1+WACC!$E$34)^120)*(1/(1+WACC!$E$35)^89)</f>
        <v/>
      </c>
      <c r="HD37" s="184">
        <f>(1/(1+WACC!$E$34)^120)*(1/(1+WACC!$E$35)^90)</f>
        <v/>
      </c>
      <c r="HE37" s="184">
        <f>(1/(1+WACC!$E$34)^120)*(1/(1+WACC!$E$35)^91)</f>
        <v/>
      </c>
      <c r="HF37" s="184">
        <f>(1/(1+WACC!$E$34)^120)*(1/(1+WACC!$E$35)^92)</f>
        <v/>
      </c>
      <c r="HG37" s="184">
        <f>(1/(1+WACC!$E$34)^120)*(1/(1+WACC!$E$35)^93)</f>
        <v/>
      </c>
      <c r="HH37" s="184">
        <f>(1/(1+WACC!$E$34)^120)*(1/(1+WACC!$E$35)^94)</f>
        <v/>
      </c>
      <c r="HI37" s="184">
        <f>(1/(1+WACC!$E$34)^120)*(1/(1+WACC!$E$35)^95)</f>
        <v/>
      </c>
      <c r="HJ37" s="184">
        <f>(1/(1+WACC!$E$34)^120)*(1/(1+WACC!$E$35)^96)</f>
        <v/>
      </c>
      <c r="HK37" s="184">
        <f>(1/(1+WACC!$E$34)^120)*(1/(1+WACC!$E$35)^97)</f>
        <v/>
      </c>
      <c r="HL37" s="184">
        <f>(1/(1+WACC!$E$34)^120)*(1/(1+WACC!$E$35)^98)</f>
        <v/>
      </c>
      <c r="HM37" s="184">
        <f>(1/(1+WACC!$E$34)^120)*(1/(1+WACC!$E$35)^99)</f>
        <v/>
      </c>
      <c r="HN37" s="184">
        <f>(1/(1+WACC!$E$34)^120)*(1/(1+WACC!$E$35)^100)</f>
        <v/>
      </c>
      <c r="HO37" s="184">
        <f>(1/(1+WACC!$E$34)^120)*(1/(1+WACC!$E$35)^101)</f>
        <v/>
      </c>
      <c r="HP37" s="184">
        <f>(1/(1+WACC!$E$34)^120)*(1/(1+WACC!$E$35)^102)</f>
        <v/>
      </c>
      <c r="HQ37" s="184">
        <f>(1/(1+WACC!$E$34)^120)*(1/(1+WACC!$E$35)^103)</f>
        <v/>
      </c>
      <c r="HR37" s="184">
        <f>(1/(1+WACC!$E$34)^120)*(1/(1+WACC!$E$35)^104)</f>
        <v/>
      </c>
      <c r="HS37" s="184">
        <f>(1/(1+WACC!$E$34)^120)*(1/(1+WACC!$E$35)^105)</f>
        <v/>
      </c>
      <c r="HT37" s="184">
        <f>(1/(1+WACC!$E$34)^120)*(1/(1+WACC!$E$35)^106)</f>
        <v/>
      </c>
      <c r="HU37" s="184">
        <f>(1/(1+WACC!$E$34)^120)*(1/(1+WACC!$E$35)^107)</f>
        <v/>
      </c>
      <c r="HV37" s="184">
        <f>(1/(1+WACC!$E$34)^120)*(1/(1+WACC!$E$35)^108)</f>
        <v/>
      </c>
      <c r="HW37" s="184">
        <f>(1/(1+WACC!$E$34)^120)*(1/(1+WACC!$E$35)^109)</f>
        <v/>
      </c>
      <c r="HX37" s="184">
        <f>(1/(1+WACC!$E$34)^120)*(1/(1+WACC!$E$35)^110)</f>
        <v/>
      </c>
      <c r="HY37" s="184">
        <f>(1/(1+WACC!$E$34)^120)*(1/(1+WACC!$E$35)^111)</f>
        <v/>
      </c>
      <c r="HZ37" s="184">
        <f>(1/(1+WACC!$E$34)^120)*(1/(1+WACC!$E$35)^112)</f>
        <v/>
      </c>
      <c r="IA37" s="184">
        <f>(1/(1+WACC!$E$34)^120)*(1/(1+WACC!$E$35)^113)</f>
        <v/>
      </c>
      <c r="IB37" s="184">
        <f>(1/(1+WACC!$E$34)^120)*(1/(1+WACC!$E$35)^114)</f>
        <v/>
      </c>
      <c r="IC37" s="184">
        <f>(1/(1+WACC!$E$34)^120)*(1/(1+WACC!$E$35)^115)</f>
        <v/>
      </c>
      <c r="ID37" s="184">
        <f>(1/(1+WACC!$E$34)^120)*(1/(1+WACC!$E$35)^116)</f>
        <v/>
      </c>
      <c r="IE37" s="184">
        <f>(1/(1+WACC!$E$34)^120)*(1/(1+WACC!$E$35)^117)</f>
        <v/>
      </c>
      <c r="IF37" s="184">
        <f>(1/(1+WACC!$E$34)^120)*(1/(1+WACC!$E$35)^118)</f>
        <v/>
      </c>
      <c r="IG37" s="184">
        <f>(1/(1+WACC!$E$34)^120)*(1/(1+WACC!$E$35)^119)</f>
        <v/>
      </c>
      <c r="IH37" s="184">
        <f>(1/(1+WACC!$E$34)^120)*(1/(1+WACC!$E$35)^120)</f>
        <v/>
      </c>
      <c r="II37" s="184">
        <f>(1/(1+WACC!$E$34)^120)*(1/(1+WACC!$E$35)^121)</f>
        <v/>
      </c>
      <c r="IJ37" s="184">
        <f>(1/(1+WACC!$E$34)^120)*(1/(1+WACC!$E$35)^122)</f>
        <v/>
      </c>
      <c r="IK37" s="184">
        <f>(1/(1+WACC!$E$34)^120)*(1/(1+WACC!$E$35)^123)</f>
        <v/>
      </c>
      <c r="IL37" s="184">
        <f>(1/(1+WACC!$E$34)^120)*(1/(1+WACC!$E$35)^124)</f>
        <v/>
      </c>
      <c r="IM37" s="184">
        <f>(1/(1+WACC!$E$34)^120)*(1/(1+WACC!$E$35)^125)</f>
        <v/>
      </c>
      <c r="IN37" s="184">
        <f>(1/(1+WACC!$E$34)^120)*(1/(1+WACC!$E$35)^126)</f>
        <v/>
      </c>
      <c r="IO37" s="184">
        <f>(1/(1+WACC!$E$34)^120)*(1/(1+WACC!$E$35)^127)</f>
        <v/>
      </c>
      <c r="IP37" s="184">
        <f>(1/(1+WACC!$E$34)^120)*(1/(1+WACC!$E$35)^128)</f>
        <v/>
      </c>
      <c r="IQ37" s="184">
        <f>(1/(1+WACC!$E$34)^120)*(1/(1+WACC!$E$35)^129)</f>
        <v/>
      </c>
      <c r="IR37" s="184">
        <f>(1/(1+WACC!$E$34)^120)*(1/(1+WACC!$E$35)^130)</f>
        <v/>
      </c>
      <c r="IS37" s="184">
        <f>(1/(1+WACC!$E$34)^120)*(1/(1+WACC!$E$35)^131)</f>
        <v/>
      </c>
      <c r="IT37" s="184">
        <f>(1/(1+WACC!$E$34)^120)*(1/(1+WACC!$E$35)^132)</f>
        <v/>
      </c>
      <c r="IU37" s="184">
        <f>(1/(1+WACC!$E$34)^120)*(1/(1+WACC!$E$35)^133)</f>
        <v/>
      </c>
      <c r="IV37" s="184">
        <f>(1/(1+WACC!$E$34)^120)*(1/(1+WACC!$E$35)^134)</f>
        <v/>
      </c>
      <c r="IW37" s="184">
        <f>(1/(1+WACC!$E$34)^120)*(1/(1+WACC!$E$35)^135)</f>
        <v/>
      </c>
      <c r="IX37" s="184">
        <f>(1/(1+WACC!$E$34)^120)*(1/(1+WACC!$E$35)^136)</f>
        <v/>
      </c>
      <c r="IY37" s="184">
        <f>(1/(1+WACC!$E$34)^120)*(1/(1+WACC!$E$35)^137)</f>
        <v/>
      </c>
      <c r="IZ37" s="184">
        <f>(1/(1+WACC!$E$34)^120)*(1/(1+WACC!$E$35)^138)</f>
        <v/>
      </c>
      <c r="JA37" s="184">
        <f>(1/(1+WACC!$E$34)^120)*(1/(1+WACC!$E$35)^139)</f>
        <v/>
      </c>
      <c r="JB37" s="184">
        <f>(1/(1+WACC!$E$34)^120)*(1/(1+WACC!$E$35)^140)</f>
        <v/>
      </c>
      <c r="JC37" s="184">
        <f>(1/(1+WACC!$E$34)^120)*(1/(1+WACC!$E$35)^141)</f>
        <v/>
      </c>
      <c r="JD37" s="184">
        <f>(1/(1+WACC!$E$34)^120)*(1/(1+WACC!$E$35)^142)</f>
        <v/>
      </c>
      <c r="JE37" s="184">
        <f>(1/(1+WACC!$E$34)^120)*(1/(1+WACC!$E$35)^143)</f>
        <v/>
      </c>
      <c r="JF37" s="184">
        <f>(1/(1+WACC!$E$34)^120)*(1/(1+WACC!$E$35)^144)</f>
        <v/>
      </c>
      <c r="JG37" s="184">
        <f>(1/(1+WACC!$E$34)^120)*(1/(1+WACC!$E$35)^145)</f>
        <v/>
      </c>
      <c r="JH37" s="184">
        <f>(1/(1+WACC!$E$34)^120)*(1/(1+WACC!$E$35)^146)</f>
        <v/>
      </c>
      <c r="JI37" s="184">
        <f>(1/(1+WACC!$E$34)^120)*(1/(1+WACC!$E$35)^147)</f>
        <v/>
      </c>
      <c r="JJ37" s="184">
        <f>(1/(1+WACC!$E$34)^120)*(1/(1+WACC!$E$35)^148)</f>
        <v/>
      </c>
      <c r="JK37" s="184">
        <f>(1/(1+WACC!$E$34)^120)*(1/(1+WACC!$E$35)^149)</f>
        <v/>
      </c>
      <c r="JL37" s="184">
        <f>(1/(1+WACC!$E$34)^120)*(1/(1+WACC!$E$35)^150)</f>
        <v/>
      </c>
      <c r="JM37" s="184">
        <f>(1/(1+WACC!$E$34)^120)*(1/(1+WACC!$E$35)^151)</f>
        <v/>
      </c>
      <c r="JN37" s="184">
        <f>(1/(1+WACC!$E$34)^120)*(1/(1+WACC!$E$35)^152)</f>
        <v/>
      </c>
      <c r="JO37" s="184">
        <f>(1/(1+WACC!$E$34)^120)*(1/(1+WACC!$E$35)^153)</f>
        <v/>
      </c>
      <c r="JP37" s="184">
        <f>(1/(1+WACC!$E$34)^120)*(1/(1+WACC!$E$35)^154)</f>
        <v/>
      </c>
      <c r="JQ37" s="184">
        <f>(1/(1+WACC!$E$34)^120)*(1/(1+WACC!$E$35)^155)</f>
        <v/>
      </c>
      <c r="JR37" s="184">
        <f>(1/(1+WACC!$E$34)^120)*(1/(1+WACC!$E$35)^156)</f>
        <v/>
      </c>
      <c r="JS37" s="184">
        <f>(1/(1+WACC!$E$34)^120)*(1/(1+WACC!$E$35)^157)</f>
        <v/>
      </c>
      <c r="JT37" s="184">
        <f>(1/(1+WACC!$E$34)^120)*(1/(1+WACC!$E$35)^158)</f>
        <v/>
      </c>
      <c r="JU37" s="184">
        <f>(1/(1+WACC!$E$34)^120)*(1/(1+WACC!$E$35)^159)</f>
        <v/>
      </c>
      <c r="JV37" s="184">
        <f>(1/(1+WACC!$E$34)^120)*(1/(1+WACC!$E$35)^160)</f>
        <v/>
      </c>
      <c r="JW37" s="184">
        <f>(1/(1+WACC!$E$34)^120)*(1/(1+WACC!$E$35)^161)</f>
        <v/>
      </c>
      <c r="JX37" s="184">
        <f>(1/(1+WACC!$E$34)^120)*(1/(1+WACC!$E$35)^162)</f>
        <v/>
      </c>
      <c r="JY37" s="184">
        <f>(1/(1+WACC!$E$34)^120)*(1/(1+WACC!$E$35)^163)</f>
        <v/>
      </c>
      <c r="JZ37" s="184">
        <f>(1/(1+WACC!$E$34)^120)*(1/(1+WACC!$E$35)^164)</f>
        <v/>
      </c>
      <c r="KA37" s="184">
        <f>(1/(1+WACC!$E$34)^120)*(1/(1+WACC!$E$35)^165)</f>
        <v/>
      </c>
      <c r="KB37" s="184">
        <f>(1/(1+WACC!$E$34)^120)*(1/(1+WACC!$E$35)^166)</f>
        <v/>
      </c>
      <c r="KC37" s="184">
        <f>(1/(1+WACC!$E$34)^120)*(1/(1+WACC!$E$35)^167)</f>
        <v/>
      </c>
      <c r="KD37" s="184">
        <f>(1/(1+WACC!$E$34)^120)*(1/(1+WACC!$E$35)^168)</f>
        <v/>
      </c>
      <c r="KE37" s="184">
        <f>(1/(1+WACC!$E$34)^120)*(1/(1+WACC!$E$35)^169)</f>
        <v/>
      </c>
      <c r="KF37" s="184">
        <f>(1/(1+WACC!$E$34)^120)*(1/(1+WACC!$E$35)^170)</f>
        <v/>
      </c>
      <c r="KG37" s="184">
        <f>(1/(1+WACC!$E$34)^120)*(1/(1+WACC!$E$35)^171)</f>
        <v/>
      </c>
      <c r="KH37" s="184">
        <f>(1/(1+WACC!$E$34)^120)*(1/(1+WACC!$E$35)^172)</f>
        <v/>
      </c>
      <c r="KI37" s="184">
        <f>(1/(1+WACC!$E$34)^120)*(1/(1+WACC!$E$35)^173)</f>
        <v/>
      </c>
      <c r="KJ37" s="184">
        <f>(1/(1+WACC!$E$34)^120)*(1/(1+WACC!$E$35)^174)</f>
        <v/>
      </c>
      <c r="KK37" s="184">
        <f>(1/(1+WACC!$E$34)^120)*(1/(1+WACC!$E$35)^175)</f>
        <v/>
      </c>
      <c r="KL37" s="184">
        <f>(1/(1+WACC!$E$34)^120)*(1/(1+WACC!$E$35)^176)</f>
        <v/>
      </c>
      <c r="KM37" s="184">
        <f>(1/(1+WACC!$E$34)^120)*(1/(1+WACC!$E$35)^177)</f>
        <v/>
      </c>
      <c r="KN37" s="184">
        <f>(1/(1+WACC!$E$34)^120)*(1/(1+WACC!$E$35)^178)</f>
        <v/>
      </c>
      <c r="KO37" s="184">
        <f>(1/(1+WACC!$E$34)^120)*(1/(1+WACC!$E$35)^179)</f>
        <v/>
      </c>
      <c r="KP37" s="184">
        <f>(1/(1+WACC!$E$34)^120)*(1/(1+WACC!$E$35)^180)</f>
        <v/>
      </c>
    </row>
    <row r="38" ht="16" customHeight="1" s="133">
      <c r="A38" s="188" t="inlineStr">
        <is>
          <t>Discounted FCFF</t>
        </is>
      </c>
      <c r="B38" s="189" t="inlineStr">
        <is>
          <t>EURk</t>
        </is>
      </c>
      <c r="C38" s="190">
        <f>C36*C37</f>
        <v/>
      </c>
      <c r="D38" s="190">
        <f>D36*D37</f>
        <v/>
      </c>
      <c r="E38" s="190">
        <f>E36*E37</f>
        <v/>
      </c>
      <c r="F38" s="190">
        <f>F36*F37</f>
        <v/>
      </c>
      <c r="G38" s="190">
        <f>G36*G37</f>
        <v/>
      </c>
      <c r="H38" s="190">
        <f>H36*H37</f>
        <v/>
      </c>
      <c r="I38" s="190">
        <f>I36*I37</f>
        <v/>
      </c>
      <c r="J38" s="190">
        <f>J36*J37</f>
        <v/>
      </c>
      <c r="K38" s="190">
        <f>K36*K37</f>
        <v/>
      </c>
      <c r="L38" s="190">
        <f>L36*L37</f>
        <v/>
      </c>
      <c r="M38" s="190">
        <f>M36*M37</f>
        <v/>
      </c>
      <c r="N38" s="190">
        <f>N36*N37</f>
        <v/>
      </c>
      <c r="O38" s="190">
        <f>O36*O37</f>
        <v/>
      </c>
      <c r="P38" s="190">
        <f>P36*P37</f>
        <v/>
      </c>
      <c r="Q38" s="190">
        <f>Q36*Q37</f>
        <v/>
      </c>
      <c r="R38" s="190">
        <f>R36*R37</f>
        <v/>
      </c>
      <c r="S38" s="190">
        <f>S36*S37</f>
        <v/>
      </c>
      <c r="T38" s="190">
        <f>T36*T37</f>
        <v/>
      </c>
      <c r="U38" s="190">
        <f>U36*U37</f>
        <v/>
      </c>
      <c r="V38" s="190">
        <f>V36*V37</f>
        <v/>
      </c>
      <c r="W38" s="190">
        <f>W36*W37</f>
        <v/>
      </c>
      <c r="X38" s="190">
        <f>X36*X37</f>
        <v/>
      </c>
      <c r="Y38" s="190">
        <f>Y36*Y37</f>
        <v/>
      </c>
      <c r="Z38" s="190">
        <f>Z36*Z37</f>
        <v/>
      </c>
      <c r="AA38" s="190">
        <f>AA36*AA37</f>
        <v/>
      </c>
      <c r="AB38" s="190">
        <f>AB36*AB37</f>
        <v/>
      </c>
      <c r="AC38" s="190">
        <f>AC36*AC37</f>
        <v/>
      </c>
      <c r="AD38" s="190">
        <f>AD36*AD37</f>
        <v/>
      </c>
      <c r="AE38" s="190">
        <f>AE36*AE37</f>
        <v/>
      </c>
      <c r="AF38" s="190">
        <f>AF36*AF37</f>
        <v/>
      </c>
      <c r="AG38" s="190">
        <f>AG36*AG37</f>
        <v/>
      </c>
      <c r="AH38" s="190">
        <f>AH36*AH37</f>
        <v/>
      </c>
      <c r="AI38" s="190">
        <f>AI36*AI37</f>
        <v/>
      </c>
      <c r="AJ38" s="190">
        <f>AJ36*AJ37</f>
        <v/>
      </c>
      <c r="AK38" s="190">
        <f>AK36*AK37</f>
        <v/>
      </c>
      <c r="AL38" s="190">
        <f>AL36*AL37</f>
        <v/>
      </c>
      <c r="AM38" s="190">
        <f>AM36*AM37</f>
        <v/>
      </c>
      <c r="AN38" s="190">
        <f>AN36*AN37</f>
        <v/>
      </c>
      <c r="AO38" s="190">
        <f>AO36*AO37</f>
        <v/>
      </c>
      <c r="AP38" s="190">
        <f>AP36*AP37</f>
        <v/>
      </c>
      <c r="AQ38" s="190">
        <f>AQ36*AQ37</f>
        <v/>
      </c>
      <c r="AR38" s="190">
        <f>AR36*AR37</f>
        <v/>
      </c>
      <c r="AS38" s="190">
        <f>AS36*AS37</f>
        <v/>
      </c>
      <c r="AT38" s="190">
        <f>AT36*AT37</f>
        <v/>
      </c>
      <c r="AU38" s="190">
        <f>AU36*AU37</f>
        <v/>
      </c>
      <c r="AV38" s="190">
        <f>AV36*AV37</f>
        <v/>
      </c>
      <c r="AW38" s="190">
        <f>AW36*AW37</f>
        <v/>
      </c>
      <c r="AX38" s="190">
        <f>AX36*AX37</f>
        <v/>
      </c>
      <c r="AY38" s="190">
        <f>AY36*AY37</f>
        <v/>
      </c>
      <c r="AZ38" s="190">
        <f>AZ36*AZ37</f>
        <v/>
      </c>
      <c r="BA38" s="190">
        <f>BA36*BA37</f>
        <v/>
      </c>
      <c r="BB38" s="190">
        <f>BB36*BB37</f>
        <v/>
      </c>
      <c r="BC38" s="190">
        <f>BC36*BC37</f>
        <v/>
      </c>
      <c r="BD38" s="190">
        <f>BD36*BD37</f>
        <v/>
      </c>
      <c r="BE38" s="190">
        <f>BE36*BE37</f>
        <v/>
      </c>
      <c r="BF38" s="190">
        <f>BF36*BF37</f>
        <v/>
      </c>
      <c r="BG38" s="190">
        <f>BG36*BG37</f>
        <v/>
      </c>
      <c r="BH38" s="190">
        <f>BH36*BH37</f>
        <v/>
      </c>
      <c r="BI38" s="190">
        <f>BI36*BI37</f>
        <v/>
      </c>
      <c r="BJ38" s="190">
        <f>BJ36*BJ37</f>
        <v/>
      </c>
      <c r="BK38" s="190">
        <f>BK36*BK37</f>
        <v/>
      </c>
      <c r="BL38" s="190">
        <f>BL36*BL37</f>
        <v/>
      </c>
      <c r="BM38" s="190">
        <f>BM36*BM37</f>
        <v/>
      </c>
      <c r="BN38" s="190">
        <f>BN36*BN37</f>
        <v/>
      </c>
      <c r="BO38" s="190">
        <f>BO36*BO37</f>
        <v/>
      </c>
      <c r="BP38" s="190">
        <f>BP36*BP37</f>
        <v/>
      </c>
      <c r="BQ38" s="190">
        <f>BQ36*BQ37</f>
        <v/>
      </c>
      <c r="BR38" s="190">
        <f>BR36*BR37</f>
        <v/>
      </c>
      <c r="BS38" s="190">
        <f>BS36*BS37</f>
        <v/>
      </c>
      <c r="BT38" s="190">
        <f>BT36*BT37</f>
        <v/>
      </c>
      <c r="BU38" s="190">
        <f>BU36*BU37</f>
        <v/>
      </c>
      <c r="BV38" s="190">
        <f>BV36*BV37</f>
        <v/>
      </c>
      <c r="BW38" s="190">
        <f>BW36*BW37</f>
        <v/>
      </c>
      <c r="BX38" s="190">
        <f>BX36*BX37</f>
        <v/>
      </c>
      <c r="BY38" s="190">
        <f>BY36*BY37</f>
        <v/>
      </c>
      <c r="BZ38" s="190">
        <f>BZ36*BZ37</f>
        <v/>
      </c>
      <c r="CA38" s="190">
        <f>CA36*CA37</f>
        <v/>
      </c>
      <c r="CB38" s="190">
        <f>CB36*CB37</f>
        <v/>
      </c>
      <c r="CC38" s="190">
        <f>CC36*CC37</f>
        <v/>
      </c>
      <c r="CD38" s="190">
        <f>CD36*CD37</f>
        <v/>
      </c>
      <c r="CE38" s="190">
        <f>CE36*CE37</f>
        <v/>
      </c>
      <c r="CF38" s="190">
        <f>CF36*CF37</f>
        <v/>
      </c>
      <c r="CG38" s="190">
        <f>CG36*CG37</f>
        <v/>
      </c>
      <c r="CH38" s="190">
        <f>CH36*CH37</f>
        <v/>
      </c>
      <c r="CI38" s="190">
        <f>CI36*CI37</f>
        <v/>
      </c>
      <c r="CJ38" s="190">
        <f>CJ36*CJ37</f>
        <v/>
      </c>
      <c r="CK38" s="190">
        <f>CK36*CK37</f>
        <v/>
      </c>
      <c r="CL38" s="190">
        <f>CL36*CL37</f>
        <v/>
      </c>
      <c r="CM38" s="190">
        <f>CM36*CM37</f>
        <v/>
      </c>
      <c r="CN38" s="190">
        <f>CN36*CN37</f>
        <v/>
      </c>
      <c r="CO38" s="190">
        <f>CO36*CO37</f>
        <v/>
      </c>
      <c r="CP38" s="190">
        <f>CP36*CP37</f>
        <v/>
      </c>
      <c r="CQ38" s="190">
        <f>CQ36*CQ37</f>
        <v/>
      </c>
      <c r="CR38" s="190">
        <f>CR36*CR37</f>
        <v/>
      </c>
      <c r="CS38" s="190">
        <f>CS36*CS37</f>
        <v/>
      </c>
      <c r="CT38" s="190">
        <f>CT36*CT37</f>
        <v/>
      </c>
      <c r="CU38" s="190">
        <f>CU36*CU37</f>
        <v/>
      </c>
      <c r="CV38" s="190">
        <f>CV36*CV37</f>
        <v/>
      </c>
      <c r="CW38" s="190">
        <f>CW36*CW37</f>
        <v/>
      </c>
      <c r="CX38" s="190">
        <f>CX36*CX37</f>
        <v/>
      </c>
      <c r="CY38" s="190">
        <f>CY36*CY37</f>
        <v/>
      </c>
      <c r="CZ38" s="190">
        <f>CZ36*CZ37</f>
        <v/>
      </c>
      <c r="DA38" s="190">
        <f>DA36*DA37</f>
        <v/>
      </c>
      <c r="DB38" s="190">
        <f>DB36*DB37</f>
        <v/>
      </c>
      <c r="DC38" s="190">
        <f>DC36*DC37</f>
        <v/>
      </c>
      <c r="DD38" s="190">
        <f>DD36*DD37</f>
        <v/>
      </c>
      <c r="DE38" s="190">
        <f>DE36*DE37</f>
        <v/>
      </c>
      <c r="DF38" s="190">
        <f>DF36*DF37</f>
        <v/>
      </c>
      <c r="DG38" s="190">
        <f>DG36*DG37</f>
        <v/>
      </c>
      <c r="DH38" s="190">
        <f>DH36*DH37</f>
        <v/>
      </c>
      <c r="DI38" s="190">
        <f>DI36*DI37</f>
        <v/>
      </c>
      <c r="DJ38" s="190">
        <f>DJ36*DJ37</f>
        <v/>
      </c>
      <c r="DK38" s="190">
        <f>DK36*DK37</f>
        <v/>
      </c>
      <c r="DL38" s="190">
        <f>DL36*DL37</f>
        <v/>
      </c>
      <c r="DM38" s="190">
        <f>DM36*DM37</f>
        <v/>
      </c>
      <c r="DN38" s="190">
        <f>DN36*DN37</f>
        <v/>
      </c>
      <c r="DO38" s="190">
        <f>DO36*DO37</f>
        <v/>
      </c>
      <c r="DP38" s="190">
        <f>DP36*DP37</f>
        <v/>
      </c>
      <c r="DQ38" s="190">
        <f>DQ36*DQ37</f>
        <v/>
      </c>
      <c r="DR38" s="190">
        <f>DR36*DR37</f>
        <v/>
      </c>
      <c r="DS38" s="190">
        <f>DS36*DS37</f>
        <v/>
      </c>
      <c r="DT38" s="190">
        <f>DT36*DT37</f>
        <v/>
      </c>
      <c r="DU38" s="190">
        <f>DU36*DU37</f>
        <v/>
      </c>
      <c r="DV38" s="190">
        <f>DV36*DV37</f>
        <v/>
      </c>
      <c r="DW38" s="190">
        <f>DW36*DW37</f>
        <v/>
      </c>
      <c r="DX38" s="190">
        <f>DX36*DX37</f>
        <v/>
      </c>
      <c r="DY38" s="190">
        <f>DY36*DY37</f>
        <v/>
      </c>
      <c r="DZ38" s="190">
        <f>DZ36*DZ37</f>
        <v/>
      </c>
      <c r="EA38" s="190">
        <f>EA36*EA37</f>
        <v/>
      </c>
      <c r="EB38" s="190">
        <f>EB36*EB37</f>
        <v/>
      </c>
      <c r="EC38" s="190">
        <f>EC36*EC37</f>
        <v/>
      </c>
      <c r="ED38" s="190">
        <f>ED36*ED37</f>
        <v/>
      </c>
      <c r="EE38" s="190">
        <f>EE36*EE37</f>
        <v/>
      </c>
      <c r="EF38" s="190">
        <f>EF36*EF37</f>
        <v/>
      </c>
      <c r="EG38" s="190">
        <f>EG36*EG37</f>
        <v/>
      </c>
      <c r="EH38" s="190">
        <f>EH36*EH37</f>
        <v/>
      </c>
      <c r="EI38" s="190">
        <f>EI36*EI37</f>
        <v/>
      </c>
      <c r="EJ38" s="190">
        <f>EJ36*EJ37</f>
        <v/>
      </c>
      <c r="EK38" s="190">
        <f>EK36*EK37</f>
        <v/>
      </c>
      <c r="EL38" s="190">
        <f>EL36*EL37</f>
        <v/>
      </c>
      <c r="EM38" s="190">
        <f>EM36*EM37</f>
        <v/>
      </c>
      <c r="EN38" s="190">
        <f>EN36*EN37</f>
        <v/>
      </c>
      <c r="EO38" s="190">
        <f>EO36*EO37</f>
        <v/>
      </c>
      <c r="EP38" s="190">
        <f>EP36*EP37</f>
        <v/>
      </c>
      <c r="EQ38" s="190">
        <f>EQ36*EQ37</f>
        <v/>
      </c>
      <c r="ER38" s="190">
        <f>ER36*ER37</f>
        <v/>
      </c>
      <c r="ES38" s="190">
        <f>ES36*ES37</f>
        <v/>
      </c>
      <c r="ET38" s="190">
        <f>ET36*ET37</f>
        <v/>
      </c>
      <c r="EU38" s="190">
        <f>EU36*EU37</f>
        <v/>
      </c>
      <c r="EV38" s="190">
        <f>EV36*EV37</f>
        <v/>
      </c>
      <c r="EW38" s="190">
        <f>EW36*EW37</f>
        <v/>
      </c>
      <c r="EX38" s="190">
        <f>EX36*EX37</f>
        <v/>
      </c>
      <c r="EY38" s="190">
        <f>EY36*EY37</f>
        <v/>
      </c>
      <c r="EZ38" s="190">
        <f>EZ36*EZ37</f>
        <v/>
      </c>
      <c r="FA38" s="190">
        <f>FA36*FA37</f>
        <v/>
      </c>
      <c r="FB38" s="190">
        <f>FB36*FB37</f>
        <v/>
      </c>
      <c r="FC38" s="190">
        <f>FC36*FC37</f>
        <v/>
      </c>
      <c r="FD38" s="190">
        <f>FD36*FD37</f>
        <v/>
      </c>
      <c r="FE38" s="190">
        <f>FE36*FE37</f>
        <v/>
      </c>
      <c r="FF38" s="190">
        <f>FF36*FF37</f>
        <v/>
      </c>
      <c r="FG38" s="190">
        <f>FG36*FG37</f>
        <v/>
      </c>
      <c r="FH38" s="190">
        <f>FH36*FH37</f>
        <v/>
      </c>
      <c r="FI38" s="190">
        <f>FI36*FI37</f>
        <v/>
      </c>
      <c r="FJ38" s="190">
        <f>FJ36*FJ37</f>
        <v/>
      </c>
      <c r="FK38" s="190">
        <f>FK36*FK37</f>
        <v/>
      </c>
      <c r="FL38" s="190">
        <f>FL36*FL37</f>
        <v/>
      </c>
      <c r="FM38" s="190">
        <f>FM36*FM37</f>
        <v/>
      </c>
      <c r="FN38" s="190">
        <f>FN36*FN37</f>
        <v/>
      </c>
      <c r="FO38" s="190">
        <f>FO36*FO37</f>
        <v/>
      </c>
      <c r="FP38" s="190">
        <f>FP36*FP37</f>
        <v/>
      </c>
      <c r="FQ38" s="190">
        <f>FQ36*FQ37</f>
        <v/>
      </c>
      <c r="FR38" s="190">
        <f>FR36*FR37</f>
        <v/>
      </c>
      <c r="FS38" s="190">
        <f>FS36*FS37</f>
        <v/>
      </c>
      <c r="FT38" s="190">
        <f>FT36*FT37</f>
        <v/>
      </c>
      <c r="FU38" s="190">
        <f>FU36*FU37</f>
        <v/>
      </c>
      <c r="FV38" s="190">
        <f>FV36*FV37</f>
        <v/>
      </c>
      <c r="FW38" s="190">
        <f>FW36*FW37</f>
        <v/>
      </c>
      <c r="FX38" s="190">
        <f>FX36*FX37</f>
        <v/>
      </c>
      <c r="FY38" s="190">
        <f>FY36*FY37</f>
        <v/>
      </c>
      <c r="FZ38" s="190">
        <f>FZ36*FZ37</f>
        <v/>
      </c>
      <c r="GA38" s="190">
        <f>GA36*GA37</f>
        <v/>
      </c>
      <c r="GB38" s="190">
        <f>GB36*GB37</f>
        <v/>
      </c>
      <c r="GC38" s="190">
        <f>GC36*GC37</f>
        <v/>
      </c>
      <c r="GD38" s="190">
        <f>GD36*GD37</f>
        <v/>
      </c>
      <c r="GE38" s="190">
        <f>GE36*GE37</f>
        <v/>
      </c>
      <c r="GF38" s="190">
        <f>GF36*GF37</f>
        <v/>
      </c>
      <c r="GG38" s="190">
        <f>GG36*GG37</f>
        <v/>
      </c>
      <c r="GH38" s="190">
        <f>GH36*GH37</f>
        <v/>
      </c>
      <c r="GI38" s="190">
        <f>GI36*GI37</f>
        <v/>
      </c>
      <c r="GJ38" s="190">
        <f>GJ36*GJ37</f>
        <v/>
      </c>
      <c r="GK38" s="190">
        <f>GK36*GK37</f>
        <v/>
      </c>
      <c r="GL38" s="190">
        <f>GL36*GL37</f>
        <v/>
      </c>
      <c r="GM38" s="190">
        <f>GM36*GM37</f>
        <v/>
      </c>
      <c r="GN38" s="190">
        <f>GN36*GN37</f>
        <v/>
      </c>
      <c r="GO38" s="190">
        <f>GO36*GO37</f>
        <v/>
      </c>
      <c r="GP38" s="190">
        <f>GP36*GP37</f>
        <v/>
      </c>
      <c r="GQ38" s="190">
        <f>GQ36*GQ37</f>
        <v/>
      </c>
      <c r="GR38" s="190">
        <f>GR36*GR37</f>
        <v/>
      </c>
      <c r="GS38" s="190">
        <f>GS36*GS37</f>
        <v/>
      </c>
      <c r="GT38" s="190">
        <f>GT36*GT37</f>
        <v/>
      </c>
      <c r="GU38" s="190">
        <f>GU36*GU37</f>
        <v/>
      </c>
      <c r="GV38" s="190">
        <f>GV36*GV37</f>
        <v/>
      </c>
      <c r="GW38" s="190">
        <f>GW36*GW37</f>
        <v/>
      </c>
      <c r="GX38" s="190">
        <f>GX36*GX37</f>
        <v/>
      </c>
      <c r="GY38" s="190">
        <f>GY36*GY37</f>
        <v/>
      </c>
      <c r="GZ38" s="190">
        <f>GZ36*GZ37</f>
        <v/>
      </c>
      <c r="HA38" s="190">
        <f>HA36*HA37</f>
        <v/>
      </c>
      <c r="HB38" s="190">
        <f>HB36*HB37</f>
        <v/>
      </c>
      <c r="HC38" s="190">
        <f>HC36*HC37</f>
        <v/>
      </c>
      <c r="HD38" s="190">
        <f>HD36*HD37</f>
        <v/>
      </c>
      <c r="HE38" s="190">
        <f>HE36*HE37</f>
        <v/>
      </c>
      <c r="HF38" s="190">
        <f>HF36*HF37</f>
        <v/>
      </c>
      <c r="HG38" s="190">
        <f>HG36*HG37</f>
        <v/>
      </c>
      <c r="HH38" s="190">
        <f>HH36*HH37</f>
        <v/>
      </c>
      <c r="HI38" s="190">
        <f>HI36*HI37</f>
        <v/>
      </c>
      <c r="HJ38" s="190">
        <f>HJ36*HJ37</f>
        <v/>
      </c>
      <c r="HK38" s="190">
        <f>HK36*HK37</f>
        <v/>
      </c>
      <c r="HL38" s="190">
        <f>HL36*HL37</f>
        <v/>
      </c>
      <c r="HM38" s="190">
        <f>HM36*HM37</f>
        <v/>
      </c>
      <c r="HN38" s="190">
        <f>HN36*HN37</f>
        <v/>
      </c>
      <c r="HO38" s="190">
        <f>HO36*HO37</f>
        <v/>
      </c>
      <c r="HP38" s="190">
        <f>HP36*HP37</f>
        <v/>
      </c>
      <c r="HQ38" s="190">
        <f>HQ36*HQ37</f>
        <v/>
      </c>
      <c r="HR38" s="190">
        <f>HR36*HR37</f>
        <v/>
      </c>
      <c r="HS38" s="190">
        <f>HS36*HS37</f>
        <v/>
      </c>
      <c r="HT38" s="190">
        <f>HT36*HT37</f>
        <v/>
      </c>
      <c r="HU38" s="190">
        <f>HU36*HU37</f>
        <v/>
      </c>
      <c r="HV38" s="190">
        <f>HV36*HV37</f>
        <v/>
      </c>
      <c r="HW38" s="190">
        <f>HW36*HW37</f>
        <v/>
      </c>
      <c r="HX38" s="190">
        <f>HX36*HX37</f>
        <v/>
      </c>
      <c r="HY38" s="190">
        <f>HY36*HY37</f>
        <v/>
      </c>
      <c r="HZ38" s="190">
        <f>HZ36*HZ37</f>
        <v/>
      </c>
      <c r="IA38" s="190">
        <f>IA36*IA37</f>
        <v/>
      </c>
      <c r="IB38" s="190">
        <f>IB36*IB37</f>
        <v/>
      </c>
      <c r="IC38" s="190">
        <f>IC36*IC37</f>
        <v/>
      </c>
      <c r="ID38" s="190">
        <f>ID36*ID37</f>
        <v/>
      </c>
      <c r="IE38" s="190">
        <f>IE36*IE37</f>
        <v/>
      </c>
      <c r="IF38" s="190">
        <f>IF36*IF37</f>
        <v/>
      </c>
      <c r="IG38" s="190">
        <f>IG36*IG37</f>
        <v/>
      </c>
      <c r="IH38" s="190">
        <f>IH36*IH37</f>
        <v/>
      </c>
      <c r="II38" s="190">
        <f>II36*II37</f>
        <v/>
      </c>
      <c r="IJ38" s="190">
        <f>IJ36*IJ37</f>
        <v/>
      </c>
      <c r="IK38" s="190">
        <f>IK36*IK37</f>
        <v/>
      </c>
      <c r="IL38" s="190">
        <f>IL36*IL37</f>
        <v/>
      </c>
      <c r="IM38" s="190">
        <f>IM36*IM37</f>
        <v/>
      </c>
      <c r="IN38" s="190">
        <f>IN36*IN37</f>
        <v/>
      </c>
      <c r="IO38" s="190">
        <f>IO36*IO37</f>
        <v/>
      </c>
      <c r="IP38" s="190">
        <f>IP36*IP37</f>
        <v/>
      </c>
      <c r="IQ38" s="190">
        <f>IQ36*IQ37</f>
        <v/>
      </c>
      <c r="IR38" s="190">
        <f>IR36*IR37</f>
        <v/>
      </c>
      <c r="IS38" s="190">
        <f>IS36*IS37</f>
        <v/>
      </c>
      <c r="IT38" s="190">
        <f>IT36*IT37</f>
        <v/>
      </c>
      <c r="IU38" s="190">
        <f>IU36*IU37</f>
        <v/>
      </c>
      <c r="IV38" s="190">
        <f>IV36*IV37</f>
        <v/>
      </c>
      <c r="IW38" s="190">
        <f>IW36*IW37</f>
        <v/>
      </c>
      <c r="IX38" s="190">
        <f>IX36*IX37</f>
        <v/>
      </c>
      <c r="IY38" s="190">
        <f>IY36*IY37</f>
        <v/>
      </c>
      <c r="IZ38" s="190">
        <f>IZ36*IZ37</f>
        <v/>
      </c>
      <c r="JA38" s="190">
        <f>JA36*JA37</f>
        <v/>
      </c>
      <c r="JB38" s="190">
        <f>JB36*JB37</f>
        <v/>
      </c>
      <c r="JC38" s="190">
        <f>JC36*JC37</f>
        <v/>
      </c>
      <c r="JD38" s="190">
        <f>JD36*JD37</f>
        <v/>
      </c>
      <c r="JE38" s="190">
        <f>JE36*JE37</f>
        <v/>
      </c>
      <c r="JF38" s="190">
        <f>JF36*JF37</f>
        <v/>
      </c>
      <c r="JG38" s="190">
        <f>JG36*JG37</f>
        <v/>
      </c>
      <c r="JH38" s="190">
        <f>JH36*JH37</f>
        <v/>
      </c>
      <c r="JI38" s="190">
        <f>JI36*JI37</f>
        <v/>
      </c>
      <c r="JJ38" s="190">
        <f>JJ36*JJ37</f>
        <v/>
      </c>
      <c r="JK38" s="190">
        <f>JK36*JK37</f>
        <v/>
      </c>
      <c r="JL38" s="190">
        <f>JL36*JL37</f>
        <v/>
      </c>
      <c r="JM38" s="190">
        <f>JM36*JM37</f>
        <v/>
      </c>
      <c r="JN38" s="190">
        <f>JN36*JN37</f>
        <v/>
      </c>
      <c r="JO38" s="190">
        <f>JO36*JO37</f>
        <v/>
      </c>
      <c r="JP38" s="190">
        <f>JP36*JP37</f>
        <v/>
      </c>
      <c r="JQ38" s="190">
        <f>JQ36*JQ37</f>
        <v/>
      </c>
      <c r="JR38" s="190">
        <f>JR36*JR37</f>
        <v/>
      </c>
      <c r="JS38" s="190">
        <f>JS36*JS37</f>
        <v/>
      </c>
      <c r="JT38" s="190">
        <f>JT36*JT37</f>
        <v/>
      </c>
      <c r="JU38" s="190">
        <f>JU36*JU37</f>
        <v/>
      </c>
      <c r="JV38" s="190">
        <f>JV36*JV37</f>
        <v/>
      </c>
      <c r="JW38" s="190">
        <f>JW36*JW37</f>
        <v/>
      </c>
      <c r="JX38" s="190">
        <f>JX36*JX37</f>
        <v/>
      </c>
      <c r="JY38" s="190">
        <f>JY36*JY37</f>
        <v/>
      </c>
      <c r="JZ38" s="190">
        <f>JZ36*JZ37</f>
        <v/>
      </c>
      <c r="KA38" s="190">
        <f>KA36*KA37</f>
        <v/>
      </c>
      <c r="KB38" s="190">
        <f>KB36*KB37</f>
        <v/>
      </c>
      <c r="KC38" s="190">
        <f>KC36*KC37</f>
        <v/>
      </c>
      <c r="KD38" s="190">
        <f>KD36*KD37</f>
        <v/>
      </c>
      <c r="KE38" s="190">
        <f>KE36*KE37</f>
        <v/>
      </c>
      <c r="KF38" s="190">
        <f>KF36*KF37</f>
        <v/>
      </c>
      <c r="KG38" s="190">
        <f>KG36*KG37</f>
        <v/>
      </c>
      <c r="KH38" s="190">
        <f>KH36*KH37</f>
        <v/>
      </c>
      <c r="KI38" s="190">
        <f>KI36*KI37</f>
        <v/>
      </c>
      <c r="KJ38" s="190">
        <f>KJ36*KJ37</f>
        <v/>
      </c>
      <c r="KK38" s="190">
        <f>KK36*KK37</f>
        <v/>
      </c>
      <c r="KL38" s="190">
        <f>KL36*KL37</f>
        <v/>
      </c>
      <c r="KM38" s="190">
        <f>KM36*KM37</f>
        <v/>
      </c>
      <c r="KN38" s="190">
        <f>KN36*KN37</f>
        <v/>
      </c>
      <c r="KO38" s="190">
        <f>KO36*KO37</f>
        <v/>
      </c>
      <c r="KP38" s="190">
        <f>KP36*KP37</f>
        <v/>
      </c>
    </row>
    <row r="39" ht="16" customHeight="1" s="133">
      <c r="A39" s="188" t="inlineStr">
        <is>
          <t>Cumulative NPV</t>
        </is>
      </c>
      <c r="B39" s="189" t="inlineStr">
        <is>
          <t>EURk</t>
        </is>
      </c>
      <c r="C39" s="190">
        <f>C38-Assumptions!$E$31</f>
        <v/>
      </c>
      <c r="D39" s="190">
        <f>C39+D38</f>
        <v/>
      </c>
      <c r="E39" s="190">
        <f>D39+E38</f>
        <v/>
      </c>
      <c r="F39" s="190">
        <f>E39+F38</f>
        <v/>
      </c>
      <c r="G39" s="190">
        <f>F39+G38</f>
        <v/>
      </c>
      <c r="H39" s="190">
        <f>G39+H38</f>
        <v/>
      </c>
      <c r="I39" s="190">
        <f>H39+I38</f>
        <v/>
      </c>
      <c r="J39" s="190">
        <f>I39+J38</f>
        <v/>
      </c>
      <c r="K39" s="190">
        <f>J39+K38</f>
        <v/>
      </c>
      <c r="L39" s="190">
        <f>K39+L38</f>
        <v/>
      </c>
      <c r="M39" s="190">
        <f>L39+M38</f>
        <v/>
      </c>
      <c r="N39" s="190">
        <f>M39+N38</f>
        <v/>
      </c>
      <c r="O39" s="190">
        <f>N39+O38</f>
        <v/>
      </c>
      <c r="P39" s="190">
        <f>O39+P38</f>
        <v/>
      </c>
      <c r="Q39" s="190">
        <f>P39+Q38</f>
        <v/>
      </c>
      <c r="R39" s="190">
        <f>Q39+R38</f>
        <v/>
      </c>
      <c r="S39" s="190">
        <f>R39+S38</f>
        <v/>
      </c>
      <c r="T39" s="190">
        <f>S39+T38</f>
        <v/>
      </c>
      <c r="U39" s="190">
        <f>T39+U38</f>
        <v/>
      </c>
      <c r="V39" s="190">
        <f>U39+V38</f>
        <v/>
      </c>
      <c r="W39" s="190">
        <f>V39+W38</f>
        <v/>
      </c>
      <c r="X39" s="190">
        <f>W39+X38</f>
        <v/>
      </c>
      <c r="Y39" s="190">
        <f>X39+Y38</f>
        <v/>
      </c>
      <c r="Z39" s="190">
        <f>Y39+Z38</f>
        <v/>
      </c>
      <c r="AA39" s="190">
        <f>Z39+AA38</f>
        <v/>
      </c>
      <c r="AB39" s="190">
        <f>AA39+AB38</f>
        <v/>
      </c>
      <c r="AC39" s="190">
        <f>AB39+AC38</f>
        <v/>
      </c>
      <c r="AD39" s="190">
        <f>AC39+AD38</f>
        <v/>
      </c>
      <c r="AE39" s="190">
        <f>AD39+AE38</f>
        <v/>
      </c>
      <c r="AF39" s="190">
        <f>AE39+AF38</f>
        <v/>
      </c>
      <c r="AG39" s="190">
        <f>AF39+AG38</f>
        <v/>
      </c>
      <c r="AH39" s="190">
        <f>AG39+AH38</f>
        <v/>
      </c>
      <c r="AI39" s="190">
        <f>AH39+AI38</f>
        <v/>
      </c>
      <c r="AJ39" s="190">
        <f>AI39+AJ38</f>
        <v/>
      </c>
      <c r="AK39" s="190">
        <f>AJ39+AK38</f>
        <v/>
      </c>
      <c r="AL39" s="190">
        <f>AK39+AL38</f>
        <v/>
      </c>
      <c r="AM39" s="190">
        <f>AL39+AM38</f>
        <v/>
      </c>
      <c r="AN39" s="190">
        <f>AM39+AN38</f>
        <v/>
      </c>
      <c r="AO39" s="190">
        <f>AN39+AO38</f>
        <v/>
      </c>
      <c r="AP39" s="190">
        <f>AO39+AP38</f>
        <v/>
      </c>
      <c r="AQ39" s="190">
        <f>AP39+AQ38</f>
        <v/>
      </c>
      <c r="AR39" s="190">
        <f>AQ39+AR38</f>
        <v/>
      </c>
      <c r="AS39" s="190">
        <f>AR39+AS38</f>
        <v/>
      </c>
      <c r="AT39" s="190">
        <f>AS39+AT38</f>
        <v/>
      </c>
      <c r="AU39" s="190">
        <f>AT39+AU38</f>
        <v/>
      </c>
      <c r="AV39" s="190">
        <f>AU39+AV38</f>
        <v/>
      </c>
      <c r="AW39" s="190">
        <f>AV39+AW38</f>
        <v/>
      </c>
      <c r="AX39" s="190">
        <f>AW39+AX38</f>
        <v/>
      </c>
      <c r="AY39" s="190">
        <f>AX39+AY38</f>
        <v/>
      </c>
      <c r="AZ39" s="190">
        <f>AY39+AZ38</f>
        <v/>
      </c>
      <c r="BA39" s="190">
        <f>AZ39+BA38</f>
        <v/>
      </c>
      <c r="BB39" s="190">
        <f>BA39+BB38</f>
        <v/>
      </c>
      <c r="BC39" s="190">
        <f>BB39+BC38</f>
        <v/>
      </c>
      <c r="BD39" s="190">
        <f>BC39+BD38</f>
        <v/>
      </c>
      <c r="BE39" s="190">
        <f>BD39+BE38</f>
        <v/>
      </c>
      <c r="BF39" s="190">
        <f>BE39+BF38</f>
        <v/>
      </c>
      <c r="BG39" s="190">
        <f>BF39+BG38</f>
        <v/>
      </c>
      <c r="BH39" s="190">
        <f>BG39+BH38</f>
        <v/>
      </c>
      <c r="BI39" s="190">
        <f>BH39+BI38</f>
        <v/>
      </c>
      <c r="BJ39" s="190">
        <f>BI39+BJ38</f>
        <v/>
      </c>
      <c r="BK39" s="190">
        <f>BJ39+BK38</f>
        <v/>
      </c>
      <c r="BL39" s="190">
        <f>BK39+BL38</f>
        <v/>
      </c>
      <c r="BM39" s="190">
        <f>BL39+BM38</f>
        <v/>
      </c>
      <c r="BN39" s="190">
        <f>BM39+BN38</f>
        <v/>
      </c>
      <c r="BO39" s="190">
        <f>BN39+BO38</f>
        <v/>
      </c>
      <c r="BP39" s="190">
        <f>BO39+BP38</f>
        <v/>
      </c>
      <c r="BQ39" s="190">
        <f>BP39+BQ38</f>
        <v/>
      </c>
      <c r="BR39" s="190">
        <f>BQ39+BR38</f>
        <v/>
      </c>
      <c r="BS39" s="190">
        <f>BR39+BS38</f>
        <v/>
      </c>
      <c r="BT39" s="190">
        <f>BS39+BT38</f>
        <v/>
      </c>
      <c r="BU39" s="190">
        <f>BT39+BU38</f>
        <v/>
      </c>
      <c r="BV39" s="190">
        <f>BU39+BV38</f>
        <v/>
      </c>
      <c r="BW39" s="190">
        <f>BV39+BW38</f>
        <v/>
      </c>
      <c r="BX39" s="190">
        <f>BW39+BX38</f>
        <v/>
      </c>
      <c r="BY39" s="190">
        <f>BX39+BY38</f>
        <v/>
      </c>
      <c r="BZ39" s="190">
        <f>BY39+BZ38</f>
        <v/>
      </c>
      <c r="CA39" s="190">
        <f>BZ39+CA38</f>
        <v/>
      </c>
      <c r="CB39" s="190">
        <f>CA39+CB38</f>
        <v/>
      </c>
      <c r="CC39" s="190">
        <f>CB39+CC38</f>
        <v/>
      </c>
      <c r="CD39" s="190">
        <f>CC39+CD38</f>
        <v/>
      </c>
      <c r="CE39" s="190">
        <f>CD39+CE38</f>
        <v/>
      </c>
      <c r="CF39" s="190">
        <f>CE39+CF38</f>
        <v/>
      </c>
      <c r="CG39" s="190">
        <f>CF39+CG38</f>
        <v/>
      </c>
      <c r="CH39" s="190">
        <f>CG39+CH38</f>
        <v/>
      </c>
      <c r="CI39" s="190">
        <f>CH39+CI38</f>
        <v/>
      </c>
      <c r="CJ39" s="190">
        <f>CI39+CJ38</f>
        <v/>
      </c>
      <c r="CK39" s="190">
        <f>CJ39+CK38</f>
        <v/>
      </c>
      <c r="CL39" s="190">
        <f>CK39+CL38</f>
        <v/>
      </c>
      <c r="CM39" s="190">
        <f>CL39+CM38</f>
        <v/>
      </c>
      <c r="CN39" s="190">
        <f>CM39+CN38</f>
        <v/>
      </c>
      <c r="CO39" s="190">
        <f>CN39+CO38</f>
        <v/>
      </c>
      <c r="CP39" s="190">
        <f>CO39+CP38</f>
        <v/>
      </c>
      <c r="CQ39" s="190">
        <f>CP39+CQ38</f>
        <v/>
      </c>
      <c r="CR39" s="190">
        <f>CQ39+CR38</f>
        <v/>
      </c>
      <c r="CS39" s="190">
        <f>CR39+CS38</f>
        <v/>
      </c>
      <c r="CT39" s="190">
        <f>CS39+CT38</f>
        <v/>
      </c>
      <c r="CU39" s="190">
        <f>CT39+CU38</f>
        <v/>
      </c>
      <c r="CV39" s="190">
        <f>CU39+CV38</f>
        <v/>
      </c>
      <c r="CW39" s="190">
        <f>CV39+CW38</f>
        <v/>
      </c>
      <c r="CX39" s="190">
        <f>CW39+CX38</f>
        <v/>
      </c>
      <c r="CY39" s="190">
        <f>CX39+CY38</f>
        <v/>
      </c>
      <c r="CZ39" s="190">
        <f>CY39+CZ38</f>
        <v/>
      </c>
      <c r="DA39" s="190">
        <f>CZ39+DA38</f>
        <v/>
      </c>
      <c r="DB39" s="190">
        <f>DA39+DB38</f>
        <v/>
      </c>
      <c r="DC39" s="190">
        <f>DB39+DC38</f>
        <v/>
      </c>
      <c r="DD39" s="190">
        <f>DC39+DD38</f>
        <v/>
      </c>
      <c r="DE39" s="190">
        <f>DD39+DE38</f>
        <v/>
      </c>
      <c r="DF39" s="190">
        <f>DE39+DF38</f>
        <v/>
      </c>
      <c r="DG39" s="190">
        <f>DF39+DG38</f>
        <v/>
      </c>
      <c r="DH39" s="190">
        <f>DG39+DH38</f>
        <v/>
      </c>
      <c r="DI39" s="190">
        <f>DH39+DI38</f>
        <v/>
      </c>
      <c r="DJ39" s="190">
        <f>DI39+DJ38</f>
        <v/>
      </c>
      <c r="DK39" s="190">
        <f>DJ39+DK38</f>
        <v/>
      </c>
      <c r="DL39" s="190">
        <f>DK39+DL38</f>
        <v/>
      </c>
      <c r="DM39" s="190">
        <f>DL39+DM38</f>
        <v/>
      </c>
      <c r="DN39" s="190">
        <f>DM39+DN38</f>
        <v/>
      </c>
      <c r="DO39" s="190">
        <f>DN39+DO38</f>
        <v/>
      </c>
      <c r="DP39" s="190">
        <f>DO39+DP38</f>
        <v/>
      </c>
      <c r="DQ39" s="190">
        <f>DP39+DQ38</f>
        <v/>
      </c>
      <c r="DR39" s="190">
        <f>DQ39+DR38</f>
        <v/>
      </c>
      <c r="DS39" s="190">
        <f>DR39+DS38</f>
        <v/>
      </c>
      <c r="DT39" s="190">
        <f>DS39+DT38</f>
        <v/>
      </c>
      <c r="DU39" s="190">
        <f>DT39+DU38</f>
        <v/>
      </c>
      <c r="DV39" s="190">
        <f>DU39+DV38</f>
        <v/>
      </c>
      <c r="DW39" s="190">
        <f>DV39+DW38</f>
        <v/>
      </c>
      <c r="DX39" s="190">
        <f>DW39+DX38</f>
        <v/>
      </c>
      <c r="DY39" s="190">
        <f>DX39+DY38</f>
        <v/>
      </c>
      <c r="DZ39" s="190">
        <f>DY39+DZ38</f>
        <v/>
      </c>
      <c r="EA39" s="190">
        <f>DZ39+EA38</f>
        <v/>
      </c>
      <c r="EB39" s="190">
        <f>EA39+EB38</f>
        <v/>
      </c>
      <c r="EC39" s="190">
        <f>EB39+EC38</f>
        <v/>
      </c>
      <c r="ED39" s="190">
        <f>EC39+ED38</f>
        <v/>
      </c>
      <c r="EE39" s="190">
        <f>ED39+EE38</f>
        <v/>
      </c>
      <c r="EF39" s="190">
        <f>EE39+EF38</f>
        <v/>
      </c>
      <c r="EG39" s="190">
        <f>EF39+EG38</f>
        <v/>
      </c>
      <c r="EH39" s="190">
        <f>EG39+EH38</f>
        <v/>
      </c>
      <c r="EI39" s="190">
        <f>EH39+EI38</f>
        <v/>
      </c>
      <c r="EJ39" s="190">
        <f>EI39+EJ38</f>
        <v/>
      </c>
      <c r="EK39" s="190">
        <f>EJ39+EK38</f>
        <v/>
      </c>
      <c r="EL39" s="190">
        <f>EK39+EL38</f>
        <v/>
      </c>
      <c r="EM39" s="190">
        <f>EL39+EM38</f>
        <v/>
      </c>
      <c r="EN39" s="190">
        <f>EM39+EN38</f>
        <v/>
      </c>
      <c r="EO39" s="190">
        <f>EN39+EO38</f>
        <v/>
      </c>
      <c r="EP39" s="190">
        <f>EO39+EP38</f>
        <v/>
      </c>
      <c r="EQ39" s="190">
        <f>EP39+EQ38</f>
        <v/>
      </c>
      <c r="ER39" s="190">
        <f>EQ39+ER38</f>
        <v/>
      </c>
      <c r="ES39" s="190">
        <f>ER39+ES38</f>
        <v/>
      </c>
      <c r="ET39" s="190">
        <f>ES39+ET38</f>
        <v/>
      </c>
      <c r="EU39" s="190">
        <f>ET39+EU38</f>
        <v/>
      </c>
      <c r="EV39" s="190">
        <f>EU39+EV38</f>
        <v/>
      </c>
      <c r="EW39" s="190">
        <f>EV39+EW38</f>
        <v/>
      </c>
      <c r="EX39" s="190">
        <f>EW39+EX38</f>
        <v/>
      </c>
      <c r="EY39" s="190">
        <f>EX39+EY38</f>
        <v/>
      </c>
      <c r="EZ39" s="190">
        <f>EY39+EZ38</f>
        <v/>
      </c>
      <c r="FA39" s="190">
        <f>EZ39+FA38</f>
        <v/>
      </c>
      <c r="FB39" s="190">
        <f>FA39+FB38</f>
        <v/>
      </c>
      <c r="FC39" s="190">
        <f>FB39+FC38</f>
        <v/>
      </c>
      <c r="FD39" s="190">
        <f>FC39+FD38</f>
        <v/>
      </c>
      <c r="FE39" s="190">
        <f>FD39+FE38</f>
        <v/>
      </c>
      <c r="FF39" s="190">
        <f>FE39+FF38</f>
        <v/>
      </c>
      <c r="FG39" s="190">
        <f>FF39+FG38</f>
        <v/>
      </c>
      <c r="FH39" s="190">
        <f>FG39+FH38</f>
        <v/>
      </c>
      <c r="FI39" s="190">
        <f>FH39+FI38</f>
        <v/>
      </c>
      <c r="FJ39" s="190">
        <f>FI39+FJ38</f>
        <v/>
      </c>
      <c r="FK39" s="190">
        <f>FJ39+FK38</f>
        <v/>
      </c>
      <c r="FL39" s="190">
        <f>FK39+FL38</f>
        <v/>
      </c>
      <c r="FM39" s="190">
        <f>FL39+FM38</f>
        <v/>
      </c>
      <c r="FN39" s="190">
        <f>FM39+FN38</f>
        <v/>
      </c>
      <c r="FO39" s="190">
        <f>FN39+FO38</f>
        <v/>
      </c>
      <c r="FP39" s="190">
        <f>FO39+FP38</f>
        <v/>
      </c>
      <c r="FQ39" s="190">
        <f>FP39+FQ38</f>
        <v/>
      </c>
      <c r="FR39" s="190">
        <f>FQ39+FR38</f>
        <v/>
      </c>
      <c r="FS39" s="190">
        <f>FR39+FS38</f>
        <v/>
      </c>
      <c r="FT39" s="190">
        <f>FS39+FT38</f>
        <v/>
      </c>
      <c r="FU39" s="190">
        <f>FT39+FU38</f>
        <v/>
      </c>
      <c r="FV39" s="190">
        <f>FU39+FV38</f>
        <v/>
      </c>
      <c r="FW39" s="190">
        <f>FV39+FW38</f>
        <v/>
      </c>
      <c r="FX39" s="190">
        <f>FW39+FX38</f>
        <v/>
      </c>
      <c r="FY39" s="190">
        <f>FX39+FY38</f>
        <v/>
      </c>
      <c r="FZ39" s="190">
        <f>FY39+FZ38</f>
        <v/>
      </c>
      <c r="GA39" s="190">
        <f>FZ39+GA38</f>
        <v/>
      </c>
      <c r="GB39" s="190">
        <f>GA39+GB38</f>
        <v/>
      </c>
      <c r="GC39" s="190">
        <f>GB39+GC38</f>
        <v/>
      </c>
      <c r="GD39" s="190">
        <f>GC39+GD38</f>
        <v/>
      </c>
      <c r="GE39" s="190">
        <f>GD39+GE38</f>
        <v/>
      </c>
      <c r="GF39" s="190">
        <f>GE39+GF38</f>
        <v/>
      </c>
      <c r="GG39" s="190">
        <f>GF39+GG38</f>
        <v/>
      </c>
      <c r="GH39" s="190">
        <f>GG39+GH38</f>
        <v/>
      </c>
      <c r="GI39" s="190">
        <f>GH39+GI38</f>
        <v/>
      </c>
      <c r="GJ39" s="190">
        <f>GI39+GJ38</f>
        <v/>
      </c>
      <c r="GK39" s="190">
        <f>GJ39+GK38</f>
        <v/>
      </c>
      <c r="GL39" s="190">
        <f>GK39+GL38</f>
        <v/>
      </c>
      <c r="GM39" s="190">
        <f>GL39+GM38</f>
        <v/>
      </c>
      <c r="GN39" s="190">
        <f>GM39+GN38</f>
        <v/>
      </c>
      <c r="GO39" s="190">
        <f>GN39+GO38</f>
        <v/>
      </c>
      <c r="GP39" s="190">
        <f>GO39+GP38</f>
        <v/>
      </c>
      <c r="GQ39" s="190">
        <f>GP39+GQ38</f>
        <v/>
      </c>
      <c r="GR39" s="190">
        <f>GQ39+GR38</f>
        <v/>
      </c>
      <c r="GS39" s="190">
        <f>GR39+GS38</f>
        <v/>
      </c>
      <c r="GT39" s="190">
        <f>GS39+GT38</f>
        <v/>
      </c>
      <c r="GU39" s="190">
        <f>GT39+GU38</f>
        <v/>
      </c>
      <c r="GV39" s="190">
        <f>GU39+GV38</f>
        <v/>
      </c>
      <c r="GW39" s="190">
        <f>GV39+GW38</f>
        <v/>
      </c>
      <c r="GX39" s="190">
        <f>GW39+GX38</f>
        <v/>
      </c>
      <c r="GY39" s="190">
        <f>GX39+GY38</f>
        <v/>
      </c>
      <c r="GZ39" s="190">
        <f>GY39+GZ38</f>
        <v/>
      </c>
      <c r="HA39" s="190">
        <f>GZ39+HA38</f>
        <v/>
      </c>
      <c r="HB39" s="190">
        <f>HA39+HB38</f>
        <v/>
      </c>
      <c r="HC39" s="190">
        <f>HB39+HC38</f>
        <v/>
      </c>
      <c r="HD39" s="190">
        <f>HC39+HD38</f>
        <v/>
      </c>
      <c r="HE39" s="190">
        <f>HD39+HE38</f>
        <v/>
      </c>
      <c r="HF39" s="190">
        <f>HE39+HF38</f>
        <v/>
      </c>
      <c r="HG39" s="190">
        <f>HF39+HG38</f>
        <v/>
      </c>
      <c r="HH39" s="190">
        <f>HG39+HH38</f>
        <v/>
      </c>
      <c r="HI39" s="190">
        <f>HH39+HI38</f>
        <v/>
      </c>
      <c r="HJ39" s="190">
        <f>HI39+HJ38</f>
        <v/>
      </c>
      <c r="HK39" s="190">
        <f>HJ39+HK38</f>
        <v/>
      </c>
      <c r="HL39" s="190">
        <f>HK39+HL38</f>
        <v/>
      </c>
      <c r="HM39" s="190">
        <f>HL39+HM38</f>
        <v/>
      </c>
      <c r="HN39" s="190">
        <f>HM39+HN38</f>
        <v/>
      </c>
      <c r="HO39" s="190">
        <f>HN39+HO38</f>
        <v/>
      </c>
      <c r="HP39" s="190">
        <f>HO39+HP38</f>
        <v/>
      </c>
      <c r="HQ39" s="190">
        <f>HP39+HQ38</f>
        <v/>
      </c>
      <c r="HR39" s="190">
        <f>HQ39+HR38</f>
        <v/>
      </c>
      <c r="HS39" s="190">
        <f>HR39+HS38</f>
        <v/>
      </c>
      <c r="HT39" s="190">
        <f>HS39+HT38</f>
        <v/>
      </c>
      <c r="HU39" s="190">
        <f>HT39+HU38</f>
        <v/>
      </c>
      <c r="HV39" s="190">
        <f>HU39+HV38</f>
        <v/>
      </c>
      <c r="HW39" s="190">
        <f>HV39+HW38</f>
        <v/>
      </c>
      <c r="HX39" s="190">
        <f>HW39+HX38</f>
        <v/>
      </c>
      <c r="HY39" s="190">
        <f>HX39+HY38</f>
        <v/>
      </c>
      <c r="HZ39" s="190">
        <f>HY39+HZ38</f>
        <v/>
      </c>
      <c r="IA39" s="190">
        <f>HZ39+IA38</f>
        <v/>
      </c>
      <c r="IB39" s="190">
        <f>IA39+IB38</f>
        <v/>
      </c>
      <c r="IC39" s="190">
        <f>IB39+IC38</f>
        <v/>
      </c>
      <c r="ID39" s="190">
        <f>IC39+ID38</f>
        <v/>
      </c>
      <c r="IE39" s="190">
        <f>ID39+IE38</f>
        <v/>
      </c>
      <c r="IF39" s="190">
        <f>IE39+IF38</f>
        <v/>
      </c>
      <c r="IG39" s="190">
        <f>IF39+IG38</f>
        <v/>
      </c>
      <c r="IH39" s="190">
        <f>IG39+IH38</f>
        <v/>
      </c>
      <c r="II39" s="190">
        <f>IH39+II38</f>
        <v/>
      </c>
      <c r="IJ39" s="190">
        <f>II39+IJ38</f>
        <v/>
      </c>
      <c r="IK39" s="190">
        <f>IJ39+IK38</f>
        <v/>
      </c>
      <c r="IL39" s="190">
        <f>IK39+IL38</f>
        <v/>
      </c>
      <c r="IM39" s="190">
        <f>IL39+IM38</f>
        <v/>
      </c>
      <c r="IN39" s="190">
        <f>IM39+IN38</f>
        <v/>
      </c>
      <c r="IO39" s="190">
        <f>IN39+IO38</f>
        <v/>
      </c>
      <c r="IP39" s="190">
        <f>IO39+IP38</f>
        <v/>
      </c>
      <c r="IQ39" s="190">
        <f>IP39+IQ38</f>
        <v/>
      </c>
      <c r="IR39" s="190">
        <f>IQ39+IR38</f>
        <v/>
      </c>
      <c r="IS39" s="190">
        <f>IR39+IS38</f>
        <v/>
      </c>
      <c r="IT39" s="190">
        <f>IS39+IT38</f>
        <v/>
      </c>
      <c r="IU39" s="190">
        <f>IT39+IU38</f>
        <v/>
      </c>
      <c r="IV39" s="190">
        <f>IU39+IV38</f>
        <v/>
      </c>
      <c r="IW39" s="190">
        <f>IV39+IW38</f>
        <v/>
      </c>
      <c r="IX39" s="190">
        <f>IW39+IX38</f>
        <v/>
      </c>
      <c r="IY39" s="190">
        <f>IX39+IY38</f>
        <v/>
      </c>
      <c r="IZ39" s="190">
        <f>IY39+IZ38</f>
        <v/>
      </c>
      <c r="JA39" s="190">
        <f>IZ39+JA38</f>
        <v/>
      </c>
      <c r="JB39" s="190">
        <f>JA39+JB38</f>
        <v/>
      </c>
      <c r="JC39" s="190">
        <f>JB39+JC38</f>
        <v/>
      </c>
      <c r="JD39" s="190">
        <f>JC39+JD38</f>
        <v/>
      </c>
      <c r="JE39" s="190">
        <f>JD39+JE38</f>
        <v/>
      </c>
      <c r="JF39" s="190">
        <f>JE39+JF38</f>
        <v/>
      </c>
      <c r="JG39" s="190">
        <f>JF39+JG38</f>
        <v/>
      </c>
      <c r="JH39" s="190">
        <f>JG39+JH38</f>
        <v/>
      </c>
      <c r="JI39" s="190">
        <f>JH39+JI38</f>
        <v/>
      </c>
      <c r="JJ39" s="190">
        <f>JI39+JJ38</f>
        <v/>
      </c>
      <c r="JK39" s="190">
        <f>JJ39+JK38</f>
        <v/>
      </c>
      <c r="JL39" s="190">
        <f>JK39+JL38</f>
        <v/>
      </c>
      <c r="JM39" s="190">
        <f>JL39+JM38</f>
        <v/>
      </c>
      <c r="JN39" s="190">
        <f>JM39+JN38</f>
        <v/>
      </c>
      <c r="JO39" s="190">
        <f>JN39+JO38</f>
        <v/>
      </c>
      <c r="JP39" s="190">
        <f>JO39+JP38</f>
        <v/>
      </c>
      <c r="JQ39" s="190">
        <f>JP39+JQ38</f>
        <v/>
      </c>
      <c r="JR39" s="190">
        <f>JQ39+JR38</f>
        <v/>
      </c>
      <c r="JS39" s="190">
        <f>JR39+JS38</f>
        <v/>
      </c>
      <c r="JT39" s="190">
        <f>JS39+JT38</f>
        <v/>
      </c>
      <c r="JU39" s="190">
        <f>JT39+JU38</f>
        <v/>
      </c>
      <c r="JV39" s="190">
        <f>JU39+JV38</f>
        <v/>
      </c>
      <c r="JW39" s="190">
        <f>JV39+JW38</f>
        <v/>
      </c>
      <c r="JX39" s="190">
        <f>JW39+JX38</f>
        <v/>
      </c>
      <c r="JY39" s="190">
        <f>JX39+JY38</f>
        <v/>
      </c>
      <c r="JZ39" s="190">
        <f>JY39+JZ38</f>
        <v/>
      </c>
      <c r="KA39" s="190">
        <f>JZ39+KA38</f>
        <v/>
      </c>
      <c r="KB39" s="190">
        <f>KA39+KB38</f>
        <v/>
      </c>
      <c r="KC39" s="190">
        <f>KB39+KC38</f>
        <v/>
      </c>
      <c r="KD39" s="190">
        <f>KC39+KD38</f>
        <v/>
      </c>
      <c r="KE39" s="190">
        <f>KD39+KE38</f>
        <v/>
      </c>
      <c r="KF39" s="190">
        <f>KE39+KF38</f>
        <v/>
      </c>
      <c r="KG39" s="190">
        <f>KF39+KG38</f>
        <v/>
      </c>
      <c r="KH39" s="190">
        <f>KG39+KH38</f>
        <v/>
      </c>
      <c r="KI39" s="190">
        <f>KH39+KI38</f>
        <v/>
      </c>
      <c r="KJ39" s="190">
        <f>KI39+KJ38</f>
        <v/>
      </c>
      <c r="KK39" s="190">
        <f>KJ39+KK38</f>
        <v/>
      </c>
      <c r="KL39" s="190">
        <f>KK39+KL38</f>
        <v/>
      </c>
      <c r="KM39" s="190">
        <f>KL39+KM38</f>
        <v/>
      </c>
      <c r="KN39" s="190">
        <f>KM39+KN38</f>
        <v/>
      </c>
      <c r="KO39" s="190">
        <f>KN39+KO38</f>
        <v/>
      </c>
      <c r="KP39" s="190">
        <f>KO39+KP38</f>
        <v/>
      </c>
    </row>
    <row r="41" ht="18" customHeight="1" s="133">
      <c r="A41" s="191" t="inlineStr">
        <is>
          <t>NPV SUMMARY — Segmented WACC vs Single WACC</t>
        </is>
      </c>
    </row>
    <row r="42" ht="14" customHeight="1" s="133">
      <c r="A42" s="144" t="inlineStr">
        <is>
          <t>Scenario</t>
        </is>
      </c>
      <c r="B42" s="144" t="inlineStr">
        <is>
          <t>NPV Segmented (EURk)</t>
        </is>
      </c>
      <c r="C42" s="144" t="inlineStr">
        <is>
          <t>NPV Single WACC (EURk)</t>
        </is>
      </c>
      <c r="D42" s="144" t="inlineStr">
        <is>
          <t>Difference (EURk)</t>
        </is>
      </c>
      <c r="E42" s="144" t="inlineStr">
        <is>
          <t>Difference (%)</t>
        </is>
      </c>
    </row>
    <row r="43" ht="18" customHeight="1" s="133">
      <c r="A43" s="181" t="inlineStr">
        <is>
          <t>P50 — Base Case</t>
        </is>
      </c>
      <c r="B43" s="192">
        <f>SUM(C14:KP14)-Assumptions!$E$31</f>
        <v/>
      </c>
      <c r="C43" s="192">
        <f>SUMPRODUCT(C12:KP12,C53:KP53)-Assumptions!$E$31</f>
        <v/>
      </c>
      <c r="D43" s="192">
        <f>C43-B43</f>
        <v/>
      </c>
      <c r="E43" s="193">
        <f>IF(B43&lt;&gt;0,D43/ABS(B43),0)</f>
        <v/>
      </c>
    </row>
    <row r="44" ht="18" customHeight="1" s="133">
      <c r="A44" s="185" t="inlineStr">
        <is>
          <t>P90 — Conservative</t>
        </is>
      </c>
      <c r="B44" s="194">
        <f>SUM(C26:KP26)-Assumptions!$E$31</f>
        <v/>
      </c>
      <c r="C44" s="194">
        <f>SUMPRODUCT(C24:KP24,C53:KP53)-Assumptions!$E$31</f>
        <v/>
      </c>
      <c r="D44" s="194">
        <f>C44-B44</f>
        <v/>
      </c>
      <c r="E44" s="195">
        <f>IF(B44&lt;&gt;0,D44/ABS(B44),0)</f>
        <v/>
      </c>
    </row>
    <row r="45" ht="18" customHeight="1" s="133">
      <c r="A45" s="188" t="inlineStr">
        <is>
          <t>P99 — Extreme Stress</t>
        </is>
      </c>
      <c r="B45" s="196">
        <f>SUM(C38:KP38)-Assumptions!$E$31</f>
        <v/>
      </c>
      <c r="C45" s="196">
        <f>SUMPRODUCT(C36:KP36,C53:KP53)-Assumptions!$E$31</f>
        <v/>
      </c>
      <c r="D45" s="196">
        <f>C45-B45</f>
        <v/>
      </c>
      <c r="E45" s="197">
        <f>IF(B45&lt;&gt;0,D45/ABS(B45),0)</f>
        <v/>
      </c>
    </row>
    <row r="53">
      <c r="C53" s="198">
        <f>1/(1+(120/300*WACC!$E$34+180/300*WACC!$E$35))^1</f>
        <v/>
      </c>
      <c r="D53" s="198">
        <f>1/(1+(120/300*WACC!$E$34+180/300*WACC!$E$35))^2</f>
        <v/>
      </c>
      <c r="E53" s="198">
        <f>1/(1+(120/300*WACC!$E$34+180/300*WACC!$E$35))^3</f>
        <v/>
      </c>
      <c r="F53" s="198">
        <f>1/(1+(120/300*WACC!$E$34+180/300*WACC!$E$35))^4</f>
        <v/>
      </c>
      <c r="G53" s="198">
        <f>1/(1+(120/300*WACC!$E$34+180/300*WACC!$E$35))^5</f>
        <v/>
      </c>
      <c r="H53" s="198">
        <f>1/(1+(120/300*WACC!$E$34+180/300*WACC!$E$35))^6</f>
        <v/>
      </c>
      <c r="I53" s="198">
        <f>1/(1+(120/300*WACC!$E$34+180/300*WACC!$E$35))^7</f>
        <v/>
      </c>
      <c r="J53" s="198">
        <f>1/(1+(120/300*WACC!$E$34+180/300*WACC!$E$35))^8</f>
        <v/>
      </c>
      <c r="K53" s="198">
        <f>1/(1+(120/300*WACC!$E$34+180/300*WACC!$E$35))^9</f>
        <v/>
      </c>
      <c r="L53" s="198">
        <f>1/(1+(120/300*WACC!$E$34+180/300*WACC!$E$35))^10</f>
        <v/>
      </c>
      <c r="M53" s="198">
        <f>1/(1+(120/300*WACC!$E$34+180/300*WACC!$E$35))^11</f>
        <v/>
      </c>
      <c r="N53" s="198">
        <f>1/(1+(120/300*WACC!$E$34+180/300*WACC!$E$35))^12</f>
        <v/>
      </c>
      <c r="O53" s="198">
        <f>1/(1+(120/300*WACC!$E$34+180/300*WACC!$E$35))^13</f>
        <v/>
      </c>
      <c r="P53" s="198">
        <f>1/(1+(120/300*WACC!$E$34+180/300*WACC!$E$35))^14</f>
        <v/>
      </c>
      <c r="Q53" s="198">
        <f>1/(1+(120/300*WACC!$E$34+180/300*WACC!$E$35))^15</f>
        <v/>
      </c>
      <c r="R53" s="198">
        <f>1/(1+(120/300*WACC!$E$34+180/300*WACC!$E$35))^16</f>
        <v/>
      </c>
      <c r="S53" s="198">
        <f>1/(1+(120/300*WACC!$E$34+180/300*WACC!$E$35))^17</f>
        <v/>
      </c>
      <c r="T53" s="198">
        <f>1/(1+(120/300*WACC!$E$34+180/300*WACC!$E$35))^18</f>
        <v/>
      </c>
      <c r="U53" s="198">
        <f>1/(1+(120/300*WACC!$E$34+180/300*WACC!$E$35))^19</f>
        <v/>
      </c>
      <c r="V53" s="198">
        <f>1/(1+(120/300*WACC!$E$34+180/300*WACC!$E$35))^20</f>
        <v/>
      </c>
      <c r="W53" s="198">
        <f>1/(1+(120/300*WACC!$E$34+180/300*WACC!$E$35))^21</f>
        <v/>
      </c>
      <c r="X53" s="198">
        <f>1/(1+(120/300*WACC!$E$34+180/300*WACC!$E$35))^22</f>
        <v/>
      </c>
      <c r="Y53" s="198">
        <f>1/(1+(120/300*WACC!$E$34+180/300*WACC!$E$35))^23</f>
        <v/>
      </c>
      <c r="Z53" s="198">
        <f>1/(1+(120/300*WACC!$E$34+180/300*WACC!$E$35))^24</f>
        <v/>
      </c>
      <c r="AA53" s="198">
        <f>1/(1+(120/300*WACC!$E$34+180/300*WACC!$E$35))^25</f>
        <v/>
      </c>
      <c r="AB53" s="198">
        <f>1/(1+(120/300*WACC!$E$34+180/300*WACC!$E$35))^26</f>
        <v/>
      </c>
      <c r="AC53" s="198">
        <f>1/(1+(120/300*WACC!$E$34+180/300*WACC!$E$35))^27</f>
        <v/>
      </c>
      <c r="AD53" s="198">
        <f>1/(1+(120/300*WACC!$E$34+180/300*WACC!$E$35))^28</f>
        <v/>
      </c>
      <c r="AE53" s="198">
        <f>1/(1+(120/300*WACC!$E$34+180/300*WACC!$E$35))^29</f>
        <v/>
      </c>
      <c r="AF53" s="198">
        <f>1/(1+(120/300*WACC!$E$34+180/300*WACC!$E$35))^30</f>
        <v/>
      </c>
      <c r="AG53" s="198">
        <f>1/(1+(120/300*WACC!$E$34+180/300*WACC!$E$35))^31</f>
        <v/>
      </c>
      <c r="AH53" s="198">
        <f>1/(1+(120/300*WACC!$E$34+180/300*WACC!$E$35))^32</f>
        <v/>
      </c>
      <c r="AI53" s="198">
        <f>1/(1+(120/300*WACC!$E$34+180/300*WACC!$E$35))^33</f>
        <v/>
      </c>
      <c r="AJ53" s="198">
        <f>1/(1+(120/300*WACC!$E$34+180/300*WACC!$E$35))^34</f>
        <v/>
      </c>
      <c r="AK53" s="198">
        <f>1/(1+(120/300*WACC!$E$34+180/300*WACC!$E$35))^35</f>
        <v/>
      </c>
      <c r="AL53" s="198">
        <f>1/(1+(120/300*WACC!$E$34+180/300*WACC!$E$35))^36</f>
        <v/>
      </c>
      <c r="AM53" s="198">
        <f>1/(1+(120/300*WACC!$E$34+180/300*WACC!$E$35))^37</f>
        <v/>
      </c>
      <c r="AN53" s="198">
        <f>1/(1+(120/300*WACC!$E$34+180/300*WACC!$E$35))^38</f>
        <v/>
      </c>
      <c r="AO53" s="198">
        <f>1/(1+(120/300*WACC!$E$34+180/300*WACC!$E$35))^39</f>
        <v/>
      </c>
      <c r="AP53" s="198">
        <f>1/(1+(120/300*WACC!$E$34+180/300*WACC!$E$35))^40</f>
        <v/>
      </c>
      <c r="AQ53" s="198">
        <f>1/(1+(120/300*WACC!$E$34+180/300*WACC!$E$35))^41</f>
        <v/>
      </c>
      <c r="AR53" s="198">
        <f>1/(1+(120/300*WACC!$E$34+180/300*WACC!$E$35))^42</f>
        <v/>
      </c>
      <c r="AS53" s="198">
        <f>1/(1+(120/300*WACC!$E$34+180/300*WACC!$E$35))^43</f>
        <v/>
      </c>
      <c r="AT53" s="198">
        <f>1/(1+(120/300*WACC!$E$34+180/300*WACC!$E$35))^44</f>
        <v/>
      </c>
      <c r="AU53" s="198">
        <f>1/(1+(120/300*WACC!$E$34+180/300*WACC!$E$35))^45</f>
        <v/>
      </c>
      <c r="AV53" s="198">
        <f>1/(1+(120/300*WACC!$E$34+180/300*WACC!$E$35))^46</f>
        <v/>
      </c>
      <c r="AW53" s="198">
        <f>1/(1+(120/300*WACC!$E$34+180/300*WACC!$E$35))^47</f>
        <v/>
      </c>
      <c r="AX53" s="198">
        <f>1/(1+(120/300*WACC!$E$34+180/300*WACC!$E$35))^48</f>
        <v/>
      </c>
      <c r="AY53" s="198">
        <f>1/(1+(120/300*WACC!$E$34+180/300*WACC!$E$35))^49</f>
        <v/>
      </c>
      <c r="AZ53" s="198">
        <f>1/(1+(120/300*WACC!$E$34+180/300*WACC!$E$35))^50</f>
        <v/>
      </c>
      <c r="BA53" s="198">
        <f>1/(1+(120/300*WACC!$E$34+180/300*WACC!$E$35))^51</f>
        <v/>
      </c>
      <c r="BB53" s="198">
        <f>1/(1+(120/300*WACC!$E$34+180/300*WACC!$E$35))^52</f>
        <v/>
      </c>
      <c r="BC53" s="198">
        <f>1/(1+(120/300*WACC!$E$34+180/300*WACC!$E$35))^53</f>
        <v/>
      </c>
      <c r="BD53" s="198">
        <f>1/(1+(120/300*WACC!$E$34+180/300*WACC!$E$35))^54</f>
        <v/>
      </c>
      <c r="BE53" s="198">
        <f>1/(1+(120/300*WACC!$E$34+180/300*WACC!$E$35))^55</f>
        <v/>
      </c>
      <c r="BF53" s="198">
        <f>1/(1+(120/300*WACC!$E$34+180/300*WACC!$E$35))^56</f>
        <v/>
      </c>
      <c r="BG53" s="198">
        <f>1/(1+(120/300*WACC!$E$34+180/300*WACC!$E$35))^57</f>
        <v/>
      </c>
      <c r="BH53" s="198">
        <f>1/(1+(120/300*WACC!$E$34+180/300*WACC!$E$35))^58</f>
        <v/>
      </c>
      <c r="BI53" s="198">
        <f>1/(1+(120/300*WACC!$E$34+180/300*WACC!$E$35))^59</f>
        <v/>
      </c>
      <c r="BJ53" s="198">
        <f>1/(1+(120/300*WACC!$E$34+180/300*WACC!$E$35))^60</f>
        <v/>
      </c>
      <c r="BK53" s="198">
        <f>1/(1+(120/300*WACC!$E$34+180/300*WACC!$E$35))^61</f>
        <v/>
      </c>
      <c r="BL53" s="198">
        <f>1/(1+(120/300*WACC!$E$34+180/300*WACC!$E$35))^62</f>
        <v/>
      </c>
      <c r="BM53" s="198">
        <f>1/(1+(120/300*WACC!$E$34+180/300*WACC!$E$35))^63</f>
        <v/>
      </c>
      <c r="BN53" s="198">
        <f>1/(1+(120/300*WACC!$E$34+180/300*WACC!$E$35))^64</f>
        <v/>
      </c>
      <c r="BO53" s="198">
        <f>1/(1+(120/300*WACC!$E$34+180/300*WACC!$E$35))^65</f>
        <v/>
      </c>
      <c r="BP53" s="198">
        <f>1/(1+(120/300*WACC!$E$34+180/300*WACC!$E$35))^66</f>
        <v/>
      </c>
      <c r="BQ53" s="198">
        <f>1/(1+(120/300*WACC!$E$34+180/300*WACC!$E$35))^67</f>
        <v/>
      </c>
      <c r="BR53" s="198">
        <f>1/(1+(120/300*WACC!$E$34+180/300*WACC!$E$35))^68</f>
        <v/>
      </c>
      <c r="BS53" s="198">
        <f>1/(1+(120/300*WACC!$E$34+180/300*WACC!$E$35))^69</f>
        <v/>
      </c>
      <c r="BT53" s="198">
        <f>1/(1+(120/300*WACC!$E$34+180/300*WACC!$E$35))^70</f>
        <v/>
      </c>
      <c r="BU53" s="198">
        <f>1/(1+(120/300*WACC!$E$34+180/300*WACC!$E$35))^71</f>
        <v/>
      </c>
      <c r="BV53" s="198">
        <f>1/(1+(120/300*WACC!$E$34+180/300*WACC!$E$35))^72</f>
        <v/>
      </c>
      <c r="BW53" s="198">
        <f>1/(1+(120/300*WACC!$E$34+180/300*WACC!$E$35))^73</f>
        <v/>
      </c>
      <c r="BX53" s="198">
        <f>1/(1+(120/300*WACC!$E$34+180/300*WACC!$E$35))^74</f>
        <v/>
      </c>
      <c r="BY53" s="198">
        <f>1/(1+(120/300*WACC!$E$34+180/300*WACC!$E$35))^75</f>
        <v/>
      </c>
      <c r="BZ53" s="198">
        <f>1/(1+(120/300*WACC!$E$34+180/300*WACC!$E$35))^76</f>
        <v/>
      </c>
      <c r="CA53" s="198">
        <f>1/(1+(120/300*WACC!$E$34+180/300*WACC!$E$35))^77</f>
        <v/>
      </c>
      <c r="CB53" s="198">
        <f>1/(1+(120/300*WACC!$E$34+180/300*WACC!$E$35))^78</f>
        <v/>
      </c>
      <c r="CC53" s="198">
        <f>1/(1+(120/300*WACC!$E$34+180/300*WACC!$E$35))^79</f>
        <v/>
      </c>
      <c r="CD53" s="198">
        <f>1/(1+(120/300*WACC!$E$34+180/300*WACC!$E$35))^80</f>
        <v/>
      </c>
      <c r="CE53" s="198">
        <f>1/(1+(120/300*WACC!$E$34+180/300*WACC!$E$35))^81</f>
        <v/>
      </c>
      <c r="CF53" s="198">
        <f>1/(1+(120/300*WACC!$E$34+180/300*WACC!$E$35))^82</f>
        <v/>
      </c>
      <c r="CG53" s="198">
        <f>1/(1+(120/300*WACC!$E$34+180/300*WACC!$E$35))^83</f>
        <v/>
      </c>
      <c r="CH53" s="198">
        <f>1/(1+(120/300*WACC!$E$34+180/300*WACC!$E$35))^84</f>
        <v/>
      </c>
      <c r="CI53" s="198">
        <f>1/(1+(120/300*WACC!$E$34+180/300*WACC!$E$35))^85</f>
        <v/>
      </c>
      <c r="CJ53" s="198">
        <f>1/(1+(120/300*WACC!$E$34+180/300*WACC!$E$35))^86</f>
        <v/>
      </c>
      <c r="CK53" s="198">
        <f>1/(1+(120/300*WACC!$E$34+180/300*WACC!$E$35))^87</f>
        <v/>
      </c>
      <c r="CL53" s="198">
        <f>1/(1+(120/300*WACC!$E$34+180/300*WACC!$E$35))^88</f>
        <v/>
      </c>
      <c r="CM53" s="198">
        <f>1/(1+(120/300*WACC!$E$34+180/300*WACC!$E$35))^89</f>
        <v/>
      </c>
      <c r="CN53" s="198">
        <f>1/(1+(120/300*WACC!$E$34+180/300*WACC!$E$35))^90</f>
        <v/>
      </c>
      <c r="CO53" s="198">
        <f>1/(1+(120/300*WACC!$E$34+180/300*WACC!$E$35))^91</f>
        <v/>
      </c>
      <c r="CP53" s="198">
        <f>1/(1+(120/300*WACC!$E$34+180/300*WACC!$E$35))^92</f>
        <v/>
      </c>
      <c r="CQ53" s="198">
        <f>1/(1+(120/300*WACC!$E$34+180/300*WACC!$E$35))^93</f>
        <v/>
      </c>
      <c r="CR53" s="198">
        <f>1/(1+(120/300*WACC!$E$34+180/300*WACC!$E$35))^94</f>
        <v/>
      </c>
      <c r="CS53" s="198">
        <f>1/(1+(120/300*WACC!$E$34+180/300*WACC!$E$35))^95</f>
        <v/>
      </c>
      <c r="CT53" s="198">
        <f>1/(1+(120/300*WACC!$E$34+180/300*WACC!$E$35))^96</f>
        <v/>
      </c>
      <c r="CU53" s="198">
        <f>1/(1+(120/300*WACC!$E$34+180/300*WACC!$E$35))^97</f>
        <v/>
      </c>
      <c r="CV53" s="198">
        <f>1/(1+(120/300*WACC!$E$34+180/300*WACC!$E$35))^98</f>
        <v/>
      </c>
      <c r="CW53" s="198">
        <f>1/(1+(120/300*WACC!$E$34+180/300*WACC!$E$35))^99</f>
        <v/>
      </c>
      <c r="CX53" s="198">
        <f>1/(1+(120/300*WACC!$E$34+180/300*WACC!$E$35))^100</f>
        <v/>
      </c>
      <c r="CY53" s="198">
        <f>1/(1+(120/300*WACC!$E$34+180/300*WACC!$E$35))^101</f>
        <v/>
      </c>
      <c r="CZ53" s="198">
        <f>1/(1+(120/300*WACC!$E$34+180/300*WACC!$E$35))^102</f>
        <v/>
      </c>
      <c r="DA53" s="198">
        <f>1/(1+(120/300*WACC!$E$34+180/300*WACC!$E$35))^103</f>
        <v/>
      </c>
      <c r="DB53" s="198">
        <f>1/(1+(120/300*WACC!$E$34+180/300*WACC!$E$35))^104</f>
        <v/>
      </c>
      <c r="DC53" s="198">
        <f>1/(1+(120/300*WACC!$E$34+180/300*WACC!$E$35))^105</f>
        <v/>
      </c>
      <c r="DD53" s="198">
        <f>1/(1+(120/300*WACC!$E$34+180/300*WACC!$E$35))^106</f>
        <v/>
      </c>
      <c r="DE53" s="198">
        <f>1/(1+(120/300*WACC!$E$34+180/300*WACC!$E$35))^107</f>
        <v/>
      </c>
      <c r="DF53" s="198">
        <f>1/(1+(120/300*WACC!$E$34+180/300*WACC!$E$35))^108</f>
        <v/>
      </c>
      <c r="DG53" s="198">
        <f>1/(1+(120/300*WACC!$E$34+180/300*WACC!$E$35))^109</f>
        <v/>
      </c>
      <c r="DH53" s="198">
        <f>1/(1+(120/300*WACC!$E$34+180/300*WACC!$E$35))^110</f>
        <v/>
      </c>
      <c r="DI53" s="198">
        <f>1/(1+(120/300*WACC!$E$34+180/300*WACC!$E$35))^111</f>
        <v/>
      </c>
      <c r="DJ53" s="198">
        <f>1/(1+(120/300*WACC!$E$34+180/300*WACC!$E$35))^112</f>
        <v/>
      </c>
      <c r="DK53" s="198">
        <f>1/(1+(120/300*WACC!$E$34+180/300*WACC!$E$35))^113</f>
        <v/>
      </c>
      <c r="DL53" s="198">
        <f>1/(1+(120/300*WACC!$E$34+180/300*WACC!$E$35))^114</f>
        <v/>
      </c>
      <c r="DM53" s="198">
        <f>1/(1+(120/300*WACC!$E$34+180/300*WACC!$E$35))^115</f>
        <v/>
      </c>
      <c r="DN53" s="198">
        <f>1/(1+(120/300*WACC!$E$34+180/300*WACC!$E$35))^116</f>
        <v/>
      </c>
      <c r="DO53" s="198">
        <f>1/(1+(120/300*WACC!$E$34+180/300*WACC!$E$35))^117</f>
        <v/>
      </c>
      <c r="DP53" s="198">
        <f>1/(1+(120/300*WACC!$E$34+180/300*WACC!$E$35))^118</f>
        <v/>
      </c>
      <c r="DQ53" s="198">
        <f>1/(1+(120/300*WACC!$E$34+180/300*WACC!$E$35))^119</f>
        <v/>
      </c>
      <c r="DR53" s="198">
        <f>1/(1+(120/300*WACC!$E$34+180/300*WACC!$E$35))^120</f>
        <v/>
      </c>
      <c r="DS53" s="198">
        <f>1/(1+(120/300*WACC!$E$34+180/300*WACC!$E$35))^121</f>
        <v/>
      </c>
      <c r="DT53" s="198">
        <f>1/(1+(120/300*WACC!$E$34+180/300*WACC!$E$35))^122</f>
        <v/>
      </c>
      <c r="DU53" s="198">
        <f>1/(1+(120/300*WACC!$E$34+180/300*WACC!$E$35))^123</f>
        <v/>
      </c>
      <c r="DV53" s="198">
        <f>1/(1+(120/300*WACC!$E$34+180/300*WACC!$E$35))^124</f>
        <v/>
      </c>
      <c r="DW53" s="198">
        <f>1/(1+(120/300*WACC!$E$34+180/300*WACC!$E$35))^125</f>
        <v/>
      </c>
      <c r="DX53" s="198">
        <f>1/(1+(120/300*WACC!$E$34+180/300*WACC!$E$35))^126</f>
        <v/>
      </c>
      <c r="DY53" s="198">
        <f>1/(1+(120/300*WACC!$E$34+180/300*WACC!$E$35))^127</f>
        <v/>
      </c>
      <c r="DZ53" s="198">
        <f>1/(1+(120/300*WACC!$E$34+180/300*WACC!$E$35))^128</f>
        <v/>
      </c>
      <c r="EA53" s="198">
        <f>1/(1+(120/300*WACC!$E$34+180/300*WACC!$E$35))^129</f>
        <v/>
      </c>
      <c r="EB53" s="198">
        <f>1/(1+(120/300*WACC!$E$34+180/300*WACC!$E$35))^130</f>
        <v/>
      </c>
      <c r="EC53" s="198">
        <f>1/(1+(120/300*WACC!$E$34+180/300*WACC!$E$35))^131</f>
        <v/>
      </c>
      <c r="ED53" s="198">
        <f>1/(1+(120/300*WACC!$E$34+180/300*WACC!$E$35))^132</f>
        <v/>
      </c>
      <c r="EE53" s="198">
        <f>1/(1+(120/300*WACC!$E$34+180/300*WACC!$E$35))^133</f>
        <v/>
      </c>
      <c r="EF53" s="198">
        <f>1/(1+(120/300*WACC!$E$34+180/300*WACC!$E$35))^134</f>
        <v/>
      </c>
      <c r="EG53" s="198">
        <f>1/(1+(120/300*WACC!$E$34+180/300*WACC!$E$35))^135</f>
        <v/>
      </c>
      <c r="EH53" s="198">
        <f>1/(1+(120/300*WACC!$E$34+180/300*WACC!$E$35))^136</f>
        <v/>
      </c>
      <c r="EI53" s="198">
        <f>1/(1+(120/300*WACC!$E$34+180/300*WACC!$E$35))^137</f>
        <v/>
      </c>
      <c r="EJ53" s="198">
        <f>1/(1+(120/300*WACC!$E$34+180/300*WACC!$E$35))^138</f>
        <v/>
      </c>
      <c r="EK53" s="198">
        <f>1/(1+(120/300*WACC!$E$34+180/300*WACC!$E$35))^139</f>
        <v/>
      </c>
      <c r="EL53" s="198">
        <f>1/(1+(120/300*WACC!$E$34+180/300*WACC!$E$35))^140</f>
        <v/>
      </c>
      <c r="EM53" s="198">
        <f>1/(1+(120/300*WACC!$E$34+180/300*WACC!$E$35))^141</f>
        <v/>
      </c>
      <c r="EN53" s="198">
        <f>1/(1+(120/300*WACC!$E$34+180/300*WACC!$E$35))^142</f>
        <v/>
      </c>
      <c r="EO53" s="198">
        <f>1/(1+(120/300*WACC!$E$34+180/300*WACC!$E$35))^143</f>
        <v/>
      </c>
      <c r="EP53" s="198">
        <f>1/(1+(120/300*WACC!$E$34+180/300*WACC!$E$35))^144</f>
        <v/>
      </c>
      <c r="EQ53" s="198">
        <f>1/(1+(120/300*WACC!$E$34+180/300*WACC!$E$35))^145</f>
        <v/>
      </c>
      <c r="ER53" s="198">
        <f>1/(1+(120/300*WACC!$E$34+180/300*WACC!$E$35))^146</f>
        <v/>
      </c>
      <c r="ES53" s="198">
        <f>1/(1+(120/300*WACC!$E$34+180/300*WACC!$E$35))^147</f>
        <v/>
      </c>
      <c r="ET53" s="198">
        <f>1/(1+(120/300*WACC!$E$34+180/300*WACC!$E$35))^148</f>
        <v/>
      </c>
      <c r="EU53" s="198">
        <f>1/(1+(120/300*WACC!$E$34+180/300*WACC!$E$35))^149</f>
        <v/>
      </c>
      <c r="EV53" s="198">
        <f>1/(1+(120/300*WACC!$E$34+180/300*WACC!$E$35))^150</f>
        <v/>
      </c>
      <c r="EW53" s="198">
        <f>1/(1+(120/300*WACC!$E$34+180/300*WACC!$E$35))^151</f>
        <v/>
      </c>
      <c r="EX53" s="198">
        <f>1/(1+(120/300*WACC!$E$34+180/300*WACC!$E$35))^152</f>
        <v/>
      </c>
      <c r="EY53" s="198">
        <f>1/(1+(120/300*WACC!$E$34+180/300*WACC!$E$35))^153</f>
        <v/>
      </c>
      <c r="EZ53" s="198">
        <f>1/(1+(120/300*WACC!$E$34+180/300*WACC!$E$35))^154</f>
        <v/>
      </c>
      <c r="FA53" s="198">
        <f>1/(1+(120/300*WACC!$E$34+180/300*WACC!$E$35))^155</f>
        <v/>
      </c>
      <c r="FB53" s="198">
        <f>1/(1+(120/300*WACC!$E$34+180/300*WACC!$E$35))^156</f>
        <v/>
      </c>
      <c r="FC53" s="198">
        <f>1/(1+(120/300*WACC!$E$34+180/300*WACC!$E$35))^157</f>
        <v/>
      </c>
      <c r="FD53" s="198">
        <f>1/(1+(120/300*WACC!$E$34+180/300*WACC!$E$35))^158</f>
        <v/>
      </c>
      <c r="FE53" s="198">
        <f>1/(1+(120/300*WACC!$E$34+180/300*WACC!$E$35))^159</f>
        <v/>
      </c>
      <c r="FF53" s="198">
        <f>1/(1+(120/300*WACC!$E$34+180/300*WACC!$E$35))^160</f>
        <v/>
      </c>
      <c r="FG53" s="198">
        <f>1/(1+(120/300*WACC!$E$34+180/300*WACC!$E$35))^161</f>
        <v/>
      </c>
      <c r="FH53" s="198">
        <f>1/(1+(120/300*WACC!$E$34+180/300*WACC!$E$35))^162</f>
        <v/>
      </c>
      <c r="FI53" s="198">
        <f>1/(1+(120/300*WACC!$E$34+180/300*WACC!$E$35))^163</f>
        <v/>
      </c>
      <c r="FJ53" s="198">
        <f>1/(1+(120/300*WACC!$E$34+180/300*WACC!$E$35))^164</f>
        <v/>
      </c>
      <c r="FK53" s="198">
        <f>1/(1+(120/300*WACC!$E$34+180/300*WACC!$E$35))^165</f>
        <v/>
      </c>
      <c r="FL53" s="198">
        <f>1/(1+(120/300*WACC!$E$34+180/300*WACC!$E$35))^166</f>
        <v/>
      </c>
      <c r="FM53" s="198">
        <f>1/(1+(120/300*WACC!$E$34+180/300*WACC!$E$35))^167</f>
        <v/>
      </c>
      <c r="FN53" s="198">
        <f>1/(1+(120/300*WACC!$E$34+180/300*WACC!$E$35))^168</f>
        <v/>
      </c>
      <c r="FO53" s="198">
        <f>1/(1+(120/300*WACC!$E$34+180/300*WACC!$E$35))^169</f>
        <v/>
      </c>
      <c r="FP53" s="198">
        <f>1/(1+(120/300*WACC!$E$34+180/300*WACC!$E$35))^170</f>
        <v/>
      </c>
      <c r="FQ53" s="198">
        <f>1/(1+(120/300*WACC!$E$34+180/300*WACC!$E$35))^171</f>
        <v/>
      </c>
      <c r="FR53" s="198">
        <f>1/(1+(120/300*WACC!$E$34+180/300*WACC!$E$35))^172</f>
        <v/>
      </c>
      <c r="FS53" s="198">
        <f>1/(1+(120/300*WACC!$E$34+180/300*WACC!$E$35))^173</f>
        <v/>
      </c>
      <c r="FT53" s="198">
        <f>1/(1+(120/300*WACC!$E$34+180/300*WACC!$E$35))^174</f>
        <v/>
      </c>
      <c r="FU53" s="198">
        <f>1/(1+(120/300*WACC!$E$34+180/300*WACC!$E$35))^175</f>
        <v/>
      </c>
      <c r="FV53" s="198">
        <f>1/(1+(120/300*WACC!$E$34+180/300*WACC!$E$35))^176</f>
        <v/>
      </c>
      <c r="FW53" s="198">
        <f>1/(1+(120/300*WACC!$E$34+180/300*WACC!$E$35))^177</f>
        <v/>
      </c>
      <c r="FX53" s="198">
        <f>1/(1+(120/300*WACC!$E$34+180/300*WACC!$E$35))^178</f>
        <v/>
      </c>
      <c r="FY53" s="198">
        <f>1/(1+(120/300*WACC!$E$34+180/300*WACC!$E$35))^179</f>
        <v/>
      </c>
      <c r="FZ53" s="198">
        <f>1/(1+(120/300*WACC!$E$34+180/300*WACC!$E$35))^180</f>
        <v/>
      </c>
      <c r="GA53" s="198">
        <f>1/(1+(120/300*WACC!$E$34+180/300*WACC!$E$35))^181</f>
        <v/>
      </c>
      <c r="GB53" s="198">
        <f>1/(1+(120/300*WACC!$E$34+180/300*WACC!$E$35))^182</f>
        <v/>
      </c>
      <c r="GC53" s="198">
        <f>1/(1+(120/300*WACC!$E$34+180/300*WACC!$E$35))^183</f>
        <v/>
      </c>
      <c r="GD53" s="198">
        <f>1/(1+(120/300*WACC!$E$34+180/300*WACC!$E$35))^184</f>
        <v/>
      </c>
      <c r="GE53" s="198">
        <f>1/(1+(120/300*WACC!$E$34+180/300*WACC!$E$35))^185</f>
        <v/>
      </c>
      <c r="GF53" s="198">
        <f>1/(1+(120/300*WACC!$E$34+180/300*WACC!$E$35))^186</f>
        <v/>
      </c>
      <c r="GG53" s="198">
        <f>1/(1+(120/300*WACC!$E$34+180/300*WACC!$E$35))^187</f>
        <v/>
      </c>
      <c r="GH53" s="198">
        <f>1/(1+(120/300*WACC!$E$34+180/300*WACC!$E$35))^188</f>
        <v/>
      </c>
      <c r="GI53" s="198">
        <f>1/(1+(120/300*WACC!$E$34+180/300*WACC!$E$35))^189</f>
        <v/>
      </c>
      <c r="GJ53" s="198">
        <f>1/(1+(120/300*WACC!$E$34+180/300*WACC!$E$35))^190</f>
        <v/>
      </c>
      <c r="GK53" s="198">
        <f>1/(1+(120/300*WACC!$E$34+180/300*WACC!$E$35))^191</f>
        <v/>
      </c>
      <c r="GL53" s="198">
        <f>1/(1+(120/300*WACC!$E$34+180/300*WACC!$E$35))^192</f>
        <v/>
      </c>
      <c r="GM53" s="198">
        <f>1/(1+(120/300*WACC!$E$34+180/300*WACC!$E$35))^193</f>
        <v/>
      </c>
      <c r="GN53" s="198">
        <f>1/(1+(120/300*WACC!$E$34+180/300*WACC!$E$35))^194</f>
        <v/>
      </c>
      <c r="GO53" s="198">
        <f>1/(1+(120/300*WACC!$E$34+180/300*WACC!$E$35))^195</f>
        <v/>
      </c>
      <c r="GP53" s="198">
        <f>1/(1+(120/300*WACC!$E$34+180/300*WACC!$E$35))^196</f>
        <v/>
      </c>
      <c r="GQ53" s="198">
        <f>1/(1+(120/300*WACC!$E$34+180/300*WACC!$E$35))^197</f>
        <v/>
      </c>
      <c r="GR53" s="198">
        <f>1/(1+(120/300*WACC!$E$34+180/300*WACC!$E$35))^198</f>
        <v/>
      </c>
      <c r="GS53" s="198">
        <f>1/(1+(120/300*WACC!$E$34+180/300*WACC!$E$35))^199</f>
        <v/>
      </c>
      <c r="GT53" s="198">
        <f>1/(1+(120/300*WACC!$E$34+180/300*WACC!$E$35))^200</f>
        <v/>
      </c>
      <c r="GU53" s="198">
        <f>1/(1+(120/300*WACC!$E$34+180/300*WACC!$E$35))^201</f>
        <v/>
      </c>
      <c r="GV53" s="198">
        <f>1/(1+(120/300*WACC!$E$34+180/300*WACC!$E$35))^202</f>
        <v/>
      </c>
      <c r="GW53" s="198">
        <f>1/(1+(120/300*WACC!$E$34+180/300*WACC!$E$35))^203</f>
        <v/>
      </c>
      <c r="GX53" s="198">
        <f>1/(1+(120/300*WACC!$E$34+180/300*WACC!$E$35))^204</f>
        <v/>
      </c>
      <c r="GY53" s="198">
        <f>1/(1+(120/300*WACC!$E$34+180/300*WACC!$E$35))^205</f>
        <v/>
      </c>
      <c r="GZ53" s="198">
        <f>1/(1+(120/300*WACC!$E$34+180/300*WACC!$E$35))^206</f>
        <v/>
      </c>
      <c r="HA53" s="198">
        <f>1/(1+(120/300*WACC!$E$34+180/300*WACC!$E$35))^207</f>
        <v/>
      </c>
      <c r="HB53" s="198">
        <f>1/(1+(120/300*WACC!$E$34+180/300*WACC!$E$35))^208</f>
        <v/>
      </c>
      <c r="HC53" s="198">
        <f>1/(1+(120/300*WACC!$E$34+180/300*WACC!$E$35))^209</f>
        <v/>
      </c>
      <c r="HD53" s="198">
        <f>1/(1+(120/300*WACC!$E$34+180/300*WACC!$E$35))^210</f>
        <v/>
      </c>
      <c r="HE53" s="198">
        <f>1/(1+(120/300*WACC!$E$34+180/300*WACC!$E$35))^211</f>
        <v/>
      </c>
      <c r="HF53" s="198">
        <f>1/(1+(120/300*WACC!$E$34+180/300*WACC!$E$35))^212</f>
        <v/>
      </c>
      <c r="HG53" s="198">
        <f>1/(1+(120/300*WACC!$E$34+180/300*WACC!$E$35))^213</f>
        <v/>
      </c>
      <c r="HH53" s="198">
        <f>1/(1+(120/300*WACC!$E$34+180/300*WACC!$E$35))^214</f>
        <v/>
      </c>
      <c r="HI53" s="198">
        <f>1/(1+(120/300*WACC!$E$34+180/300*WACC!$E$35))^215</f>
        <v/>
      </c>
      <c r="HJ53" s="198">
        <f>1/(1+(120/300*WACC!$E$34+180/300*WACC!$E$35))^216</f>
        <v/>
      </c>
      <c r="HK53" s="198">
        <f>1/(1+(120/300*WACC!$E$34+180/300*WACC!$E$35))^217</f>
        <v/>
      </c>
      <c r="HL53" s="198">
        <f>1/(1+(120/300*WACC!$E$34+180/300*WACC!$E$35))^218</f>
        <v/>
      </c>
      <c r="HM53" s="198">
        <f>1/(1+(120/300*WACC!$E$34+180/300*WACC!$E$35))^219</f>
        <v/>
      </c>
      <c r="HN53" s="198">
        <f>1/(1+(120/300*WACC!$E$34+180/300*WACC!$E$35))^220</f>
        <v/>
      </c>
      <c r="HO53" s="198">
        <f>1/(1+(120/300*WACC!$E$34+180/300*WACC!$E$35))^221</f>
        <v/>
      </c>
      <c r="HP53" s="198">
        <f>1/(1+(120/300*WACC!$E$34+180/300*WACC!$E$35))^222</f>
        <v/>
      </c>
      <c r="HQ53" s="198">
        <f>1/(1+(120/300*WACC!$E$34+180/300*WACC!$E$35))^223</f>
        <v/>
      </c>
      <c r="HR53" s="198">
        <f>1/(1+(120/300*WACC!$E$34+180/300*WACC!$E$35))^224</f>
        <v/>
      </c>
      <c r="HS53" s="198">
        <f>1/(1+(120/300*WACC!$E$34+180/300*WACC!$E$35))^225</f>
        <v/>
      </c>
      <c r="HT53" s="198">
        <f>1/(1+(120/300*WACC!$E$34+180/300*WACC!$E$35))^226</f>
        <v/>
      </c>
      <c r="HU53" s="198">
        <f>1/(1+(120/300*WACC!$E$34+180/300*WACC!$E$35))^227</f>
        <v/>
      </c>
      <c r="HV53" s="198">
        <f>1/(1+(120/300*WACC!$E$34+180/300*WACC!$E$35))^228</f>
        <v/>
      </c>
      <c r="HW53" s="198">
        <f>1/(1+(120/300*WACC!$E$34+180/300*WACC!$E$35))^229</f>
        <v/>
      </c>
      <c r="HX53" s="198">
        <f>1/(1+(120/300*WACC!$E$34+180/300*WACC!$E$35))^230</f>
        <v/>
      </c>
      <c r="HY53" s="198">
        <f>1/(1+(120/300*WACC!$E$34+180/300*WACC!$E$35))^231</f>
        <v/>
      </c>
      <c r="HZ53" s="198">
        <f>1/(1+(120/300*WACC!$E$34+180/300*WACC!$E$35))^232</f>
        <v/>
      </c>
      <c r="IA53" s="198">
        <f>1/(1+(120/300*WACC!$E$34+180/300*WACC!$E$35))^233</f>
        <v/>
      </c>
      <c r="IB53" s="198">
        <f>1/(1+(120/300*WACC!$E$34+180/300*WACC!$E$35))^234</f>
        <v/>
      </c>
      <c r="IC53" s="198">
        <f>1/(1+(120/300*WACC!$E$34+180/300*WACC!$E$35))^235</f>
        <v/>
      </c>
      <c r="ID53" s="198">
        <f>1/(1+(120/300*WACC!$E$34+180/300*WACC!$E$35))^236</f>
        <v/>
      </c>
      <c r="IE53" s="198">
        <f>1/(1+(120/300*WACC!$E$34+180/300*WACC!$E$35))^237</f>
        <v/>
      </c>
      <c r="IF53" s="198">
        <f>1/(1+(120/300*WACC!$E$34+180/300*WACC!$E$35))^238</f>
        <v/>
      </c>
      <c r="IG53" s="198">
        <f>1/(1+(120/300*WACC!$E$34+180/300*WACC!$E$35))^239</f>
        <v/>
      </c>
      <c r="IH53" s="198">
        <f>1/(1+(120/300*WACC!$E$34+180/300*WACC!$E$35))^240</f>
        <v/>
      </c>
      <c r="II53" s="198">
        <f>1/(1+(120/300*WACC!$E$34+180/300*WACC!$E$35))^241</f>
        <v/>
      </c>
      <c r="IJ53" s="198">
        <f>1/(1+(120/300*WACC!$E$34+180/300*WACC!$E$35))^242</f>
        <v/>
      </c>
      <c r="IK53" s="198">
        <f>1/(1+(120/300*WACC!$E$34+180/300*WACC!$E$35))^243</f>
        <v/>
      </c>
      <c r="IL53" s="198">
        <f>1/(1+(120/300*WACC!$E$34+180/300*WACC!$E$35))^244</f>
        <v/>
      </c>
      <c r="IM53" s="198">
        <f>1/(1+(120/300*WACC!$E$34+180/300*WACC!$E$35))^245</f>
        <v/>
      </c>
      <c r="IN53" s="198">
        <f>1/(1+(120/300*WACC!$E$34+180/300*WACC!$E$35))^246</f>
        <v/>
      </c>
      <c r="IO53" s="198">
        <f>1/(1+(120/300*WACC!$E$34+180/300*WACC!$E$35))^247</f>
        <v/>
      </c>
      <c r="IP53" s="198">
        <f>1/(1+(120/300*WACC!$E$34+180/300*WACC!$E$35))^248</f>
        <v/>
      </c>
      <c r="IQ53" s="198">
        <f>1/(1+(120/300*WACC!$E$34+180/300*WACC!$E$35))^249</f>
        <v/>
      </c>
      <c r="IR53" s="198">
        <f>1/(1+(120/300*WACC!$E$34+180/300*WACC!$E$35))^250</f>
        <v/>
      </c>
      <c r="IS53" s="198">
        <f>1/(1+(120/300*WACC!$E$34+180/300*WACC!$E$35))^251</f>
        <v/>
      </c>
      <c r="IT53" s="198">
        <f>1/(1+(120/300*WACC!$E$34+180/300*WACC!$E$35))^252</f>
        <v/>
      </c>
      <c r="IU53" s="198">
        <f>1/(1+(120/300*WACC!$E$34+180/300*WACC!$E$35))^253</f>
        <v/>
      </c>
      <c r="IV53" s="198">
        <f>1/(1+(120/300*WACC!$E$34+180/300*WACC!$E$35))^254</f>
        <v/>
      </c>
      <c r="IW53" s="198">
        <f>1/(1+(120/300*WACC!$E$34+180/300*WACC!$E$35))^255</f>
        <v/>
      </c>
      <c r="IX53" s="198">
        <f>1/(1+(120/300*WACC!$E$34+180/300*WACC!$E$35))^256</f>
        <v/>
      </c>
      <c r="IY53" s="198">
        <f>1/(1+(120/300*WACC!$E$34+180/300*WACC!$E$35))^257</f>
        <v/>
      </c>
      <c r="IZ53" s="198">
        <f>1/(1+(120/300*WACC!$E$34+180/300*WACC!$E$35))^258</f>
        <v/>
      </c>
      <c r="JA53" s="198">
        <f>1/(1+(120/300*WACC!$E$34+180/300*WACC!$E$35))^259</f>
        <v/>
      </c>
      <c r="JB53" s="198">
        <f>1/(1+(120/300*WACC!$E$34+180/300*WACC!$E$35))^260</f>
        <v/>
      </c>
      <c r="JC53" s="198">
        <f>1/(1+(120/300*WACC!$E$34+180/300*WACC!$E$35))^261</f>
        <v/>
      </c>
      <c r="JD53" s="198">
        <f>1/(1+(120/300*WACC!$E$34+180/300*WACC!$E$35))^262</f>
        <v/>
      </c>
      <c r="JE53" s="198">
        <f>1/(1+(120/300*WACC!$E$34+180/300*WACC!$E$35))^263</f>
        <v/>
      </c>
      <c r="JF53" s="198">
        <f>1/(1+(120/300*WACC!$E$34+180/300*WACC!$E$35))^264</f>
        <v/>
      </c>
      <c r="JG53" s="198">
        <f>1/(1+(120/300*WACC!$E$34+180/300*WACC!$E$35))^265</f>
        <v/>
      </c>
      <c r="JH53" s="198">
        <f>1/(1+(120/300*WACC!$E$34+180/300*WACC!$E$35))^266</f>
        <v/>
      </c>
      <c r="JI53" s="198">
        <f>1/(1+(120/300*WACC!$E$34+180/300*WACC!$E$35))^267</f>
        <v/>
      </c>
      <c r="JJ53" s="198">
        <f>1/(1+(120/300*WACC!$E$34+180/300*WACC!$E$35))^268</f>
        <v/>
      </c>
      <c r="JK53" s="198">
        <f>1/(1+(120/300*WACC!$E$34+180/300*WACC!$E$35))^269</f>
        <v/>
      </c>
      <c r="JL53" s="198">
        <f>1/(1+(120/300*WACC!$E$34+180/300*WACC!$E$35))^270</f>
        <v/>
      </c>
      <c r="JM53" s="198">
        <f>1/(1+(120/300*WACC!$E$34+180/300*WACC!$E$35))^271</f>
        <v/>
      </c>
      <c r="JN53" s="198">
        <f>1/(1+(120/300*WACC!$E$34+180/300*WACC!$E$35))^272</f>
        <v/>
      </c>
      <c r="JO53" s="198">
        <f>1/(1+(120/300*WACC!$E$34+180/300*WACC!$E$35))^273</f>
        <v/>
      </c>
      <c r="JP53" s="198">
        <f>1/(1+(120/300*WACC!$E$34+180/300*WACC!$E$35))^274</f>
        <v/>
      </c>
      <c r="JQ53" s="198">
        <f>1/(1+(120/300*WACC!$E$34+180/300*WACC!$E$35))^275</f>
        <v/>
      </c>
      <c r="JR53" s="198">
        <f>1/(1+(120/300*WACC!$E$34+180/300*WACC!$E$35))^276</f>
        <v/>
      </c>
      <c r="JS53" s="198">
        <f>1/(1+(120/300*WACC!$E$34+180/300*WACC!$E$35))^277</f>
        <v/>
      </c>
      <c r="JT53" s="198">
        <f>1/(1+(120/300*WACC!$E$34+180/300*WACC!$E$35))^278</f>
        <v/>
      </c>
      <c r="JU53" s="198">
        <f>1/(1+(120/300*WACC!$E$34+180/300*WACC!$E$35))^279</f>
        <v/>
      </c>
      <c r="JV53" s="198">
        <f>1/(1+(120/300*WACC!$E$34+180/300*WACC!$E$35))^280</f>
        <v/>
      </c>
      <c r="JW53" s="198">
        <f>1/(1+(120/300*WACC!$E$34+180/300*WACC!$E$35))^281</f>
        <v/>
      </c>
      <c r="JX53" s="198">
        <f>1/(1+(120/300*WACC!$E$34+180/300*WACC!$E$35))^282</f>
        <v/>
      </c>
      <c r="JY53" s="198">
        <f>1/(1+(120/300*WACC!$E$34+180/300*WACC!$E$35))^283</f>
        <v/>
      </c>
      <c r="JZ53" s="198">
        <f>1/(1+(120/300*WACC!$E$34+180/300*WACC!$E$35))^284</f>
        <v/>
      </c>
      <c r="KA53" s="198">
        <f>1/(1+(120/300*WACC!$E$34+180/300*WACC!$E$35))^285</f>
        <v/>
      </c>
      <c r="KB53" s="198">
        <f>1/(1+(120/300*WACC!$E$34+180/300*WACC!$E$35))^286</f>
        <v/>
      </c>
      <c r="KC53" s="198">
        <f>1/(1+(120/300*WACC!$E$34+180/300*WACC!$E$35))^287</f>
        <v/>
      </c>
      <c r="KD53" s="198">
        <f>1/(1+(120/300*WACC!$E$34+180/300*WACC!$E$35))^288</f>
        <v/>
      </c>
      <c r="KE53" s="198">
        <f>1/(1+(120/300*WACC!$E$34+180/300*WACC!$E$35))^289</f>
        <v/>
      </c>
      <c r="KF53" s="198">
        <f>1/(1+(120/300*WACC!$E$34+180/300*WACC!$E$35))^290</f>
        <v/>
      </c>
      <c r="KG53" s="198">
        <f>1/(1+(120/300*WACC!$E$34+180/300*WACC!$E$35))^291</f>
        <v/>
      </c>
      <c r="KH53" s="198">
        <f>1/(1+(120/300*WACC!$E$34+180/300*WACC!$E$35))^292</f>
        <v/>
      </c>
      <c r="KI53" s="198">
        <f>1/(1+(120/300*WACC!$E$34+180/300*WACC!$E$35))^293</f>
        <v/>
      </c>
      <c r="KJ53" s="198">
        <f>1/(1+(120/300*WACC!$E$34+180/300*WACC!$E$35))^294</f>
        <v/>
      </c>
      <c r="KK53" s="198">
        <f>1/(1+(120/300*WACC!$E$34+180/300*WACC!$E$35))^295</f>
        <v/>
      </c>
      <c r="KL53" s="198">
        <f>1/(1+(120/300*WACC!$E$34+180/300*WACC!$E$35))^296</f>
        <v/>
      </c>
      <c r="KM53" s="198">
        <f>1/(1+(120/300*WACC!$E$34+180/300*WACC!$E$35))^297</f>
        <v/>
      </c>
      <c r="KN53" s="198">
        <f>1/(1+(120/300*WACC!$E$34+180/300*WACC!$E$35))^298</f>
        <v/>
      </c>
      <c r="KO53" s="198">
        <f>1/(1+(120/300*WACC!$E$34+180/300*WACC!$E$35))^299</f>
        <v/>
      </c>
      <c r="KP53" s="198">
        <f>1/(1+(120/300*WACC!$E$34+180/300*WACC!$E$35))^300</f>
        <v/>
      </c>
    </row>
  </sheetData>
  <mergeCells count="6">
    <mergeCell ref="A2:B2"/>
    <mergeCell ref="A29:B29"/>
    <mergeCell ref="A41:B41"/>
    <mergeCell ref="A5:B5"/>
    <mergeCell ref="A1:B1"/>
    <mergeCell ref="A17:B17"/>
  </mergeCells>
  <pageMargins left="0.7" right="0.7" top="0.75" bottom="0.75" header="0.3" footer="0.3"/>
  <pageSetup orientation="portrait" paperSize="9" horizontalDpi="0" verticalDpi="0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I320"/>
  <sheetViews>
    <sheetView workbookViewId="0">
      <selection activeCell="A3" sqref="A3"/>
    </sheetView>
  </sheetViews>
  <sheetFormatPr baseColWidth="10" defaultRowHeight="16"/>
  <sheetData>
    <row r="1">
      <c r="A1" t="inlineStr">
        <is>
          <t>Debt Sizing — Sculpting Algorithm | DSCR_min PPA=1.20x | DSCR_min Merchant=1.35x | r_d PPA=4.00% | r_d Merchant=5.50%</t>
        </is>
      </c>
    </row>
    <row r="2">
      <c r="A2" t="inlineStr">
        <is>
          <t>NOTE: Debt sized on positive CFADS only. Negative CFADS months indicate periods where debt service is not supportable.</t>
        </is>
      </c>
    </row>
    <row r="4">
      <c r="A4" t="inlineStr">
        <is>
          <t>CFADS DIAGNOSTIC</t>
        </is>
      </c>
    </row>
    <row r="5">
      <c r="A5" t="inlineStr">
        <is>
          <t>Scenario</t>
        </is>
      </c>
      <c r="B5" t="inlineStr">
        <is>
          <t>Min CFADS Merchant (EURk)</t>
        </is>
      </c>
      <c r="C5" t="inlineStr">
        <is>
          <t>Neg CFADS Months (Merchant)</t>
        </is>
      </c>
      <c r="D5" t="inlineStr">
        <is>
          <t>First Neg Month</t>
        </is>
      </c>
      <c r="E5" t="inlineStr">
        <is>
          <t>First Neg Year</t>
        </is>
      </c>
      <c r="F5" t="inlineStr">
        <is>
          <t>Implied Merchant Debt Capacity (EURk)</t>
        </is>
      </c>
    </row>
    <row r="6">
      <c r="A6" t="inlineStr">
        <is>
          <t>P50</t>
        </is>
      </c>
      <c r="B6" t="n">
        <v>125.86</v>
      </c>
      <c r="C6" t="n">
        <v>0</v>
      </c>
      <c r="D6" t="inlineStr">
        <is>
          <t>None</t>
        </is>
      </c>
      <c r="E6" t="inlineStr">
        <is>
          <t>None</t>
        </is>
      </c>
      <c r="F6" t="n">
        <v>9286</v>
      </c>
    </row>
    <row r="7">
      <c r="A7" t="inlineStr">
        <is>
          <t>P90</t>
        </is>
      </c>
      <c r="B7" t="n">
        <v>-7.88</v>
      </c>
      <c r="C7" t="n">
        <v>29</v>
      </c>
      <c r="D7" t="n">
        <v>267</v>
      </c>
      <c r="E7" t="n">
        <v>22.2</v>
      </c>
      <c r="F7" t="n">
        <v>909</v>
      </c>
    </row>
    <row r="8">
      <c r="A8" t="inlineStr">
        <is>
          <t>P99</t>
        </is>
      </c>
      <c r="B8" t="n">
        <v>-155.8</v>
      </c>
      <c r="C8" t="n">
        <v>180</v>
      </c>
      <c r="D8" t="n">
        <v>121</v>
      </c>
      <c r="E8" t="n">
        <v>10.1</v>
      </c>
      <c r="F8" t="n">
        <v>0</v>
      </c>
    </row>
    <row r="10">
      <c r="A10" t="inlineStr">
        <is>
          <t>DEBT SIZING SUMMARY</t>
        </is>
      </c>
    </row>
    <row r="11">
      <c r="A11" t="inlineStr">
        <is>
          <t>Scenario</t>
        </is>
      </c>
      <c r="B11" t="inlineStr">
        <is>
          <t>Debt Quantum (EURk)</t>
        </is>
      </c>
      <c r="C11" t="inlineStr">
        <is>
          <t>Gearing (D/CAPEX)</t>
        </is>
      </c>
      <c r="D11" t="inlineStr">
        <is>
          <t>LLCR</t>
        </is>
      </c>
      <c r="E11" t="inlineStr">
        <is>
          <t>Min DSCR PPA</t>
        </is>
      </c>
      <c r="F11" t="inlineStr">
        <is>
          <t>Min DSCR Merchant</t>
        </is>
      </c>
      <c r="G11" t="inlineStr">
        <is>
          <t>Neg CFADS Months (Merchant)</t>
        </is>
      </c>
      <c r="H11" t="inlineStr">
        <is>
          <t>Outstanding at M120 (EURk)</t>
        </is>
      </c>
      <c r="I11" t="inlineStr">
        <is>
          <t>Last Debt Service Month</t>
        </is>
      </c>
    </row>
    <row r="12">
      <c r="A12" t="inlineStr">
        <is>
          <t>P50</t>
        </is>
      </c>
      <c r="B12" t="n">
        <v>19541</v>
      </c>
      <c r="C12" t="n">
        <v>0.8496</v>
      </c>
      <c r="D12" t="n">
        <v>1.27</v>
      </c>
      <c r="E12" t="n">
        <v>1.2</v>
      </c>
      <c r="F12" t="n">
        <v>1.35</v>
      </c>
      <c r="G12" t="n">
        <v>0</v>
      </c>
      <c r="H12" t="n">
        <v>13745</v>
      </c>
      <c r="I12" t="n">
        <v>300</v>
      </c>
    </row>
    <row r="13">
      <c r="A13" t="inlineStr">
        <is>
          <t>P90</t>
        </is>
      </c>
      <c r="B13" t="n">
        <v>11164</v>
      </c>
      <c r="C13" t="n">
        <v>0.4854</v>
      </c>
      <c r="D13" t="n">
        <v>1.21</v>
      </c>
      <c r="E13" t="n">
        <v>1.2</v>
      </c>
      <c r="F13" t="n">
        <v>1.35</v>
      </c>
      <c r="G13" t="n">
        <v>29</v>
      </c>
      <c r="H13" t="n">
        <v>1346</v>
      </c>
      <c r="I13" t="n">
        <v>288</v>
      </c>
    </row>
    <row r="14">
      <c r="A14" t="inlineStr">
        <is>
          <t>P99</t>
        </is>
      </c>
      <c r="B14" t="n">
        <v>10255</v>
      </c>
      <c r="C14" t="n">
        <v>0.4459</v>
      </c>
      <c r="D14" t="n">
        <v>1.2</v>
      </c>
      <c r="E14" t="n">
        <v>1.2</v>
      </c>
      <c r="F14" t="inlineStr">
        <is>
          <t>N/A</t>
        </is>
      </c>
      <c r="G14" t="n">
        <v>180</v>
      </c>
      <c r="H14" t="n">
        <v>0</v>
      </c>
      <c r="I14" t="n">
        <v>120</v>
      </c>
    </row>
    <row r="16">
      <c r="A16" t="inlineStr">
        <is>
          <t>Debt Capacity Contraction P50 → P90</t>
        </is>
      </c>
      <c r="B16" t="n">
        <v>-0.4287</v>
      </c>
    </row>
    <row r="17">
      <c r="A17" t="inlineStr">
        <is>
          <t>Debt Capacity Contraction P50 → P99</t>
        </is>
      </c>
      <c r="B17" t="n">
        <v>-0.4752</v>
      </c>
    </row>
    <row r="19">
      <c r="A19" t="inlineStr">
        <is>
          <t>MONTHLY DEBT SERVICE SCHEDULE — P90 (Primary Sizing Case)</t>
        </is>
      </c>
    </row>
    <row r="20">
      <c r="A20" t="inlineStr">
        <is>
          <t>Month</t>
        </is>
      </c>
      <c r="B20" t="inlineStr">
        <is>
          <t>Year</t>
        </is>
      </c>
      <c r="C20" t="inlineStr">
        <is>
          <t>CFADS (EURk)</t>
        </is>
      </c>
      <c r="D20" t="inlineStr">
        <is>
          <t>Interest (EURk)</t>
        </is>
      </c>
      <c r="E20" t="inlineStr">
        <is>
          <t>Principal (EURk)</t>
        </is>
      </c>
      <c r="F20" t="inlineStr">
        <is>
          <t>Debt Service (EURk)</t>
        </is>
      </c>
      <c r="G20" t="inlineStr">
        <is>
          <t>Outstanding (EURk)</t>
        </is>
      </c>
      <c r="H20" t="inlineStr">
        <is>
          <t>DSCR</t>
        </is>
      </c>
    </row>
    <row r="21">
      <c r="A21" t="n">
        <v>1</v>
      </c>
      <c r="B21" t="n">
        <v>0.0833</v>
      </c>
      <c r="C21" t="n">
        <v>129.7746</v>
      </c>
      <c r="D21" t="n">
        <v>36.5488</v>
      </c>
      <c r="E21" t="n">
        <v>71.5968</v>
      </c>
      <c r="F21" t="n">
        <v>108.1455</v>
      </c>
      <c r="G21" t="n">
        <v>11092.6323</v>
      </c>
      <c r="H21" t="n">
        <v>1.2</v>
      </c>
    </row>
    <row r="22">
      <c r="A22" t="n">
        <v>2</v>
      </c>
      <c r="B22" t="n">
        <v>0.1667</v>
      </c>
      <c r="C22" t="n">
        <v>129.7746</v>
      </c>
      <c r="D22" t="n">
        <v>36.3144</v>
      </c>
      <c r="E22" t="n">
        <v>71.83110000000001</v>
      </c>
      <c r="F22" t="n">
        <v>108.1455</v>
      </c>
      <c r="G22" t="n">
        <v>11020.8011</v>
      </c>
      <c r="H22" t="n">
        <v>1.2</v>
      </c>
    </row>
    <row r="23">
      <c r="A23" t="n">
        <v>3</v>
      </c>
      <c r="B23" t="n">
        <v>0.25</v>
      </c>
      <c r="C23" t="n">
        <v>129.7746</v>
      </c>
      <c r="D23" t="n">
        <v>36.0792</v>
      </c>
      <c r="E23" t="n">
        <v>72.0663</v>
      </c>
      <c r="F23" t="n">
        <v>108.1455</v>
      </c>
      <c r="G23" t="n">
        <v>10948.7348</v>
      </c>
      <c r="H23" t="n">
        <v>1.2</v>
      </c>
    </row>
    <row r="24">
      <c r="A24" t="n">
        <v>4</v>
      </c>
      <c r="B24" t="n">
        <v>0.3333</v>
      </c>
      <c r="C24" t="n">
        <v>129.7746</v>
      </c>
      <c r="D24" t="n">
        <v>35.8433</v>
      </c>
      <c r="E24" t="n">
        <v>72.3022</v>
      </c>
      <c r="F24" t="n">
        <v>108.1455</v>
      </c>
      <c r="G24" t="n">
        <v>10876.4326</v>
      </c>
      <c r="H24" t="n">
        <v>1.2</v>
      </c>
    </row>
    <row r="25">
      <c r="A25" t="n">
        <v>5</v>
      </c>
      <c r="B25" t="n">
        <v>0.4167</v>
      </c>
      <c r="C25" t="n">
        <v>129.7746</v>
      </c>
      <c r="D25" t="n">
        <v>35.6066</v>
      </c>
      <c r="E25" t="n">
        <v>72.5389</v>
      </c>
      <c r="F25" t="n">
        <v>108.1455</v>
      </c>
      <c r="G25" t="n">
        <v>10803.8937</v>
      </c>
      <c r="H25" t="n">
        <v>1.2</v>
      </c>
    </row>
    <row r="26">
      <c r="A26" t="n">
        <v>6</v>
      </c>
      <c r="B26" t="n">
        <v>0.5</v>
      </c>
      <c r="C26" t="n">
        <v>129.7746</v>
      </c>
      <c r="D26" t="n">
        <v>35.3691</v>
      </c>
      <c r="E26" t="n">
        <v>72.7764</v>
      </c>
      <c r="F26" t="n">
        <v>108.1455</v>
      </c>
      <c r="G26" t="n">
        <v>10731.1173</v>
      </c>
      <c r="H26" t="n">
        <v>1.2</v>
      </c>
    </row>
    <row r="27">
      <c r="A27" t="n">
        <v>7</v>
      </c>
      <c r="B27" t="n">
        <v>0.5833</v>
      </c>
      <c r="C27" t="n">
        <v>129.7746</v>
      </c>
      <c r="D27" t="n">
        <v>35.1309</v>
      </c>
      <c r="E27" t="n">
        <v>73.0147</v>
      </c>
      <c r="F27" t="n">
        <v>108.1455</v>
      </c>
      <c r="G27" t="n">
        <v>10658.1026</v>
      </c>
      <c r="H27" t="n">
        <v>1.2</v>
      </c>
    </row>
    <row r="28">
      <c r="A28" t="n">
        <v>8</v>
      </c>
      <c r="B28" t="n">
        <v>0.6667</v>
      </c>
      <c r="C28" t="n">
        <v>129.7746</v>
      </c>
      <c r="D28" t="n">
        <v>34.8919</v>
      </c>
      <c r="E28" t="n">
        <v>73.25369999999999</v>
      </c>
      <c r="F28" t="n">
        <v>108.1455</v>
      </c>
      <c r="G28" t="n">
        <v>10584.8489</v>
      </c>
      <c r="H28" t="n">
        <v>1.2</v>
      </c>
    </row>
    <row r="29">
      <c r="A29" t="n">
        <v>9</v>
      </c>
      <c r="B29" t="n">
        <v>0.75</v>
      </c>
      <c r="C29" t="n">
        <v>129.7746</v>
      </c>
      <c r="D29" t="n">
        <v>34.652</v>
      </c>
      <c r="E29" t="n">
        <v>73.4935</v>
      </c>
      <c r="F29" t="n">
        <v>108.1455</v>
      </c>
      <c r="G29" t="n">
        <v>10511.3554</v>
      </c>
      <c r="H29" t="n">
        <v>1.2</v>
      </c>
    </row>
    <row r="30">
      <c r="A30" t="n">
        <v>10</v>
      </c>
      <c r="B30" t="n">
        <v>0.8333</v>
      </c>
      <c r="C30" t="n">
        <v>129.7746</v>
      </c>
      <c r="D30" t="n">
        <v>34.4114</v>
      </c>
      <c r="E30" t="n">
        <v>73.7341</v>
      </c>
      <c r="F30" t="n">
        <v>108.1455</v>
      </c>
      <c r="G30" t="n">
        <v>10437.6213</v>
      </c>
      <c r="H30" t="n">
        <v>1.2</v>
      </c>
    </row>
    <row r="31">
      <c r="A31" t="n">
        <v>11</v>
      </c>
      <c r="B31" t="n">
        <v>0.9167</v>
      </c>
      <c r="C31" t="n">
        <v>129.7746</v>
      </c>
      <c r="D31" t="n">
        <v>34.1701</v>
      </c>
      <c r="E31" t="n">
        <v>73.9755</v>
      </c>
      <c r="F31" t="n">
        <v>108.1455</v>
      </c>
      <c r="G31" t="n">
        <v>10363.6459</v>
      </c>
      <c r="H31" t="n">
        <v>1.2</v>
      </c>
    </row>
    <row r="32">
      <c r="A32" t="n">
        <v>12</v>
      </c>
      <c r="B32" t="n">
        <v>1</v>
      </c>
      <c r="C32" t="n">
        <v>129.7746</v>
      </c>
      <c r="D32" t="n">
        <v>33.9279</v>
      </c>
      <c r="E32" t="n">
        <v>74.21769999999999</v>
      </c>
      <c r="F32" t="n">
        <v>108.1455</v>
      </c>
      <c r="G32" t="n">
        <v>10289.4282</v>
      </c>
      <c r="H32" t="n">
        <v>1.2</v>
      </c>
    </row>
    <row r="33">
      <c r="A33" t="n">
        <v>13</v>
      </c>
      <c r="B33" t="n">
        <v>1.0833</v>
      </c>
      <c r="C33" t="n">
        <v>128.453</v>
      </c>
      <c r="D33" t="n">
        <v>33.6849</v>
      </c>
      <c r="E33" t="n">
        <v>73.3593</v>
      </c>
      <c r="F33" t="n">
        <v>107.0442</v>
      </c>
      <c r="G33" t="n">
        <v>10216.0689</v>
      </c>
      <c r="H33" t="n">
        <v>1.2</v>
      </c>
    </row>
    <row r="34">
      <c r="A34" t="n">
        <v>14</v>
      </c>
      <c r="B34" t="n">
        <v>1.1667</v>
      </c>
      <c r="C34" t="n">
        <v>128.453</v>
      </c>
      <c r="D34" t="n">
        <v>33.4448</v>
      </c>
      <c r="E34" t="n">
        <v>73.5994</v>
      </c>
      <c r="F34" t="n">
        <v>107.0442</v>
      </c>
      <c r="G34" t="n">
        <v>10142.4695</v>
      </c>
      <c r="H34" t="n">
        <v>1.2</v>
      </c>
    </row>
    <row r="35">
      <c r="A35" t="n">
        <v>15</v>
      </c>
      <c r="B35" t="n">
        <v>1.25</v>
      </c>
      <c r="C35" t="n">
        <v>128.453</v>
      </c>
      <c r="D35" t="n">
        <v>33.2038</v>
      </c>
      <c r="E35" t="n">
        <v>73.8404</v>
      </c>
      <c r="F35" t="n">
        <v>107.0442</v>
      </c>
      <c r="G35" t="n">
        <v>10068.6291</v>
      </c>
      <c r="H35" t="n">
        <v>1.2</v>
      </c>
    </row>
    <row r="36">
      <c r="A36" t="n">
        <v>16</v>
      </c>
      <c r="B36" t="n">
        <v>1.3333</v>
      </c>
      <c r="C36" t="n">
        <v>128.453</v>
      </c>
      <c r="D36" t="n">
        <v>32.9621</v>
      </c>
      <c r="E36" t="n">
        <v>74.0821</v>
      </c>
      <c r="F36" t="n">
        <v>107.0442</v>
      </c>
      <c r="G36" t="n">
        <v>9994.547</v>
      </c>
      <c r="H36" t="n">
        <v>1.2</v>
      </c>
    </row>
    <row r="37">
      <c r="A37" t="n">
        <v>17</v>
      </c>
      <c r="B37" t="n">
        <v>1.4167</v>
      </c>
      <c r="C37" t="n">
        <v>128.453</v>
      </c>
      <c r="D37" t="n">
        <v>32.7195</v>
      </c>
      <c r="E37" t="n">
        <v>74.3246</v>
      </c>
      <c r="F37" t="n">
        <v>107.0442</v>
      </c>
      <c r="G37" t="n">
        <v>9920.222400000001</v>
      </c>
      <c r="H37" t="n">
        <v>1.2</v>
      </c>
    </row>
    <row r="38">
      <c r="A38" t="n">
        <v>18</v>
      </c>
      <c r="B38" t="n">
        <v>1.5</v>
      </c>
      <c r="C38" t="n">
        <v>128.453</v>
      </c>
      <c r="D38" t="n">
        <v>32.4762</v>
      </c>
      <c r="E38" t="n">
        <v>74.568</v>
      </c>
      <c r="F38" t="n">
        <v>107.0442</v>
      </c>
      <c r="G38" t="n">
        <v>9845.654399999999</v>
      </c>
      <c r="H38" t="n">
        <v>1.2</v>
      </c>
    </row>
    <row r="39">
      <c r="A39" t="n">
        <v>19</v>
      </c>
      <c r="B39" t="n">
        <v>1.5833</v>
      </c>
      <c r="C39" t="n">
        <v>128.453</v>
      </c>
      <c r="D39" t="n">
        <v>32.2321</v>
      </c>
      <c r="E39" t="n">
        <v>74.8121</v>
      </c>
      <c r="F39" t="n">
        <v>107.0442</v>
      </c>
      <c r="G39" t="n">
        <v>9770.8423</v>
      </c>
      <c r="H39" t="n">
        <v>1.2</v>
      </c>
    </row>
    <row r="40">
      <c r="A40" t="n">
        <v>20</v>
      </c>
      <c r="B40" t="n">
        <v>1.6667</v>
      </c>
      <c r="C40" t="n">
        <v>128.453</v>
      </c>
      <c r="D40" t="n">
        <v>31.9872</v>
      </c>
      <c r="E40" t="n">
        <v>75.057</v>
      </c>
      <c r="F40" t="n">
        <v>107.0442</v>
      </c>
      <c r="G40" t="n">
        <v>9695.7853</v>
      </c>
      <c r="H40" t="n">
        <v>1.2</v>
      </c>
    </row>
    <row r="41">
      <c r="A41" t="n">
        <v>21</v>
      </c>
      <c r="B41" t="n">
        <v>1.75</v>
      </c>
      <c r="C41" t="n">
        <v>128.453</v>
      </c>
      <c r="D41" t="n">
        <v>31.7415</v>
      </c>
      <c r="E41" t="n">
        <v>75.3027</v>
      </c>
      <c r="F41" t="n">
        <v>107.0442</v>
      </c>
      <c r="G41" t="n">
        <v>9620.482599999999</v>
      </c>
      <c r="H41" t="n">
        <v>1.2</v>
      </c>
    </row>
    <row r="42">
      <c r="A42" t="n">
        <v>22</v>
      </c>
      <c r="B42" t="n">
        <v>1.8333</v>
      </c>
      <c r="C42" t="n">
        <v>128.453</v>
      </c>
      <c r="D42" t="n">
        <v>31.495</v>
      </c>
      <c r="E42" t="n">
        <v>75.5492</v>
      </c>
      <c r="F42" t="n">
        <v>107.0442</v>
      </c>
      <c r="G42" t="n">
        <v>9544.9334</v>
      </c>
      <c r="H42" t="n">
        <v>1.2</v>
      </c>
    </row>
    <row r="43">
      <c r="A43" t="n">
        <v>23</v>
      </c>
      <c r="B43" t="n">
        <v>1.9167</v>
      </c>
      <c r="C43" t="n">
        <v>128.453</v>
      </c>
      <c r="D43" t="n">
        <v>31.2476</v>
      </c>
      <c r="E43" t="n">
        <v>75.7966</v>
      </c>
      <c r="F43" t="n">
        <v>107.0442</v>
      </c>
      <c r="G43" t="n">
        <v>9469.1369</v>
      </c>
      <c r="H43" t="n">
        <v>1.2</v>
      </c>
    </row>
    <row r="44">
      <c r="A44" t="n">
        <v>24</v>
      </c>
      <c r="B44" t="n">
        <v>2</v>
      </c>
      <c r="C44" t="n">
        <v>128.453</v>
      </c>
      <c r="D44" t="n">
        <v>30.9995</v>
      </c>
      <c r="E44" t="n">
        <v>76.04470000000001</v>
      </c>
      <c r="F44" t="n">
        <v>107.0442</v>
      </c>
      <c r="G44" t="n">
        <v>9393.092199999999</v>
      </c>
      <c r="H44" t="n">
        <v>1.2</v>
      </c>
    </row>
    <row r="45">
      <c r="A45" t="n">
        <v>25</v>
      </c>
      <c r="B45" t="n">
        <v>2.0833</v>
      </c>
      <c r="C45" t="n">
        <v>127.1246</v>
      </c>
      <c r="D45" t="n">
        <v>30.7505</v>
      </c>
      <c r="E45" t="n">
        <v>75.1866</v>
      </c>
      <c r="F45" t="n">
        <v>105.9371</v>
      </c>
      <c r="G45" t="n">
        <v>9317.9056</v>
      </c>
      <c r="H45" t="n">
        <v>1.2</v>
      </c>
    </row>
    <row r="46">
      <c r="A46" t="n">
        <v>26</v>
      </c>
      <c r="B46" t="n">
        <v>2.1667</v>
      </c>
      <c r="C46" t="n">
        <v>127.1246</v>
      </c>
      <c r="D46" t="n">
        <v>30.5044</v>
      </c>
      <c r="E46" t="n">
        <v>75.4327</v>
      </c>
      <c r="F46" t="n">
        <v>105.9371</v>
      </c>
      <c r="G46" t="n">
        <v>9242.4728</v>
      </c>
      <c r="H46" t="n">
        <v>1.2</v>
      </c>
    </row>
    <row r="47">
      <c r="A47" t="n">
        <v>27</v>
      </c>
      <c r="B47" t="n">
        <v>2.25</v>
      </c>
      <c r="C47" t="n">
        <v>127.1246</v>
      </c>
      <c r="D47" t="n">
        <v>30.2575</v>
      </c>
      <c r="E47" t="n">
        <v>75.6797</v>
      </c>
      <c r="F47" t="n">
        <v>105.9371</v>
      </c>
      <c r="G47" t="n">
        <v>9166.7932</v>
      </c>
      <c r="H47" t="n">
        <v>1.2</v>
      </c>
    </row>
    <row r="48">
      <c r="A48" t="n">
        <v>28</v>
      </c>
      <c r="B48" t="n">
        <v>2.3333</v>
      </c>
      <c r="C48" t="n">
        <v>127.1246</v>
      </c>
      <c r="D48" t="n">
        <v>30.0097</v>
      </c>
      <c r="E48" t="n">
        <v>75.92740000000001</v>
      </c>
      <c r="F48" t="n">
        <v>105.9371</v>
      </c>
      <c r="G48" t="n">
        <v>9090.8657</v>
      </c>
      <c r="H48" t="n">
        <v>1.2</v>
      </c>
    </row>
    <row r="49">
      <c r="A49" t="n">
        <v>29</v>
      </c>
      <c r="B49" t="n">
        <v>2.4167</v>
      </c>
      <c r="C49" t="n">
        <v>127.1246</v>
      </c>
      <c r="D49" t="n">
        <v>29.7611</v>
      </c>
      <c r="E49" t="n">
        <v>76.176</v>
      </c>
      <c r="F49" t="n">
        <v>105.9371</v>
      </c>
      <c r="G49" t="n">
        <v>9014.689700000001</v>
      </c>
      <c r="H49" t="n">
        <v>1.2</v>
      </c>
    </row>
    <row r="50">
      <c r="A50" t="n">
        <v>30</v>
      </c>
      <c r="B50" t="n">
        <v>2.5</v>
      </c>
      <c r="C50" t="n">
        <v>127.1246</v>
      </c>
      <c r="D50" t="n">
        <v>29.5117</v>
      </c>
      <c r="E50" t="n">
        <v>76.4254</v>
      </c>
      <c r="F50" t="n">
        <v>105.9371</v>
      </c>
      <c r="G50" t="n">
        <v>8938.2644</v>
      </c>
      <c r="H50" t="n">
        <v>1.2</v>
      </c>
    </row>
    <row r="51">
      <c r="A51" t="n">
        <v>31</v>
      </c>
      <c r="B51" t="n">
        <v>2.5833</v>
      </c>
      <c r="C51" t="n">
        <v>127.1246</v>
      </c>
      <c r="D51" t="n">
        <v>29.2616</v>
      </c>
      <c r="E51" t="n">
        <v>76.6756</v>
      </c>
      <c r="F51" t="n">
        <v>105.9371</v>
      </c>
      <c r="G51" t="n">
        <v>8861.5888</v>
      </c>
      <c r="H51" t="n">
        <v>1.2</v>
      </c>
    </row>
    <row r="52">
      <c r="A52" t="n">
        <v>32</v>
      </c>
      <c r="B52" t="n">
        <v>2.6667</v>
      </c>
      <c r="C52" t="n">
        <v>127.1246</v>
      </c>
      <c r="D52" t="n">
        <v>29.0105</v>
      </c>
      <c r="E52" t="n">
        <v>76.92659999999999</v>
      </c>
      <c r="F52" t="n">
        <v>105.9371</v>
      </c>
      <c r="G52" t="n">
        <v>8784.662200000001</v>
      </c>
      <c r="H52" t="n">
        <v>1.2</v>
      </c>
    </row>
    <row r="53">
      <c r="A53" t="n">
        <v>33</v>
      </c>
      <c r="B53" t="n">
        <v>2.75</v>
      </c>
      <c r="C53" t="n">
        <v>127.1246</v>
      </c>
      <c r="D53" t="n">
        <v>28.7587</v>
      </c>
      <c r="E53" t="n">
        <v>77.1784</v>
      </c>
      <c r="F53" t="n">
        <v>105.9371</v>
      </c>
      <c r="G53" t="n">
        <v>8707.4838</v>
      </c>
      <c r="H53" t="n">
        <v>1.2</v>
      </c>
    </row>
    <row r="54">
      <c r="A54" t="n">
        <v>34</v>
      </c>
      <c r="B54" t="n">
        <v>2.8333</v>
      </c>
      <c r="C54" t="n">
        <v>127.1246</v>
      </c>
      <c r="D54" t="n">
        <v>28.506</v>
      </c>
      <c r="E54" t="n">
        <v>77.4311</v>
      </c>
      <c r="F54" t="n">
        <v>105.9371</v>
      </c>
      <c r="G54" t="n">
        <v>8630.0527</v>
      </c>
      <c r="H54" t="n">
        <v>1.2</v>
      </c>
    </row>
    <row r="55">
      <c r="A55" t="n">
        <v>35</v>
      </c>
      <c r="B55" t="n">
        <v>2.9167</v>
      </c>
      <c r="C55" t="n">
        <v>127.1246</v>
      </c>
      <c r="D55" t="n">
        <v>28.2525</v>
      </c>
      <c r="E55" t="n">
        <v>77.6846</v>
      </c>
      <c r="F55" t="n">
        <v>105.9371</v>
      </c>
      <c r="G55" t="n">
        <v>8552.3681</v>
      </c>
      <c r="H55" t="n">
        <v>1.2</v>
      </c>
    </row>
    <row r="56">
      <c r="A56" t="n">
        <v>36</v>
      </c>
      <c r="B56" t="n">
        <v>3</v>
      </c>
      <c r="C56" t="n">
        <v>127.1246</v>
      </c>
      <c r="D56" t="n">
        <v>27.9982</v>
      </c>
      <c r="E56" t="n">
        <v>77.9389</v>
      </c>
      <c r="F56" t="n">
        <v>105.9371</v>
      </c>
      <c r="G56" t="n">
        <v>8474.4292</v>
      </c>
      <c r="H56" t="n">
        <v>1.2</v>
      </c>
    </row>
    <row r="57">
      <c r="A57" t="n">
        <v>37</v>
      </c>
      <c r="B57" t="n">
        <v>3.0833</v>
      </c>
      <c r="C57" t="n">
        <v>125.789</v>
      </c>
      <c r="D57" t="n">
        <v>27.7431</v>
      </c>
      <c r="E57" t="n">
        <v>77.08110000000001</v>
      </c>
      <c r="F57" t="n">
        <v>104.8242</v>
      </c>
      <c r="G57" t="n">
        <v>8397.348099999999</v>
      </c>
      <c r="H57" t="n">
        <v>1.2</v>
      </c>
    </row>
    <row r="58">
      <c r="A58" t="n">
        <v>38</v>
      </c>
      <c r="B58" t="n">
        <v>3.1667</v>
      </c>
      <c r="C58" t="n">
        <v>125.789</v>
      </c>
      <c r="D58" t="n">
        <v>27.4907</v>
      </c>
      <c r="E58" t="n">
        <v>77.3334</v>
      </c>
      <c r="F58" t="n">
        <v>104.8242</v>
      </c>
      <c r="G58" t="n">
        <v>8320.0147</v>
      </c>
      <c r="H58" t="n">
        <v>1.2</v>
      </c>
    </row>
    <row r="59">
      <c r="A59" t="n">
        <v>39</v>
      </c>
      <c r="B59" t="n">
        <v>3.25</v>
      </c>
      <c r="C59" t="n">
        <v>125.789</v>
      </c>
      <c r="D59" t="n">
        <v>27.2376</v>
      </c>
      <c r="E59" t="n">
        <v>77.5866</v>
      </c>
      <c r="F59" t="n">
        <v>104.8242</v>
      </c>
      <c r="G59" t="n">
        <v>8242.428099999999</v>
      </c>
      <c r="H59" t="n">
        <v>1.2</v>
      </c>
    </row>
    <row r="60">
      <c r="A60" t="n">
        <v>40</v>
      </c>
      <c r="B60" t="n">
        <v>3.3333</v>
      </c>
      <c r="C60" t="n">
        <v>125.789</v>
      </c>
      <c r="D60" t="n">
        <v>26.9836</v>
      </c>
      <c r="E60" t="n">
        <v>77.84059999999999</v>
      </c>
      <c r="F60" t="n">
        <v>104.8242</v>
      </c>
      <c r="G60" t="n">
        <v>8164.5875</v>
      </c>
      <c r="H60" t="n">
        <v>1.2</v>
      </c>
    </row>
    <row r="61">
      <c r="A61" t="n">
        <v>41</v>
      </c>
      <c r="B61" t="n">
        <v>3.4167</v>
      </c>
      <c r="C61" t="n">
        <v>125.789</v>
      </c>
      <c r="D61" t="n">
        <v>26.7287</v>
      </c>
      <c r="E61" t="n">
        <v>78.0954</v>
      </c>
      <c r="F61" t="n">
        <v>104.8242</v>
      </c>
      <c r="G61" t="n">
        <v>8086.492</v>
      </c>
      <c r="H61" t="n">
        <v>1.2</v>
      </c>
    </row>
    <row r="62">
      <c r="A62" t="n">
        <v>42</v>
      </c>
      <c r="B62" t="n">
        <v>3.5</v>
      </c>
      <c r="C62" t="n">
        <v>125.789</v>
      </c>
      <c r="D62" t="n">
        <v>26.4731</v>
      </c>
      <c r="E62" t="n">
        <v>78.3511</v>
      </c>
      <c r="F62" t="n">
        <v>104.8242</v>
      </c>
      <c r="G62" t="n">
        <v>8008.1409</v>
      </c>
      <c r="H62" t="n">
        <v>1.2</v>
      </c>
    </row>
    <row r="63">
      <c r="A63" t="n">
        <v>43</v>
      </c>
      <c r="B63" t="n">
        <v>3.5833</v>
      </c>
      <c r="C63" t="n">
        <v>125.789</v>
      </c>
      <c r="D63" t="n">
        <v>26.2166</v>
      </c>
      <c r="E63" t="n">
        <v>78.60760000000001</v>
      </c>
      <c r="F63" t="n">
        <v>104.8242</v>
      </c>
      <c r="G63" t="n">
        <v>7929.5333</v>
      </c>
      <c r="H63" t="n">
        <v>1.2</v>
      </c>
    </row>
    <row r="64">
      <c r="A64" t="n">
        <v>44</v>
      </c>
      <c r="B64" t="n">
        <v>3.6667</v>
      </c>
      <c r="C64" t="n">
        <v>125.789</v>
      </c>
      <c r="D64" t="n">
        <v>25.9592</v>
      </c>
      <c r="E64" t="n">
        <v>78.86490000000001</v>
      </c>
      <c r="F64" t="n">
        <v>104.8242</v>
      </c>
      <c r="G64" t="n">
        <v>7850.6684</v>
      </c>
      <c r="H64" t="n">
        <v>1.2</v>
      </c>
    </row>
    <row r="65">
      <c r="A65" t="n">
        <v>45</v>
      </c>
      <c r="B65" t="n">
        <v>3.75</v>
      </c>
      <c r="C65" t="n">
        <v>125.789</v>
      </c>
      <c r="D65" t="n">
        <v>25.701</v>
      </c>
      <c r="E65" t="n">
        <v>79.12309999999999</v>
      </c>
      <c r="F65" t="n">
        <v>104.8242</v>
      </c>
      <c r="G65" t="n">
        <v>7771.5453</v>
      </c>
      <c r="H65" t="n">
        <v>1.2</v>
      </c>
    </row>
    <row r="66">
      <c r="A66" t="n">
        <v>46</v>
      </c>
      <c r="B66" t="n">
        <v>3.8333</v>
      </c>
      <c r="C66" t="n">
        <v>125.789</v>
      </c>
      <c r="D66" t="n">
        <v>25.442</v>
      </c>
      <c r="E66" t="n">
        <v>79.38209999999999</v>
      </c>
      <c r="F66" t="n">
        <v>104.8242</v>
      </c>
      <c r="G66" t="n">
        <v>7692.1631</v>
      </c>
      <c r="H66" t="n">
        <v>1.2</v>
      </c>
    </row>
    <row r="67">
      <c r="A67" t="n">
        <v>47</v>
      </c>
      <c r="B67" t="n">
        <v>3.9167</v>
      </c>
      <c r="C67" t="n">
        <v>125.789</v>
      </c>
      <c r="D67" t="n">
        <v>25.1821</v>
      </c>
      <c r="E67" t="n">
        <v>79.642</v>
      </c>
      <c r="F67" t="n">
        <v>104.8242</v>
      </c>
      <c r="G67" t="n">
        <v>7612.5211</v>
      </c>
      <c r="H67" t="n">
        <v>1.2</v>
      </c>
    </row>
    <row r="68">
      <c r="A68" t="n">
        <v>48</v>
      </c>
      <c r="B68" t="n">
        <v>4</v>
      </c>
      <c r="C68" t="n">
        <v>125.789</v>
      </c>
      <c r="D68" t="n">
        <v>24.9214</v>
      </c>
      <c r="E68" t="n">
        <v>79.9028</v>
      </c>
      <c r="F68" t="n">
        <v>104.8242</v>
      </c>
      <c r="G68" t="n">
        <v>7532.6184</v>
      </c>
      <c r="H68" t="n">
        <v>1.2</v>
      </c>
    </row>
    <row r="69">
      <c r="A69" t="n">
        <v>49</v>
      </c>
      <c r="B69" t="n">
        <v>4.0833</v>
      </c>
      <c r="C69" t="n">
        <v>124.4461</v>
      </c>
      <c r="D69" t="n">
        <v>24.6598</v>
      </c>
      <c r="E69" t="n">
        <v>79.0453</v>
      </c>
      <c r="F69" t="n">
        <v>103.7051</v>
      </c>
      <c r="G69" t="n">
        <v>7453.5731</v>
      </c>
      <c r="H69" t="n">
        <v>1.2</v>
      </c>
    </row>
    <row r="70">
      <c r="A70" t="n">
        <v>50</v>
      </c>
      <c r="B70" t="n">
        <v>4.1667</v>
      </c>
      <c r="C70" t="n">
        <v>124.4461</v>
      </c>
      <c r="D70" t="n">
        <v>24.4011</v>
      </c>
      <c r="E70" t="n">
        <v>79.304</v>
      </c>
      <c r="F70" t="n">
        <v>103.7051</v>
      </c>
      <c r="G70" t="n">
        <v>7374.269</v>
      </c>
      <c r="H70" t="n">
        <v>1.2</v>
      </c>
    </row>
    <row r="71">
      <c r="A71" t="n">
        <v>51</v>
      </c>
      <c r="B71" t="n">
        <v>4.25</v>
      </c>
      <c r="C71" t="n">
        <v>124.4461</v>
      </c>
      <c r="D71" t="n">
        <v>24.1414</v>
      </c>
      <c r="E71" t="n">
        <v>79.5637</v>
      </c>
      <c r="F71" t="n">
        <v>103.7051</v>
      </c>
      <c r="G71" t="n">
        <v>7294.7054</v>
      </c>
      <c r="H71" t="n">
        <v>1.2</v>
      </c>
    </row>
    <row r="72">
      <c r="A72" t="n">
        <v>52</v>
      </c>
      <c r="B72" t="n">
        <v>4.3333</v>
      </c>
      <c r="C72" t="n">
        <v>124.4461</v>
      </c>
      <c r="D72" t="n">
        <v>23.881</v>
      </c>
      <c r="E72" t="n">
        <v>79.8241</v>
      </c>
      <c r="F72" t="n">
        <v>103.7051</v>
      </c>
      <c r="G72" t="n">
        <v>7214.8812</v>
      </c>
      <c r="H72" t="n">
        <v>1.2</v>
      </c>
    </row>
    <row r="73">
      <c r="A73" t="n">
        <v>53</v>
      </c>
      <c r="B73" t="n">
        <v>4.4167</v>
      </c>
      <c r="C73" t="n">
        <v>124.4461</v>
      </c>
      <c r="D73" t="n">
        <v>23.6196</v>
      </c>
      <c r="E73" t="n">
        <v>80.0855</v>
      </c>
      <c r="F73" t="n">
        <v>103.7051</v>
      </c>
      <c r="G73" t="n">
        <v>7134.7958</v>
      </c>
      <c r="H73" t="n">
        <v>1.2</v>
      </c>
    </row>
    <row r="74">
      <c r="A74" t="n">
        <v>54</v>
      </c>
      <c r="B74" t="n">
        <v>4.5</v>
      </c>
      <c r="C74" t="n">
        <v>124.4461</v>
      </c>
      <c r="D74" t="n">
        <v>23.3575</v>
      </c>
      <c r="E74" t="n">
        <v>80.3476</v>
      </c>
      <c r="F74" t="n">
        <v>103.7051</v>
      </c>
      <c r="G74" t="n">
        <v>7054.4481</v>
      </c>
      <c r="H74" t="n">
        <v>1.2</v>
      </c>
    </row>
    <row r="75">
      <c r="A75" t="n">
        <v>55</v>
      </c>
      <c r="B75" t="n">
        <v>4.5833</v>
      </c>
      <c r="C75" t="n">
        <v>124.4461</v>
      </c>
      <c r="D75" t="n">
        <v>23.0944</v>
      </c>
      <c r="E75" t="n">
        <v>80.61069999999999</v>
      </c>
      <c r="F75" t="n">
        <v>103.7051</v>
      </c>
      <c r="G75" t="n">
        <v>6973.8374</v>
      </c>
      <c r="H75" t="n">
        <v>1.2</v>
      </c>
    </row>
    <row r="76">
      <c r="A76" t="n">
        <v>56</v>
      </c>
      <c r="B76" t="n">
        <v>4.6667</v>
      </c>
      <c r="C76" t="n">
        <v>124.4461</v>
      </c>
      <c r="D76" t="n">
        <v>22.8305</v>
      </c>
      <c r="E76" t="n">
        <v>80.8746</v>
      </c>
      <c r="F76" t="n">
        <v>103.7051</v>
      </c>
      <c r="G76" t="n">
        <v>6892.9629</v>
      </c>
      <c r="H76" t="n">
        <v>1.2</v>
      </c>
    </row>
    <row r="77">
      <c r="A77" t="n">
        <v>57</v>
      </c>
      <c r="B77" t="n">
        <v>4.75</v>
      </c>
      <c r="C77" t="n">
        <v>124.4461</v>
      </c>
      <c r="D77" t="n">
        <v>22.5658</v>
      </c>
      <c r="E77" t="n">
        <v>81.13930000000001</v>
      </c>
      <c r="F77" t="n">
        <v>103.7051</v>
      </c>
      <c r="G77" t="n">
        <v>6811.8235</v>
      </c>
      <c r="H77" t="n">
        <v>1.2</v>
      </c>
    </row>
    <row r="78">
      <c r="A78" t="n">
        <v>58</v>
      </c>
      <c r="B78" t="n">
        <v>4.8333</v>
      </c>
      <c r="C78" t="n">
        <v>124.4461</v>
      </c>
      <c r="D78" t="n">
        <v>22.3001</v>
      </c>
      <c r="E78" t="n">
        <v>81.405</v>
      </c>
      <c r="F78" t="n">
        <v>103.7051</v>
      </c>
      <c r="G78" t="n">
        <v>6730.4186</v>
      </c>
      <c r="H78" t="n">
        <v>1.2</v>
      </c>
    </row>
    <row r="79">
      <c r="A79" t="n">
        <v>59</v>
      </c>
      <c r="B79" t="n">
        <v>4.9167</v>
      </c>
      <c r="C79" t="n">
        <v>124.4461</v>
      </c>
      <c r="D79" t="n">
        <v>22.0336</v>
      </c>
      <c r="E79" t="n">
        <v>81.67149999999999</v>
      </c>
      <c r="F79" t="n">
        <v>103.7051</v>
      </c>
      <c r="G79" t="n">
        <v>6648.7471</v>
      </c>
      <c r="H79" t="n">
        <v>1.2</v>
      </c>
    </row>
    <row r="80">
      <c r="A80" t="n">
        <v>60</v>
      </c>
      <c r="B80" t="n">
        <v>5</v>
      </c>
      <c r="C80" t="n">
        <v>124.4461</v>
      </c>
      <c r="D80" t="n">
        <v>21.7663</v>
      </c>
      <c r="E80" t="n">
        <v>81.9388</v>
      </c>
      <c r="F80" t="n">
        <v>103.7051</v>
      </c>
      <c r="G80" t="n">
        <v>6566.8083</v>
      </c>
      <c r="H80" t="n">
        <v>1.2</v>
      </c>
    </row>
    <row r="81">
      <c r="A81" t="n">
        <v>61</v>
      </c>
      <c r="B81" t="n">
        <v>5.0833</v>
      </c>
      <c r="C81" t="n">
        <v>123.0957</v>
      </c>
      <c r="D81" t="n">
        <v>21.498</v>
      </c>
      <c r="E81" t="n">
        <v>81.0817</v>
      </c>
      <c r="F81" t="n">
        <v>102.5797</v>
      </c>
      <c r="G81" t="n">
        <v>6485.7265</v>
      </c>
      <c r="H81" t="n">
        <v>1.2</v>
      </c>
    </row>
    <row r="82">
      <c r="A82" t="n">
        <v>62</v>
      </c>
      <c r="B82" t="n">
        <v>5.1667</v>
      </c>
      <c r="C82" t="n">
        <v>123.0957</v>
      </c>
      <c r="D82" t="n">
        <v>21.2326</v>
      </c>
      <c r="E82" t="n">
        <v>81.3472</v>
      </c>
      <c r="F82" t="n">
        <v>102.5797</v>
      </c>
      <c r="G82" t="n">
        <v>6404.3794</v>
      </c>
      <c r="H82" t="n">
        <v>1.2</v>
      </c>
    </row>
    <row r="83">
      <c r="A83" t="n">
        <v>63</v>
      </c>
      <c r="B83" t="n">
        <v>5.25</v>
      </c>
      <c r="C83" t="n">
        <v>123.0957</v>
      </c>
      <c r="D83" t="n">
        <v>20.9663</v>
      </c>
      <c r="E83" t="n">
        <v>81.6135</v>
      </c>
      <c r="F83" t="n">
        <v>102.5797</v>
      </c>
      <c r="G83" t="n">
        <v>6322.7659</v>
      </c>
      <c r="H83" t="n">
        <v>1.2</v>
      </c>
    </row>
    <row r="84">
      <c r="A84" t="n">
        <v>64</v>
      </c>
      <c r="B84" t="n">
        <v>5.3333</v>
      </c>
      <c r="C84" t="n">
        <v>123.0957</v>
      </c>
      <c r="D84" t="n">
        <v>20.6991</v>
      </c>
      <c r="E84" t="n">
        <v>81.8807</v>
      </c>
      <c r="F84" t="n">
        <v>102.5797</v>
      </c>
      <c r="G84" t="n">
        <v>6240.8853</v>
      </c>
      <c r="H84" t="n">
        <v>1.2</v>
      </c>
    </row>
    <row r="85">
      <c r="A85" t="n">
        <v>65</v>
      </c>
      <c r="B85" t="n">
        <v>5.4167</v>
      </c>
      <c r="C85" t="n">
        <v>123.0957</v>
      </c>
      <c r="D85" t="n">
        <v>20.431</v>
      </c>
      <c r="E85" t="n">
        <v>82.14870000000001</v>
      </c>
      <c r="F85" t="n">
        <v>102.5797</v>
      </c>
      <c r="G85" t="n">
        <v>6158.7365</v>
      </c>
      <c r="H85" t="n">
        <v>1.2</v>
      </c>
    </row>
    <row r="86">
      <c r="A86" t="n">
        <v>66</v>
      </c>
      <c r="B86" t="n">
        <v>5.5</v>
      </c>
      <c r="C86" t="n">
        <v>123.0957</v>
      </c>
      <c r="D86" t="n">
        <v>20.1621</v>
      </c>
      <c r="E86" t="n">
        <v>82.41759999999999</v>
      </c>
      <c r="F86" t="n">
        <v>102.5797</v>
      </c>
      <c r="G86" t="n">
        <v>6076.3189</v>
      </c>
      <c r="H86" t="n">
        <v>1.2</v>
      </c>
    </row>
    <row r="87">
      <c r="A87" t="n">
        <v>67</v>
      </c>
      <c r="B87" t="n">
        <v>5.5833</v>
      </c>
      <c r="C87" t="n">
        <v>123.0957</v>
      </c>
      <c r="D87" t="n">
        <v>19.8923</v>
      </c>
      <c r="E87" t="n">
        <v>82.6875</v>
      </c>
      <c r="F87" t="n">
        <v>102.5797</v>
      </c>
      <c r="G87" t="n">
        <v>5993.6315</v>
      </c>
      <c r="H87" t="n">
        <v>1.2</v>
      </c>
    </row>
    <row r="88">
      <c r="A88" t="n">
        <v>68</v>
      </c>
      <c r="B88" t="n">
        <v>5.6667</v>
      </c>
      <c r="C88" t="n">
        <v>123.0957</v>
      </c>
      <c r="D88" t="n">
        <v>19.6216</v>
      </c>
      <c r="E88" t="n">
        <v>82.95820000000001</v>
      </c>
      <c r="F88" t="n">
        <v>102.5797</v>
      </c>
      <c r="G88" t="n">
        <v>5910.6733</v>
      </c>
      <c r="H88" t="n">
        <v>1.2</v>
      </c>
    </row>
    <row r="89">
      <c r="A89" t="n">
        <v>69</v>
      </c>
      <c r="B89" t="n">
        <v>5.75</v>
      </c>
      <c r="C89" t="n">
        <v>123.0957</v>
      </c>
      <c r="D89" t="n">
        <v>19.35</v>
      </c>
      <c r="E89" t="n">
        <v>83.22969999999999</v>
      </c>
      <c r="F89" t="n">
        <v>102.5797</v>
      </c>
      <c r="G89" t="n">
        <v>5827.4436</v>
      </c>
      <c r="H89" t="n">
        <v>1.2</v>
      </c>
    </row>
    <row r="90">
      <c r="A90" t="n">
        <v>70</v>
      </c>
      <c r="B90" t="n">
        <v>5.8333</v>
      </c>
      <c r="C90" t="n">
        <v>123.0957</v>
      </c>
      <c r="D90" t="n">
        <v>19.0775</v>
      </c>
      <c r="E90" t="n">
        <v>83.5022</v>
      </c>
      <c r="F90" t="n">
        <v>102.5797</v>
      </c>
      <c r="G90" t="n">
        <v>5743.9414</v>
      </c>
      <c r="H90" t="n">
        <v>1.2</v>
      </c>
    </row>
    <row r="91">
      <c r="A91" t="n">
        <v>71</v>
      </c>
      <c r="B91" t="n">
        <v>5.9167</v>
      </c>
      <c r="C91" t="n">
        <v>123.0957</v>
      </c>
      <c r="D91" t="n">
        <v>18.8042</v>
      </c>
      <c r="E91" t="n">
        <v>83.7756</v>
      </c>
      <c r="F91" t="n">
        <v>102.5797</v>
      </c>
      <c r="G91" t="n">
        <v>5660.1658</v>
      </c>
      <c r="H91" t="n">
        <v>1.2</v>
      </c>
    </row>
    <row r="92">
      <c r="A92" t="n">
        <v>72</v>
      </c>
      <c r="B92" t="n">
        <v>6</v>
      </c>
      <c r="C92" t="n">
        <v>123.0957</v>
      </c>
      <c r="D92" t="n">
        <v>18.5299</v>
      </c>
      <c r="E92" t="n">
        <v>84.0498</v>
      </c>
      <c r="F92" t="n">
        <v>102.5797</v>
      </c>
      <c r="G92" t="n">
        <v>5576.116</v>
      </c>
      <c r="H92" t="n">
        <v>1.2</v>
      </c>
    </row>
    <row r="93">
      <c r="A93" t="n">
        <v>73</v>
      </c>
      <c r="B93" t="n">
        <v>6.0833</v>
      </c>
      <c r="C93" t="n">
        <v>121.7374</v>
      </c>
      <c r="D93" t="n">
        <v>18.2548</v>
      </c>
      <c r="E93" t="n">
        <v>83.1931</v>
      </c>
      <c r="F93" t="n">
        <v>101.4479</v>
      </c>
      <c r="G93" t="n">
        <v>5492.9228</v>
      </c>
      <c r="H93" t="n">
        <v>1.2</v>
      </c>
    </row>
    <row r="94">
      <c r="A94" t="n">
        <v>74</v>
      </c>
      <c r="B94" t="n">
        <v>6.1667</v>
      </c>
      <c r="C94" t="n">
        <v>121.7374</v>
      </c>
      <c r="D94" t="n">
        <v>17.9824</v>
      </c>
      <c r="E94" t="n">
        <v>83.46550000000001</v>
      </c>
      <c r="F94" t="n">
        <v>101.4479</v>
      </c>
      <c r="G94" t="n">
        <v>5409.4574</v>
      </c>
      <c r="H94" t="n">
        <v>1.2</v>
      </c>
    </row>
    <row r="95">
      <c r="A95" t="n">
        <v>75</v>
      </c>
      <c r="B95" t="n">
        <v>6.25</v>
      </c>
      <c r="C95" t="n">
        <v>121.7374</v>
      </c>
      <c r="D95" t="n">
        <v>17.7092</v>
      </c>
      <c r="E95" t="n">
        <v>83.73869999999999</v>
      </c>
      <c r="F95" t="n">
        <v>101.4479</v>
      </c>
      <c r="G95" t="n">
        <v>5325.7187</v>
      </c>
      <c r="H95" t="n">
        <v>1.2</v>
      </c>
    </row>
    <row r="96">
      <c r="A96" t="n">
        <v>76</v>
      </c>
      <c r="B96" t="n">
        <v>6.3333</v>
      </c>
      <c r="C96" t="n">
        <v>121.7374</v>
      </c>
      <c r="D96" t="n">
        <v>17.435</v>
      </c>
      <c r="E96" t="n">
        <v>84.0129</v>
      </c>
      <c r="F96" t="n">
        <v>101.4479</v>
      </c>
      <c r="G96" t="n">
        <v>5241.7058</v>
      </c>
      <c r="H96" t="n">
        <v>1.2</v>
      </c>
    </row>
    <row r="97">
      <c r="A97" t="n">
        <v>77</v>
      </c>
      <c r="B97" t="n">
        <v>6.4167</v>
      </c>
      <c r="C97" t="n">
        <v>121.7374</v>
      </c>
      <c r="D97" t="n">
        <v>17.16</v>
      </c>
      <c r="E97" t="n">
        <v>84.28789999999999</v>
      </c>
      <c r="F97" t="n">
        <v>101.4479</v>
      </c>
      <c r="G97" t="n">
        <v>5157.4179</v>
      </c>
      <c r="H97" t="n">
        <v>1.2</v>
      </c>
    </row>
    <row r="98">
      <c r="A98" t="n">
        <v>78</v>
      </c>
      <c r="B98" t="n">
        <v>6.5</v>
      </c>
      <c r="C98" t="n">
        <v>121.7374</v>
      </c>
      <c r="D98" t="n">
        <v>16.884</v>
      </c>
      <c r="E98" t="n">
        <v>84.5638</v>
      </c>
      <c r="F98" t="n">
        <v>101.4479</v>
      </c>
      <c r="G98" t="n">
        <v>5072.8541</v>
      </c>
      <c r="H98" t="n">
        <v>1.2</v>
      </c>
    </row>
    <row r="99">
      <c r="A99" t="n">
        <v>79</v>
      </c>
      <c r="B99" t="n">
        <v>6.5833</v>
      </c>
      <c r="C99" t="n">
        <v>121.7374</v>
      </c>
      <c r="D99" t="n">
        <v>16.6072</v>
      </c>
      <c r="E99" t="n">
        <v>84.8407</v>
      </c>
      <c r="F99" t="n">
        <v>101.4479</v>
      </c>
      <c r="G99" t="n">
        <v>4988.0134</v>
      </c>
      <c r="H99" t="n">
        <v>1.2</v>
      </c>
    </row>
    <row r="100">
      <c r="A100" t="n">
        <v>80</v>
      </c>
      <c r="B100" t="n">
        <v>6.6667</v>
      </c>
      <c r="C100" t="n">
        <v>121.7374</v>
      </c>
      <c r="D100" t="n">
        <v>16.3295</v>
      </c>
      <c r="E100" t="n">
        <v>85.11839999999999</v>
      </c>
      <c r="F100" t="n">
        <v>101.4479</v>
      </c>
      <c r="G100" t="n">
        <v>4902.895</v>
      </c>
      <c r="H100" t="n">
        <v>1.2</v>
      </c>
    </row>
    <row r="101">
      <c r="A101" t="n">
        <v>81</v>
      </c>
      <c r="B101" t="n">
        <v>6.75</v>
      </c>
      <c r="C101" t="n">
        <v>121.7374</v>
      </c>
      <c r="D101" t="n">
        <v>16.0508</v>
      </c>
      <c r="E101" t="n">
        <v>85.39709999999999</v>
      </c>
      <c r="F101" t="n">
        <v>101.4479</v>
      </c>
      <c r="G101" t="n">
        <v>4817.498</v>
      </c>
      <c r="H101" t="n">
        <v>1.2</v>
      </c>
    </row>
    <row r="102">
      <c r="A102" t="n">
        <v>82</v>
      </c>
      <c r="B102" t="n">
        <v>6.8333</v>
      </c>
      <c r="C102" t="n">
        <v>121.7374</v>
      </c>
      <c r="D102" t="n">
        <v>15.7712</v>
      </c>
      <c r="E102" t="n">
        <v>85.67659999999999</v>
      </c>
      <c r="F102" t="n">
        <v>101.4479</v>
      </c>
      <c r="G102" t="n">
        <v>4731.8213</v>
      </c>
      <c r="H102" t="n">
        <v>1.2</v>
      </c>
    </row>
    <row r="103">
      <c r="A103" t="n">
        <v>83</v>
      </c>
      <c r="B103" t="n">
        <v>6.9167</v>
      </c>
      <c r="C103" t="n">
        <v>121.7374</v>
      </c>
      <c r="D103" t="n">
        <v>15.4908</v>
      </c>
      <c r="E103" t="n">
        <v>85.9571</v>
      </c>
      <c r="F103" t="n">
        <v>101.4479</v>
      </c>
      <c r="G103" t="n">
        <v>4645.8642</v>
      </c>
      <c r="H103" t="n">
        <v>1.2</v>
      </c>
    </row>
    <row r="104">
      <c r="A104" t="n">
        <v>84</v>
      </c>
      <c r="B104" t="n">
        <v>7</v>
      </c>
      <c r="C104" t="n">
        <v>121.7374</v>
      </c>
      <c r="D104" t="n">
        <v>15.2094</v>
      </c>
      <c r="E104" t="n">
        <v>86.2385</v>
      </c>
      <c r="F104" t="n">
        <v>101.4479</v>
      </c>
      <c r="G104" t="n">
        <v>4559.6257</v>
      </c>
      <c r="H104" t="n">
        <v>1.2</v>
      </c>
    </row>
    <row r="105">
      <c r="A105" t="n">
        <v>85</v>
      </c>
      <c r="B105" t="n">
        <v>7.0833</v>
      </c>
      <c r="C105" t="n">
        <v>120.3711</v>
      </c>
      <c r="D105" t="n">
        <v>14.927</v>
      </c>
      <c r="E105" t="n">
        <v>85.3822</v>
      </c>
      <c r="F105" t="n">
        <v>100.3093</v>
      </c>
      <c r="G105" t="n">
        <v>4474.2434</v>
      </c>
      <c r="H105" t="n">
        <v>1.2</v>
      </c>
    </row>
    <row r="106">
      <c r="A106" t="n">
        <v>86</v>
      </c>
      <c r="B106" t="n">
        <v>7.1667</v>
      </c>
      <c r="C106" t="n">
        <v>120.3711</v>
      </c>
      <c r="D106" t="n">
        <v>14.6475</v>
      </c>
      <c r="E106" t="n">
        <v>85.6618</v>
      </c>
      <c r="F106" t="n">
        <v>100.3093</v>
      </c>
      <c r="G106" t="n">
        <v>4388.5817</v>
      </c>
      <c r="H106" t="n">
        <v>1.2</v>
      </c>
    </row>
    <row r="107">
      <c r="A107" t="n">
        <v>87</v>
      </c>
      <c r="B107" t="n">
        <v>7.25</v>
      </c>
      <c r="C107" t="n">
        <v>120.3711</v>
      </c>
      <c r="D107" t="n">
        <v>14.3671</v>
      </c>
      <c r="E107" t="n">
        <v>85.9422</v>
      </c>
      <c r="F107" t="n">
        <v>100.3093</v>
      </c>
      <c r="G107" t="n">
        <v>4302.6395</v>
      </c>
      <c r="H107" t="n">
        <v>1.2</v>
      </c>
    </row>
    <row r="108">
      <c r="A108" t="n">
        <v>88</v>
      </c>
      <c r="B108" t="n">
        <v>7.3333</v>
      </c>
      <c r="C108" t="n">
        <v>120.3711</v>
      </c>
      <c r="D108" t="n">
        <v>14.0857</v>
      </c>
      <c r="E108" t="n">
        <v>86.2236</v>
      </c>
      <c r="F108" t="n">
        <v>100.3093</v>
      </c>
      <c r="G108" t="n">
        <v>4216.4159</v>
      </c>
      <c r="H108" t="n">
        <v>1.2</v>
      </c>
    </row>
    <row r="109">
      <c r="A109" t="n">
        <v>89</v>
      </c>
      <c r="B109" t="n">
        <v>7.4167</v>
      </c>
      <c r="C109" t="n">
        <v>120.3711</v>
      </c>
      <c r="D109" t="n">
        <v>13.8034</v>
      </c>
      <c r="E109" t="n">
        <v>86.50579999999999</v>
      </c>
      <c r="F109" t="n">
        <v>100.3093</v>
      </c>
      <c r="G109" t="n">
        <v>4129.9101</v>
      </c>
      <c r="H109" t="n">
        <v>1.2</v>
      </c>
    </row>
    <row r="110">
      <c r="A110" t="n">
        <v>90</v>
      </c>
      <c r="B110" t="n">
        <v>7.5</v>
      </c>
      <c r="C110" t="n">
        <v>120.3711</v>
      </c>
      <c r="D110" t="n">
        <v>13.5203</v>
      </c>
      <c r="E110" t="n">
        <v>86.789</v>
      </c>
      <c r="F110" t="n">
        <v>100.3093</v>
      </c>
      <c r="G110" t="n">
        <v>4043.1211</v>
      </c>
      <c r="H110" t="n">
        <v>1.2</v>
      </c>
    </row>
    <row r="111">
      <c r="A111" t="n">
        <v>91</v>
      </c>
      <c r="B111" t="n">
        <v>7.5833</v>
      </c>
      <c r="C111" t="n">
        <v>120.3711</v>
      </c>
      <c r="D111" t="n">
        <v>13.2361</v>
      </c>
      <c r="E111" t="n">
        <v>87.0731</v>
      </c>
      <c r="F111" t="n">
        <v>100.3093</v>
      </c>
      <c r="G111" t="n">
        <v>3956.0479</v>
      </c>
      <c r="H111" t="n">
        <v>1.2</v>
      </c>
    </row>
    <row r="112">
      <c r="A112" t="n">
        <v>92</v>
      </c>
      <c r="B112" t="n">
        <v>7.6667</v>
      </c>
      <c r="C112" t="n">
        <v>120.3711</v>
      </c>
      <c r="D112" t="n">
        <v>12.9511</v>
      </c>
      <c r="E112" t="n">
        <v>87.3582</v>
      </c>
      <c r="F112" t="n">
        <v>100.3093</v>
      </c>
      <c r="G112" t="n">
        <v>3868.6897</v>
      </c>
      <c r="H112" t="n">
        <v>1.2</v>
      </c>
    </row>
    <row r="113">
      <c r="A113" t="n">
        <v>93</v>
      </c>
      <c r="B113" t="n">
        <v>7.75</v>
      </c>
      <c r="C113" t="n">
        <v>120.3711</v>
      </c>
      <c r="D113" t="n">
        <v>12.6651</v>
      </c>
      <c r="E113" t="n">
        <v>87.6442</v>
      </c>
      <c r="F113" t="n">
        <v>100.3093</v>
      </c>
      <c r="G113" t="n">
        <v>3781.0455</v>
      </c>
      <c r="H113" t="n">
        <v>1.2</v>
      </c>
    </row>
    <row r="114">
      <c r="A114" t="n">
        <v>94</v>
      </c>
      <c r="B114" t="n">
        <v>7.8333</v>
      </c>
      <c r="C114" t="n">
        <v>120.3711</v>
      </c>
      <c r="D114" t="n">
        <v>12.3782</v>
      </c>
      <c r="E114" t="n">
        <v>87.9311</v>
      </c>
      <c r="F114" t="n">
        <v>100.3093</v>
      </c>
      <c r="G114" t="n">
        <v>3693.1144</v>
      </c>
      <c r="H114" t="n">
        <v>1.2</v>
      </c>
    </row>
    <row r="115">
      <c r="A115" t="n">
        <v>95</v>
      </c>
      <c r="B115" t="n">
        <v>7.9167</v>
      </c>
      <c r="C115" t="n">
        <v>120.3711</v>
      </c>
      <c r="D115" t="n">
        <v>12.0903</v>
      </c>
      <c r="E115" t="n">
        <v>88.21899999999999</v>
      </c>
      <c r="F115" t="n">
        <v>100.3093</v>
      </c>
      <c r="G115" t="n">
        <v>3604.8954</v>
      </c>
      <c r="H115" t="n">
        <v>1.2</v>
      </c>
    </row>
    <row r="116">
      <c r="A116" t="n">
        <v>96</v>
      </c>
      <c r="B116" t="n">
        <v>8</v>
      </c>
      <c r="C116" t="n">
        <v>120.3711</v>
      </c>
      <c r="D116" t="n">
        <v>11.8015</v>
      </c>
      <c r="E116" t="n">
        <v>88.5078</v>
      </c>
      <c r="F116" t="n">
        <v>100.3093</v>
      </c>
      <c r="G116" t="n">
        <v>3516.3877</v>
      </c>
      <c r="H116" t="n">
        <v>1.2</v>
      </c>
    </row>
    <row r="117">
      <c r="A117" t="n">
        <v>97</v>
      </c>
      <c r="B117" t="n">
        <v>8.083299999999999</v>
      </c>
      <c r="C117" t="n">
        <v>118.9965</v>
      </c>
      <c r="D117" t="n">
        <v>11.5117</v>
      </c>
      <c r="E117" t="n">
        <v>87.652</v>
      </c>
      <c r="F117" t="n">
        <v>99.16370000000001</v>
      </c>
      <c r="G117" t="n">
        <v>3428.7357</v>
      </c>
      <c r="H117" t="n">
        <v>1.2</v>
      </c>
    </row>
    <row r="118">
      <c r="A118" t="n">
        <v>98</v>
      </c>
      <c r="B118" t="n">
        <v>8.166700000000001</v>
      </c>
      <c r="C118" t="n">
        <v>118.9965</v>
      </c>
      <c r="D118" t="n">
        <v>11.2248</v>
      </c>
      <c r="E118" t="n">
        <v>87.93899999999999</v>
      </c>
      <c r="F118" t="n">
        <v>99.16370000000001</v>
      </c>
      <c r="G118" t="n">
        <v>3340.7967</v>
      </c>
      <c r="H118" t="n">
        <v>1.2</v>
      </c>
    </row>
    <row r="119">
      <c r="A119" t="n">
        <v>99</v>
      </c>
      <c r="B119" t="n">
        <v>8.25</v>
      </c>
      <c r="C119" t="n">
        <v>118.9965</v>
      </c>
      <c r="D119" t="n">
        <v>10.9369</v>
      </c>
      <c r="E119" t="n">
        <v>88.2268</v>
      </c>
      <c r="F119" t="n">
        <v>99.16370000000001</v>
      </c>
      <c r="G119" t="n">
        <v>3252.5699</v>
      </c>
      <c r="H119" t="n">
        <v>1.2</v>
      </c>
    </row>
    <row r="120">
      <c r="A120" t="n">
        <v>100</v>
      </c>
      <c r="B120" t="n">
        <v>8.333299999999999</v>
      </c>
      <c r="C120" t="n">
        <v>118.9965</v>
      </c>
      <c r="D120" t="n">
        <v>10.6481</v>
      </c>
      <c r="E120" t="n">
        <v>88.5157</v>
      </c>
      <c r="F120" t="n">
        <v>99.16370000000001</v>
      </c>
      <c r="G120" t="n">
        <v>3164.0542</v>
      </c>
      <c r="H120" t="n">
        <v>1.2</v>
      </c>
    </row>
    <row r="121">
      <c r="A121" t="n">
        <v>101</v>
      </c>
      <c r="B121" t="n">
        <v>8.416700000000001</v>
      </c>
      <c r="C121" t="n">
        <v>118.9965</v>
      </c>
      <c r="D121" t="n">
        <v>10.3583</v>
      </c>
      <c r="E121" t="n">
        <v>88.80549999999999</v>
      </c>
      <c r="F121" t="n">
        <v>99.16370000000001</v>
      </c>
      <c r="G121" t="n">
        <v>3075.2487</v>
      </c>
      <c r="H121" t="n">
        <v>1.2</v>
      </c>
    </row>
    <row r="122">
      <c r="A122" t="n">
        <v>102</v>
      </c>
      <c r="B122" t="n">
        <v>8.5</v>
      </c>
      <c r="C122" t="n">
        <v>118.9965</v>
      </c>
      <c r="D122" t="n">
        <v>10.0676</v>
      </c>
      <c r="E122" t="n">
        <v>89.0962</v>
      </c>
      <c r="F122" t="n">
        <v>99.16370000000001</v>
      </c>
      <c r="G122" t="n">
        <v>2986.1525</v>
      </c>
      <c r="H122" t="n">
        <v>1.2</v>
      </c>
    </row>
    <row r="123">
      <c r="A123" t="n">
        <v>103</v>
      </c>
      <c r="B123" t="n">
        <v>8.583299999999999</v>
      </c>
      <c r="C123" t="n">
        <v>118.9965</v>
      </c>
      <c r="D123" t="n">
        <v>9.7759</v>
      </c>
      <c r="E123" t="n">
        <v>89.3879</v>
      </c>
      <c r="F123" t="n">
        <v>99.16370000000001</v>
      </c>
      <c r="G123" t="n">
        <v>2896.7647</v>
      </c>
      <c r="H123" t="n">
        <v>1.2</v>
      </c>
    </row>
    <row r="124">
      <c r="A124" t="n">
        <v>104</v>
      </c>
      <c r="B124" t="n">
        <v>8.666700000000001</v>
      </c>
      <c r="C124" t="n">
        <v>118.9965</v>
      </c>
      <c r="D124" t="n">
        <v>9.4833</v>
      </c>
      <c r="E124" t="n">
        <v>89.68049999999999</v>
      </c>
      <c r="F124" t="n">
        <v>99.16370000000001</v>
      </c>
      <c r="G124" t="n">
        <v>2807.0842</v>
      </c>
      <c r="H124" t="n">
        <v>1.2</v>
      </c>
    </row>
    <row r="125">
      <c r="A125" t="n">
        <v>105</v>
      </c>
      <c r="B125" t="n">
        <v>8.75</v>
      </c>
      <c r="C125" t="n">
        <v>118.9965</v>
      </c>
      <c r="D125" t="n">
        <v>9.1897</v>
      </c>
      <c r="E125" t="n">
        <v>89.97410000000001</v>
      </c>
      <c r="F125" t="n">
        <v>99.16370000000001</v>
      </c>
      <c r="G125" t="n">
        <v>2717.1101</v>
      </c>
      <c r="H125" t="n">
        <v>1.2</v>
      </c>
    </row>
    <row r="126">
      <c r="A126" t="n">
        <v>106</v>
      </c>
      <c r="B126" t="n">
        <v>8.833299999999999</v>
      </c>
      <c r="C126" t="n">
        <v>118.9965</v>
      </c>
      <c r="D126" t="n">
        <v>8.895099999999999</v>
      </c>
      <c r="E126" t="n">
        <v>90.26860000000001</v>
      </c>
      <c r="F126" t="n">
        <v>99.16370000000001</v>
      </c>
      <c r="G126" t="n">
        <v>2626.8415</v>
      </c>
      <c r="H126" t="n">
        <v>1.2</v>
      </c>
    </row>
    <row r="127">
      <c r="A127" t="n">
        <v>107</v>
      </c>
      <c r="B127" t="n">
        <v>8.916700000000001</v>
      </c>
      <c r="C127" t="n">
        <v>118.9965</v>
      </c>
      <c r="D127" t="n">
        <v>8.599600000000001</v>
      </c>
      <c r="E127" t="n">
        <v>90.5642</v>
      </c>
      <c r="F127" t="n">
        <v>99.16370000000001</v>
      </c>
      <c r="G127" t="n">
        <v>2536.2773</v>
      </c>
      <c r="H127" t="n">
        <v>1.2</v>
      </c>
    </row>
    <row r="128">
      <c r="A128" t="n">
        <v>108</v>
      </c>
      <c r="B128" t="n">
        <v>9</v>
      </c>
      <c r="C128" t="n">
        <v>118.9965</v>
      </c>
      <c r="D128" t="n">
        <v>8.303100000000001</v>
      </c>
      <c r="E128" t="n">
        <v>90.86060000000001</v>
      </c>
      <c r="F128" t="n">
        <v>99.16370000000001</v>
      </c>
      <c r="G128" t="n">
        <v>2445.4167</v>
      </c>
      <c r="H128" t="n">
        <v>1.2</v>
      </c>
    </row>
    <row r="129">
      <c r="A129" t="n">
        <v>109</v>
      </c>
      <c r="B129" t="n">
        <v>9.083299999999999</v>
      </c>
      <c r="C129" t="n">
        <v>117.6133</v>
      </c>
      <c r="D129" t="n">
        <v>8.005699999999999</v>
      </c>
      <c r="E129" t="n">
        <v>90.00539999999999</v>
      </c>
      <c r="F129" t="n">
        <v>98.0111</v>
      </c>
      <c r="G129" t="n">
        <v>2355.4113</v>
      </c>
      <c r="H129" t="n">
        <v>1.2</v>
      </c>
    </row>
    <row r="130">
      <c r="A130" t="n">
        <v>110</v>
      </c>
      <c r="B130" t="n">
        <v>9.166700000000001</v>
      </c>
      <c r="C130" t="n">
        <v>117.6133</v>
      </c>
      <c r="D130" t="n">
        <v>7.711</v>
      </c>
      <c r="E130" t="n">
        <v>90.3001</v>
      </c>
      <c r="F130" t="n">
        <v>98.0111</v>
      </c>
      <c r="G130" t="n">
        <v>2265.1112</v>
      </c>
      <c r="H130" t="n">
        <v>1.2</v>
      </c>
    </row>
    <row r="131">
      <c r="A131" t="n">
        <v>111</v>
      </c>
      <c r="B131" t="n">
        <v>9.25</v>
      </c>
      <c r="C131" t="n">
        <v>117.6133</v>
      </c>
      <c r="D131" t="n">
        <v>7.4154</v>
      </c>
      <c r="E131" t="n">
        <v>90.59569999999999</v>
      </c>
      <c r="F131" t="n">
        <v>98.0111</v>
      </c>
      <c r="G131" t="n">
        <v>2174.5155</v>
      </c>
      <c r="H131" t="n">
        <v>1.2</v>
      </c>
    </row>
    <row r="132">
      <c r="A132" t="n">
        <v>112</v>
      </c>
      <c r="B132" t="n">
        <v>9.333299999999999</v>
      </c>
      <c r="C132" t="n">
        <v>117.6133</v>
      </c>
      <c r="D132" t="n">
        <v>7.1188</v>
      </c>
      <c r="E132" t="n">
        <v>90.89230000000001</v>
      </c>
      <c r="F132" t="n">
        <v>98.0111</v>
      </c>
      <c r="G132" t="n">
        <v>2083.6233</v>
      </c>
      <c r="H132" t="n">
        <v>1.2</v>
      </c>
    </row>
    <row r="133">
      <c r="A133" t="n">
        <v>113</v>
      </c>
      <c r="B133" t="n">
        <v>9.416700000000001</v>
      </c>
      <c r="C133" t="n">
        <v>117.6133</v>
      </c>
      <c r="D133" t="n">
        <v>6.8212</v>
      </c>
      <c r="E133" t="n">
        <v>91.18980000000001</v>
      </c>
      <c r="F133" t="n">
        <v>98.0111</v>
      </c>
      <c r="G133" t="n">
        <v>1992.4334</v>
      </c>
      <c r="H133" t="n">
        <v>1.2</v>
      </c>
    </row>
    <row r="134">
      <c r="A134" t="n">
        <v>114</v>
      </c>
      <c r="B134" t="n">
        <v>9.5</v>
      </c>
      <c r="C134" t="n">
        <v>117.6133</v>
      </c>
      <c r="D134" t="n">
        <v>6.5227</v>
      </c>
      <c r="E134" t="n">
        <v>91.4884</v>
      </c>
      <c r="F134" t="n">
        <v>98.0111</v>
      </c>
      <c r="G134" t="n">
        <v>1900.9451</v>
      </c>
      <c r="H134" t="n">
        <v>1.2</v>
      </c>
    </row>
    <row r="135">
      <c r="A135" t="n">
        <v>115</v>
      </c>
      <c r="B135" t="n">
        <v>9.583299999999999</v>
      </c>
      <c r="C135" t="n">
        <v>117.6133</v>
      </c>
      <c r="D135" t="n">
        <v>6.2232</v>
      </c>
      <c r="E135" t="n">
        <v>91.78789999999999</v>
      </c>
      <c r="F135" t="n">
        <v>98.0111</v>
      </c>
      <c r="G135" t="n">
        <v>1809.1572</v>
      </c>
      <c r="H135" t="n">
        <v>1.2</v>
      </c>
    </row>
    <row r="136">
      <c r="A136" t="n">
        <v>116</v>
      </c>
      <c r="B136" t="n">
        <v>9.666700000000001</v>
      </c>
      <c r="C136" t="n">
        <v>117.6133</v>
      </c>
      <c r="D136" t="n">
        <v>5.9227</v>
      </c>
      <c r="E136" t="n">
        <v>92.08839999999999</v>
      </c>
      <c r="F136" t="n">
        <v>98.0111</v>
      </c>
      <c r="G136" t="n">
        <v>1717.0689</v>
      </c>
      <c r="H136" t="n">
        <v>1.2</v>
      </c>
    </row>
    <row r="137">
      <c r="A137" t="n">
        <v>117</v>
      </c>
      <c r="B137" t="n">
        <v>9.75</v>
      </c>
      <c r="C137" t="n">
        <v>117.6133</v>
      </c>
      <c r="D137" t="n">
        <v>5.6212</v>
      </c>
      <c r="E137" t="n">
        <v>92.38979999999999</v>
      </c>
      <c r="F137" t="n">
        <v>98.0111</v>
      </c>
      <c r="G137" t="n">
        <v>1624.679</v>
      </c>
      <c r="H137" t="n">
        <v>1.2</v>
      </c>
    </row>
    <row r="138">
      <c r="A138" t="n">
        <v>118</v>
      </c>
      <c r="B138" t="n">
        <v>9.833299999999999</v>
      </c>
      <c r="C138" t="n">
        <v>117.6133</v>
      </c>
      <c r="D138" t="n">
        <v>5.3188</v>
      </c>
      <c r="E138" t="n">
        <v>92.6923</v>
      </c>
      <c r="F138" t="n">
        <v>98.0111</v>
      </c>
      <c r="G138" t="n">
        <v>1531.9867</v>
      </c>
      <c r="H138" t="n">
        <v>1.2</v>
      </c>
    </row>
    <row r="139">
      <c r="A139" t="n">
        <v>119</v>
      </c>
      <c r="B139" t="n">
        <v>9.916700000000001</v>
      </c>
      <c r="C139" t="n">
        <v>117.6133</v>
      </c>
      <c r="D139" t="n">
        <v>5.0153</v>
      </c>
      <c r="E139" t="n">
        <v>92.9957</v>
      </c>
      <c r="F139" t="n">
        <v>98.0111</v>
      </c>
      <c r="G139" t="n">
        <v>1438.991</v>
      </c>
      <c r="H139" t="n">
        <v>1.2</v>
      </c>
    </row>
    <row r="140">
      <c r="A140" t="n">
        <v>120</v>
      </c>
      <c r="B140" t="n">
        <v>10</v>
      </c>
      <c r="C140" t="n">
        <v>117.6133</v>
      </c>
      <c r="D140" t="n">
        <v>4.7109</v>
      </c>
      <c r="E140" t="n">
        <v>93.3002</v>
      </c>
      <c r="F140" t="n">
        <v>98.0111</v>
      </c>
      <c r="G140" t="n">
        <v>1345.6908</v>
      </c>
      <c r="H140" t="n">
        <v>1.2</v>
      </c>
    </row>
    <row r="141">
      <c r="A141" t="n">
        <v>121</v>
      </c>
      <c r="B141" t="n">
        <v>10.0833</v>
      </c>
      <c r="C141" t="n">
        <v>28.4542</v>
      </c>
      <c r="D141" t="n">
        <v>6.0175</v>
      </c>
      <c r="E141" t="n">
        <v>15.0597</v>
      </c>
      <c r="F141" t="n">
        <v>21.0772</v>
      </c>
      <c r="G141" t="n">
        <v>1330.6312</v>
      </c>
      <c r="H141" t="n">
        <v>1.35</v>
      </c>
    </row>
    <row r="142">
      <c r="A142" t="n">
        <v>122</v>
      </c>
      <c r="B142" t="n">
        <v>10.1667</v>
      </c>
      <c r="C142" t="n">
        <v>28.4329</v>
      </c>
      <c r="D142" t="n">
        <v>5.9502</v>
      </c>
      <c r="E142" t="n">
        <v>15.1112</v>
      </c>
      <c r="F142" t="n">
        <v>21.0614</v>
      </c>
      <c r="G142" t="n">
        <v>1315.5199</v>
      </c>
      <c r="H142" t="n">
        <v>1.35</v>
      </c>
    </row>
    <row r="143">
      <c r="A143" t="n">
        <v>123</v>
      </c>
      <c r="B143" t="n">
        <v>10.25</v>
      </c>
      <c r="C143" t="n">
        <v>30.2146</v>
      </c>
      <c r="D143" t="n">
        <v>5.8826</v>
      </c>
      <c r="E143" t="n">
        <v>16.4986</v>
      </c>
      <c r="F143" t="n">
        <v>22.3812</v>
      </c>
      <c r="G143" t="n">
        <v>1299.0213</v>
      </c>
      <c r="H143" t="n">
        <v>1.35</v>
      </c>
    </row>
    <row r="144">
      <c r="A144" t="n">
        <v>124</v>
      </c>
      <c r="B144" t="n">
        <v>10.3333</v>
      </c>
      <c r="C144" t="n">
        <v>28.0445</v>
      </c>
      <c r="D144" t="n">
        <v>5.8088</v>
      </c>
      <c r="E144" t="n">
        <v>14.9649</v>
      </c>
      <c r="F144" t="n">
        <v>20.7737</v>
      </c>
      <c r="G144" t="n">
        <v>1284.0565</v>
      </c>
      <c r="H144" t="n">
        <v>1.35</v>
      </c>
    </row>
    <row r="145">
      <c r="A145" t="n">
        <v>125</v>
      </c>
      <c r="B145" t="n">
        <v>10.4167</v>
      </c>
      <c r="C145" t="n">
        <v>25.647</v>
      </c>
      <c r="D145" t="n">
        <v>5.7419</v>
      </c>
      <c r="E145" t="n">
        <v>13.2559</v>
      </c>
      <c r="F145" t="n">
        <v>18.9978</v>
      </c>
      <c r="G145" t="n">
        <v>1270.8006</v>
      </c>
      <c r="H145" t="n">
        <v>1.35</v>
      </c>
    </row>
    <row r="146">
      <c r="A146" t="n">
        <v>126</v>
      </c>
      <c r="B146" t="n">
        <v>10.5</v>
      </c>
      <c r="C146" t="n">
        <v>27.0037</v>
      </c>
      <c r="D146" t="n">
        <v>5.6826</v>
      </c>
      <c r="E146" t="n">
        <v>14.3201</v>
      </c>
      <c r="F146" t="n">
        <v>20.0028</v>
      </c>
      <c r="G146" t="n">
        <v>1256.4805</v>
      </c>
      <c r="H146" t="n">
        <v>1.35</v>
      </c>
    </row>
    <row r="147">
      <c r="A147" t="n">
        <v>127</v>
      </c>
      <c r="B147" t="n">
        <v>10.5833</v>
      </c>
      <c r="C147" t="n">
        <v>26.529</v>
      </c>
      <c r="D147" t="n">
        <v>5.6186</v>
      </c>
      <c r="E147" t="n">
        <v>14.0325</v>
      </c>
      <c r="F147" t="n">
        <v>19.6511</v>
      </c>
      <c r="G147" t="n">
        <v>1242.4479</v>
      </c>
      <c r="H147" t="n">
        <v>1.35</v>
      </c>
    </row>
    <row r="148">
      <c r="A148" t="n">
        <v>128</v>
      </c>
      <c r="B148" t="n">
        <v>10.6667</v>
      </c>
      <c r="C148" t="n">
        <v>26.1657</v>
      </c>
      <c r="D148" t="n">
        <v>5.5559</v>
      </c>
      <c r="E148" t="n">
        <v>13.8261</v>
      </c>
      <c r="F148" t="n">
        <v>19.382</v>
      </c>
      <c r="G148" t="n">
        <v>1228.6218</v>
      </c>
      <c r="H148" t="n">
        <v>1.35</v>
      </c>
    </row>
    <row r="149">
      <c r="A149" t="n">
        <v>129</v>
      </c>
      <c r="B149" t="n">
        <v>10.75</v>
      </c>
      <c r="C149" t="n">
        <v>24.6218</v>
      </c>
      <c r="D149" t="n">
        <v>5.494</v>
      </c>
      <c r="E149" t="n">
        <v>12.7443</v>
      </c>
      <c r="F149" t="n">
        <v>18.2384</v>
      </c>
      <c r="G149" t="n">
        <v>1215.8774</v>
      </c>
      <c r="H149" t="n">
        <v>1.35</v>
      </c>
    </row>
    <row r="150">
      <c r="A150" t="n">
        <v>130</v>
      </c>
      <c r="B150" t="n">
        <v>10.8333</v>
      </c>
      <c r="C150" t="n">
        <v>25.102</v>
      </c>
      <c r="D150" t="n">
        <v>5.437</v>
      </c>
      <c r="E150" t="n">
        <v>13.157</v>
      </c>
      <c r="F150" t="n">
        <v>18.5941</v>
      </c>
      <c r="G150" t="n">
        <v>1202.7204</v>
      </c>
      <c r="H150" t="n">
        <v>1.35</v>
      </c>
    </row>
    <row r="151">
      <c r="A151" t="n">
        <v>131</v>
      </c>
      <c r="B151" t="n">
        <v>10.9167</v>
      </c>
      <c r="C151" t="n">
        <v>24.2289</v>
      </c>
      <c r="D151" t="n">
        <v>5.3782</v>
      </c>
      <c r="E151" t="n">
        <v>12.5691</v>
      </c>
      <c r="F151" t="n">
        <v>17.9473</v>
      </c>
      <c r="G151" t="n">
        <v>1190.1513</v>
      </c>
      <c r="H151" t="n">
        <v>1.35</v>
      </c>
    </row>
    <row r="152">
      <c r="A152" t="n">
        <v>132</v>
      </c>
      <c r="B152" t="n">
        <v>11</v>
      </c>
      <c r="C152" t="n">
        <v>23.7779</v>
      </c>
      <c r="D152" t="n">
        <v>5.322</v>
      </c>
      <c r="E152" t="n">
        <v>12.2913</v>
      </c>
      <c r="F152" t="n">
        <v>17.6133</v>
      </c>
      <c r="G152" t="n">
        <v>1177.86</v>
      </c>
      <c r="H152" t="n">
        <v>1.35</v>
      </c>
    </row>
    <row r="153">
      <c r="A153" t="n">
        <v>133</v>
      </c>
      <c r="B153" t="n">
        <v>11.0833</v>
      </c>
      <c r="C153" t="n">
        <v>20.757</v>
      </c>
      <c r="D153" t="n">
        <v>5.267</v>
      </c>
      <c r="E153" t="n">
        <v>10.1085</v>
      </c>
      <c r="F153" t="n">
        <v>15.3756</v>
      </c>
      <c r="G153" t="n">
        <v>1167.7515</v>
      </c>
      <c r="H153" t="n">
        <v>1.35</v>
      </c>
    </row>
    <row r="154">
      <c r="A154" t="n">
        <v>134</v>
      </c>
      <c r="B154" t="n">
        <v>11.1667</v>
      </c>
      <c r="C154" t="n">
        <v>21.0045</v>
      </c>
      <c r="D154" t="n">
        <v>5.2218</v>
      </c>
      <c r="E154" t="n">
        <v>10.337</v>
      </c>
      <c r="F154" t="n">
        <v>15.5589</v>
      </c>
      <c r="G154" t="n">
        <v>1157.4144</v>
      </c>
      <c r="H154" t="n">
        <v>1.35</v>
      </c>
    </row>
    <row r="155">
      <c r="A155" t="n">
        <v>135</v>
      </c>
      <c r="B155" t="n">
        <v>11.25</v>
      </c>
      <c r="C155" t="n">
        <v>22.2592</v>
      </c>
      <c r="D155" t="n">
        <v>5.1756</v>
      </c>
      <c r="E155" t="n">
        <v>11.3127</v>
      </c>
      <c r="F155" t="n">
        <v>16.4883</v>
      </c>
      <c r="G155" t="n">
        <v>1146.1018</v>
      </c>
      <c r="H155" t="n">
        <v>1.35</v>
      </c>
    </row>
    <row r="156">
      <c r="A156" t="n">
        <v>136</v>
      </c>
      <c r="B156" t="n">
        <v>11.3333</v>
      </c>
      <c r="C156" t="n">
        <v>24.7818</v>
      </c>
      <c r="D156" t="n">
        <v>5.125</v>
      </c>
      <c r="E156" t="n">
        <v>13.2318</v>
      </c>
      <c r="F156" t="n">
        <v>18.3569</v>
      </c>
      <c r="G156" t="n">
        <v>1132.8699</v>
      </c>
      <c r="H156" t="n">
        <v>1.35</v>
      </c>
    </row>
    <row r="157">
      <c r="A157" t="n">
        <v>137</v>
      </c>
      <c r="B157" t="n">
        <v>11.4167</v>
      </c>
      <c r="C157" t="n">
        <v>24.5287</v>
      </c>
      <c r="D157" t="n">
        <v>5.0659</v>
      </c>
      <c r="E157" t="n">
        <v>13.1035</v>
      </c>
      <c r="F157" t="n">
        <v>18.1694</v>
      </c>
      <c r="G157" t="n">
        <v>1119.7664</v>
      </c>
      <c r="H157" t="n">
        <v>1.35</v>
      </c>
    </row>
    <row r="158">
      <c r="A158" t="n">
        <v>138</v>
      </c>
      <c r="B158" t="n">
        <v>11.5</v>
      </c>
      <c r="C158" t="n">
        <v>23.7805</v>
      </c>
      <c r="D158" t="n">
        <v>5.0073</v>
      </c>
      <c r="E158" t="n">
        <v>12.6079</v>
      </c>
      <c r="F158" t="n">
        <v>17.6152</v>
      </c>
      <c r="G158" t="n">
        <v>1107.1585</v>
      </c>
      <c r="H158" t="n">
        <v>1.35</v>
      </c>
    </row>
    <row r="159">
      <c r="A159" t="n">
        <v>139</v>
      </c>
      <c r="B159" t="n">
        <v>11.5833</v>
      </c>
      <c r="C159" t="n">
        <v>26.7782</v>
      </c>
      <c r="D159" t="n">
        <v>4.9509</v>
      </c>
      <c r="E159" t="n">
        <v>14.8848</v>
      </c>
      <c r="F159" t="n">
        <v>19.8357</v>
      </c>
      <c r="G159" t="n">
        <v>1092.2737</v>
      </c>
      <c r="H159" t="n">
        <v>1.35</v>
      </c>
    </row>
    <row r="160">
      <c r="A160" t="n">
        <v>140</v>
      </c>
      <c r="B160" t="n">
        <v>11.6667</v>
      </c>
      <c r="C160" t="n">
        <v>26.9639</v>
      </c>
      <c r="D160" t="n">
        <v>4.8843</v>
      </c>
      <c r="E160" t="n">
        <v>15.089</v>
      </c>
      <c r="F160" t="n">
        <v>19.9733</v>
      </c>
      <c r="G160" t="n">
        <v>1077.1847</v>
      </c>
      <c r="H160" t="n">
        <v>1.35</v>
      </c>
    </row>
    <row r="161">
      <c r="A161" t="n">
        <v>141</v>
      </c>
      <c r="B161" t="n">
        <v>11.75</v>
      </c>
      <c r="C161" t="n">
        <v>26.0101</v>
      </c>
      <c r="D161" t="n">
        <v>4.8168</v>
      </c>
      <c r="E161" t="n">
        <v>14.4499</v>
      </c>
      <c r="F161" t="n">
        <v>19.2667</v>
      </c>
      <c r="G161" t="n">
        <v>1062.7348</v>
      </c>
      <c r="H161" t="n">
        <v>1.35</v>
      </c>
    </row>
    <row r="162">
      <c r="A162" t="n">
        <v>142</v>
      </c>
      <c r="B162" t="n">
        <v>11.8333</v>
      </c>
      <c r="C162" t="n">
        <v>26.8083</v>
      </c>
      <c r="D162" t="n">
        <v>4.7522</v>
      </c>
      <c r="E162" t="n">
        <v>15.1058</v>
      </c>
      <c r="F162" t="n">
        <v>19.858</v>
      </c>
      <c r="G162" t="n">
        <v>1047.629</v>
      </c>
      <c r="H162" t="n">
        <v>1.35</v>
      </c>
    </row>
    <row r="163">
      <c r="A163" t="n">
        <v>143</v>
      </c>
      <c r="B163" t="n">
        <v>11.9167</v>
      </c>
      <c r="C163" t="n">
        <v>23.4401</v>
      </c>
      <c r="D163" t="n">
        <v>4.6847</v>
      </c>
      <c r="E163" t="n">
        <v>12.6784</v>
      </c>
      <c r="F163" t="n">
        <v>17.3631</v>
      </c>
      <c r="G163" t="n">
        <v>1034.9507</v>
      </c>
      <c r="H163" t="n">
        <v>1.35</v>
      </c>
    </row>
    <row r="164">
      <c r="A164" t="n">
        <v>144</v>
      </c>
      <c r="B164" t="n">
        <v>12</v>
      </c>
      <c r="C164" t="n">
        <v>26.1039</v>
      </c>
      <c r="D164" t="n">
        <v>4.628</v>
      </c>
      <c r="E164" t="n">
        <v>14.7082</v>
      </c>
      <c r="F164" t="n">
        <v>19.3362</v>
      </c>
      <c r="G164" t="n">
        <v>1020.2425</v>
      </c>
      <c r="H164" t="n">
        <v>1.35</v>
      </c>
    </row>
    <row r="165">
      <c r="A165" t="n">
        <v>145</v>
      </c>
      <c r="B165" t="n">
        <v>12.0833</v>
      </c>
      <c r="C165" t="n">
        <v>24.9987</v>
      </c>
      <c r="D165" t="n">
        <v>4.5622</v>
      </c>
      <c r="E165" t="n">
        <v>13.9553</v>
      </c>
      <c r="F165" t="n">
        <v>18.5176</v>
      </c>
      <c r="G165" t="n">
        <v>1006.2871</v>
      </c>
      <c r="H165" t="n">
        <v>1.35</v>
      </c>
    </row>
    <row r="166">
      <c r="A166" t="n">
        <v>146</v>
      </c>
      <c r="B166" t="n">
        <v>12.1667</v>
      </c>
      <c r="C166" t="n">
        <v>26.5547</v>
      </c>
      <c r="D166" t="n">
        <v>4.4998</v>
      </c>
      <c r="E166" t="n">
        <v>15.1703</v>
      </c>
      <c r="F166" t="n">
        <v>19.6701</v>
      </c>
      <c r="G166" t="n">
        <v>991.1168</v>
      </c>
      <c r="H166" t="n">
        <v>1.35</v>
      </c>
    </row>
    <row r="167">
      <c r="A167" t="n">
        <v>147</v>
      </c>
      <c r="B167" t="n">
        <v>12.25</v>
      </c>
      <c r="C167" t="n">
        <v>23.204</v>
      </c>
      <c r="D167" t="n">
        <v>4.432</v>
      </c>
      <c r="E167" t="n">
        <v>12.7562</v>
      </c>
      <c r="F167" t="n">
        <v>17.1881</v>
      </c>
      <c r="G167" t="n">
        <v>978.3606</v>
      </c>
      <c r="H167" t="n">
        <v>1.35</v>
      </c>
    </row>
    <row r="168">
      <c r="A168" t="n">
        <v>148</v>
      </c>
      <c r="B168" t="n">
        <v>12.3333</v>
      </c>
      <c r="C168" t="n">
        <v>22.6544</v>
      </c>
      <c r="D168" t="n">
        <v>4.3749</v>
      </c>
      <c r="E168" t="n">
        <v>12.4061</v>
      </c>
      <c r="F168" t="n">
        <v>16.781</v>
      </c>
      <c r="G168" t="n">
        <v>965.9545000000001</v>
      </c>
      <c r="H168" t="n">
        <v>1.35</v>
      </c>
    </row>
    <row r="169">
      <c r="A169" t="n">
        <v>149</v>
      </c>
      <c r="B169" t="n">
        <v>12.4167</v>
      </c>
      <c r="C169" t="n">
        <v>23.0918</v>
      </c>
      <c r="D169" t="n">
        <v>4.3195</v>
      </c>
      <c r="E169" t="n">
        <v>12.7856</v>
      </c>
      <c r="F169" t="n">
        <v>17.105</v>
      </c>
      <c r="G169" t="n">
        <v>953.169</v>
      </c>
      <c r="H169" t="n">
        <v>1.35</v>
      </c>
    </row>
    <row r="170">
      <c r="A170" t="n">
        <v>150</v>
      </c>
      <c r="B170" t="n">
        <v>12.5</v>
      </c>
      <c r="C170" t="n">
        <v>21.1109</v>
      </c>
      <c r="D170" t="n">
        <v>4.2623</v>
      </c>
      <c r="E170" t="n">
        <v>11.3754</v>
      </c>
      <c r="F170" t="n">
        <v>15.6377</v>
      </c>
      <c r="G170" t="n">
        <v>941.7936</v>
      </c>
      <c r="H170" t="n">
        <v>1.35</v>
      </c>
    </row>
    <row r="171">
      <c r="A171" t="n">
        <v>151</v>
      </c>
      <c r="B171" t="n">
        <v>12.5833</v>
      </c>
      <c r="C171" t="n">
        <v>24.3392</v>
      </c>
      <c r="D171" t="n">
        <v>4.2114</v>
      </c>
      <c r="E171" t="n">
        <v>13.8176</v>
      </c>
      <c r="F171" t="n">
        <v>18.0291</v>
      </c>
      <c r="G171" t="n">
        <v>927.9759</v>
      </c>
      <c r="H171" t="n">
        <v>1.35</v>
      </c>
    </row>
    <row r="172">
      <c r="A172" t="n">
        <v>152</v>
      </c>
      <c r="B172" t="n">
        <v>12.6667</v>
      </c>
      <c r="C172" t="n">
        <v>24.5376</v>
      </c>
      <c r="D172" t="n">
        <v>4.1496</v>
      </c>
      <c r="E172" t="n">
        <v>14.0264</v>
      </c>
      <c r="F172" t="n">
        <v>18.176</v>
      </c>
      <c r="G172" t="n">
        <v>913.9496</v>
      </c>
      <c r="H172" t="n">
        <v>1.35</v>
      </c>
    </row>
    <row r="173">
      <c r="A173" t="n">
        <v>153</v>
      </c>
      <c r="B173" t="n">
        <v>12.75</v>
      </c>
      <c r="C173" t="n">
        <v>25.4773</v>
      </c>
      <c r="D173" t="n">
        <v>4.0869</v>
      </c>
      <c r="E173" t="n">
        <v>14.7851</v>
      </c>
      <c r="F173" t="n">
        <v>18.8721</v>
      </c>
      <c r="G173" t="n">
        <v>899.1644</v>
      </c>
      <c r="H173" t="n">
        <v>1.35</v>
      </c>
    </row>
    <row r="174">
      <c r="A174" t="n">
        <v>154</v>
      </c>
      <c r="B174" t="n">
        <v>12.8333</v>
      </c>
      <c r="C174" t="n">
        <v>23.771</v>
      </c>
      <c r="D174" t="n">
        <v>4.0208</v>
      </c>
      <c r="E174" t="n">
        <v>13.5873</v>
      </c>
      <c r="F174" t="n">
        <v>17.6081</v>
      </c>
      <c r="G174" t="n">
        <v>885.5771</v>
      </c>
      <c r="H174" t="n">
        <v>1.35</v>
      </c>
    </row>
    <row r="175">
      <c r="A175" t="n">
        <v>155</v>
      </c>
      <c r="B175" t="n">
        <v>12.9167</v>
      </c>
      <c r="C175" t="n">
        <v>24.2168</v>
      </c>
      <c r="D175" t="n">
        <v>3.96</v>
      </c>
      <c r="E175" t="n">
        <v>13.9783</v>
      </c>
      <c r="F175" t="n">
        <v>17.9384</v>
      </c>
      <c r="G175" t="n">
        <v>871.5988</v>
      </c>
      <c r="H175" t="n">
        <v>1.35</v>
      </c>
    </row>
    <row r="176">
      <c r="A176" t="n">
        <v>156</v>
      </c>
      <c r="B176" t="n">
        <v>13</v>
      </c>
      <c r="C176" t="n">
        <v>24.7807</v>
      </c>
      <c r="D176" t="n">
        <v>3.8975</v>
      </c>
      <c r="E176" t="n">
        <v>14.4585</v>
      </c>
      <c r="F176" t="n">
        <v>18.3561</v>
      </c>
      <c r="G176" t="n">
        <v>857.1402</v>
      </c>
      <c r="H176" t="n">
        <v>1.35</v>
      </c>
    </row>
    <row r="177">
      <c r="A177" t="n">
        <v>157</v>
      </c>
      <c r="B177" t="n">
        <v>13.0833</v>
      </c>
      <c r="C177" t="n">
        <v>22.2001</v>
      </c>
      <c r="D177" t="n">
        <v>3.8329</v>
      </c>
      <c r="E177" t="n">
        <v>12.6116</v>
      </c>
      <c r="F177" t="n">
        <v>16.4445</v>
      </c>
      <c r="G177" t="n">
        <v>844.5286</v>
      </c>
      <c r="H177" t="n">
        <v>1.35</v>
      </c>
    </row>
    <row r="178">
      <c r="A178" t="n">
        <v>158</v>
      </c>
      <c r="B178" t="n">
        <v>13.1667</v>
      </c>
      <c r="C178" t="n">
        <v>24.1151</v>
      </c>
      <c r="D178" t="n">
        <v>3.7765</v>
      </c>
      <c r="E178" t="n">
        <v>14.0866</v>
      </c>
      <c r="F178" t="n">
        <v>17.8631</v>
      </c>
      <c r="G178" t="n">
        <v>830.442</v>
      </c>
      <c r="H178" t="n">
        <v>1.35</v>
      </c>
    </row>
    <row r="179">
      <c r="A179" t="n">
        <v>159</v>
      </c>
      <c r="B179" t="n">
        <v>13.25</v>
      </c>
      <c r="C179" t="n">
        <v>23.2847</v>
      </c>
      <c r="D179" t="n">
        <v>3.7135</v>
      </c>
      <c r="E179" t="n">
        <v>13.5345</v>
      </c>
      <c r="F179" t="n">
        <v>17.248</v>
      </c>
      <c r="G179" t="n">
        <v>816.9076</v>
      </c>
      <c r="H179" t="n">
        <v>1.35</v>
      </c>
    </row>
    <row r="180">
      <c r="A180" t="n">
        <v>160</v>
      </c>
      <c r="B180" t="n">
        <v>13.3333</v>
      </c>
      <c r="C180" t="n">
        <v>22.9819</v>
      </c>
      <c r="D180" t="n">
        <v>3.653</v>
      </c>
      <c r="E180" t="n">
        <v>13.3707</v>
      </c>
      <c r="F180" t="n">
        <v>17.0236</v>
      </c>
      <c r="G180" t="n">
        <v>803.5368999999999</v>
      </c>
      <c r="H180" t="n">
        <v>1.35</v>
      </c>
    </row>
    <row r="181">
      <c r="A181" t="n">
        <v>161</v>
      </c>
      <c r="B181" t="n">
        <v>13.4167</v>
      </c>
      <c r="C181" t="n">
        <v>20.5181</v>
      </c>
      <c r="D181" t="n">
        <v>3.5932</v>
      </c>
      <c r="E181" t="n">
        <v>11.6054</v>
      </c>
      <c r="F181" t="n">
        <v>15.1986</v>
      </c>
      <c r="G181" t="n">
        <v>791.9315</v>
      </c>
      <c r="H181" t="n">
        <v>1.35</v>
      </c>
    </row>
    <row r="182">
      <c r="A182" t="n">
        <v>162</v>
      </c>
      <c r="B182" t="n">
        <v>13.5</v>
      </c>
      <c r="C182" t="n">
        <v>21.1424</v>
      </c>
      <c r="D182" t="n">
        <v>3.5413</v>
      </c>
      <c r="E182" t="n">
        <v>12.1198</v>
      </c>
      <c r="F182" t="n">
        <v>15.6611</v>
      </c>
      <c r="G182" t="n">
        <v>779.8117</v>
      </c>
      <c r="H182" t="n">
        <v>1.35</v>
      </c>
    </row>
    <row r="183">
      <c r="A183" t="n">
        <v>163</v>
      </c>
      <c r="B183" t="n">
        <v>13.5833</v>
      </c>
      <c r="C183" t="n">
        <v>22.1328</v>
      </c>
      <c r="D183" t="n">
        <v>3.4871</v>
      </c>
      <c r="E183" t="n">
        <v>12.9076</v>
      </c>
      <c r="F183" t="n">
        <v>16.3947</v>
      </c>
      <c r="G183" t="n">
        <v>766.9041</v>
      </c>
      <c r="H183" t="n">
        <v>1.35</v>
      </c>
    </row>
    <row r="184">
      <c r="A184" t="n">
        <v>164</v>
      </c>
      <c r="B184" t="n">
        <v>13.6667</v>
      </c>
      <c r="C184" t="n">
        <v>22.9141</v>
      </c>
      <c r="D184" t="n">
        <v>3.4294</v>
      </c>
      <c r="E184" t="n">
        <v>13.544</v>
      </c>
      <c r="F184" t="n">
        <v>16.9734</v>
      </c>
      <c r="G184" t="n">
        <v>753.3601</v>
      </c>
      <c r="H184" t="n">
        <v>1.35</v>
      </c>
    </row>
    <row r="185">
      <c r="A185" t="n">
        <v>165</v>
      </c>
      <c r="B185" t="n">
        <v>13.75</v>
      </c>
      <c r="C185" t="n">
        <v>20.7953</v>
      </c>
      <c r="D185" t="n">
        <v>3.3688</v>
      </c>
      <c r="E185" t="n">
        <v>12.0351</v>
      </c>
      <c r="F185" t="n">
        <v>15.4039</v>
      </c>
      <c r="G185" t="n">
        <v>741.325</v>
      </c>
      <c r="H185" t="n">
        <v>1.35</v>
      </c>
    </row>
    <row r="186">
      <c r="A186" t="n">
        <v>166</v>
      </c>
      <c r="B186" t="n">
        <v>13.8333</v>
      </c>
      <c r="C186" t="n">
        <v>19.7371</v>
      </c>
      <c r="D186" t="n">
        <v>3.315</v>
      </c>
      <c r="E186" t="n">
        <v>11.3051</v>
      </c>
      <c r="F186" t="n">
        <v>14.6201</v>
      </c>
      <c r="G186" t="n">
        <v>730.0199</v>
      </c>
      <c r="H186" t="n">
        <v>1.35</v>
      </c>
    </row>
    <row r="187">
      <c r="A187" t="n">
        <v>167</v>
      </c>
      <c r="B187" t="n">
        <v>13.9167</v>
      </c>
      <c r="C187" t="n">
        <v>19.8486</v>
      </c>
      <c r="D187" t="n">
        <v>3.2644</v>
      </c>
      <c r="E187" t="n">
        <v>11.4382</v>
      </c>
      <c r="F187" t="n">
        <v>14.7026</v>
      </c>
      <c r="G187" t="n">
        <v>718.5817</v>
      </c>
      <c r="H187" t="n">
        <v>1.35</v>
      </c>
    </row>
    <row r="188">
      <c r="A188" t="n">
        <v>168</v>
      </c>
      <c r="B188" t="n">
        <v>14</v>
      </c>
      <c r="C188" t="n">
        <v>19.37</v>
      </c>
      <c r="D188" t="n">
        <v>3.2133</v>
      </c>
      <c r="E188" t="n">
        <v>11.1349</v>
      </c>
      <c r="F188" t="n">
        <v>14.3481</v>
      </c>
      <c r="G188" t="n">
        <v>707.4468000000001</v>
      </c>
      <c r="H188" t="n">
        <v>1.35</v>
      </c>
    </row>
    <row r="189">
      <c r="A189" t="n">
        <v>169</v>
      </c>
      <c r="B189" t="n">
        <v>14.0833</v>
      </c>
      <c r="C189" t="n">
        <v>18.9792</v>
      </c>
      <c r="D189" t="n">
        <v>3.1635</v>
      </c>
      <c r="E189" t="n">
        <v>10.8952</v>
      </c>
      <c r="F189" t="n">
        <v>14.0587</v>
      </c>
      <c r="G189" t="n">
        <v>696.5516</v>
      </c>
      <c r="H189" t="n">
        <v>1.35</v>
      </c>
    </row>
    <row r="190">
      <c r="A190" t="n">
        <v>170</v>
      </c>
      <c r="B190" t="n">
        <v>14.1667</v>
      </c>
      <c r="C190" t="n">
        <v>19.1743</v>
      </c>
      <c r="D190" t="n">
        <v>3.1148</v>
      </c>
      <c r="E190" t="n">
        <v>11.0884</v>
      </c>
      <c r="F190" t="n">
        <v>14.2032</v>
      </c>
      <c r="G190" t="n">
        <v>685.4632</v>
      </c>
      <c r="H190" t="n">
        <v>1.35</v>
      </c>
    </row>
    <row r="191">
      <c r="A191" t="n">
        <v>171</v>
      </c>
      <c r="B191" t="n">
        <v>14.25</v>
      </c>
      <c r="C191" t="n">
        <v>17.0823</v>
      </c>
      <c r="D191" t="n">
        <v>3.0652</v>
      </c>
      <c r="E191" t="n">
        <v>9.5884</v>
      </c>
      <c r="F191" t="n">
        <v>12.6535</v>
      </c>
      <c r="G191" t="n">
        <v>675.8748000000001</v>
      </c>
      <c r="H191" t="n">
        <v>1.35</v>
      </c>
    </row>
    <row r="192">
      <c r="A192" t="n">
        <v>172</v>
      </c>
      <c r="B192" t="n">
        <v>14.3333</v>
      </c>
      <c r="C192" t="n">
        <v>19.0459</v>
      </c>
      <c r="D192" t="n">
        <v>3.0223</v>
      </c>
      <c r="E192" t="n">
        <v>11.0858</v>
      </c>
      <c r="F192" t="n">
        <v>14.1081</v>
      </c>
      <c r="G192" t="n">
        <v>664.7891</v>
      </c>
      <c r="H192" t="n">
        <v>1.35</v>
      </c>
    </row>
    <row r="193">
      <c r="A193" t="n">
        <v>173</v>
      </c>
      <c r="B193" t="n">
        <v>14.4167</v>
      </c>
      <c r="C193" t="n">
        <v>19.0602</v>
      </c>
      <c r="D193" t="n">
        <v>2.9727</v>
      </c>
      <c r="E193" t="n">
        <v>11.1459</v>
      </c>
      <c r="F193" t="n">
        <v>14.1186</v>
      </c>
      <c r="G193" t="n">
        <v>653.6431</v>
      </c>
      <c r="H193" t="n">
        <v>1.35</v>
      </c>
    </row>
    <row r="194">
      <c r="A194" t="n">
        <v>174</v>
      </c>
      <c r="B194" t="n">
        <v>14.5</v>
      </c>
      <c r="C194" t="n">
        <v>19.1303</v>
      </c>
      <c r="D194" t="n">
        <v>2.9229</v>
      </c>
      <c r="E194" t="n">
        <v>11.2477</v>
      </c>
      <c r="F194" t="n">
        <v>14.1706</v>
      </c>
      <c r="G194" t="n">
        <v>642.3954</v>
      </c>
      <c r="H194" t="n">
        <v>1.35</v>
      </c>
    </row>
    <row r="195">
      <c r="A195" t="n">
        <v>175</v>
      </c>
      <c r="B195" t="n">
        <v>14.5833</v>
      </c>
      <c r="C195" t="n">
        <v>16.9568</v>
      </c>
      <c r="D195" t="n">
        <v>2.8726</v>
      </c>
      <c r="E195" t="n">
        <v>9.688000000000001</v>
      </c>
      <c r="F195" t="n">
        <v>12.5606</v>
      </c>
      <c r="G195" t="n">
        <v>632.7074</v>
      </c>
      <c r="H195" t="n">
        <v>1.35</v>
      </c>
    </row>
    <row r="196">
      <c r="A196" t="n">
        <v>176</v>
      </c>
      <c r="B196" t="n">
        <v>14.6667</v>
      </c>
      <c r="C196" t="n">
        <v>17.9854</v>
      </c>
      <c r="D196" t="n">
        <v>2.8293</v>
      </c>
      <c r="E196" t="n">
        <v>10.4933</v>
      </c>
      <c r="F196" t="n">
        <v>13.3226</v>
      </c>
      <c r="G196" t="n">
        <v>622.2141</v>
      </c>
      <c r="H196" t="n">
        <v>1.35</v>
      </c>
    </row>
    <row r="197">
      <c r="A197" t="n">
        <v>177</v>
      </c>
      <c r="B197" t="n">
        <v>14.75</v>
      </c>
      <c r="C197" t="n">
        <v>18.1325</v>
      </c>
      <c r="D197" t="n">
        <v>2.7824</v>
      </c>
      <c r="E197" t="n">
        <v>10.6491</v>
      </c>
      <c r="F197" t="n">
        <v>13.4315</v>
      </c>
      <c r="G197" t="n">
        <v>611.5650000000001</v>
      </c>
      <c r="H197" t="n">
        <v>1.35</v>
      </c>
    </row>
    <row r="198">
      <c r="A198" t="n">
        <v>178</v>
      </c>
      <c r="B198" t="n">
        <v>14.8333</v>
      </c>
      <c r="C198" t="n">
        <v>18.9818</v>
      </c>
      <c r="D198" t="n">
        <v>2.7347</v>
      </c>
      <c r="E198" t="n">
        <v>11.3259</v>
      </c>
      <c r="F198" t="n">
        <v>14.0606</v>
      </c>
      <c r="G198" t="n">
        <v>600.2392</v>
      </c>
      <c r="H198" t="n">
        <v>1.35</v>
      </c>
    </row>
    <row r="199">
      <c r="A199" t="n">
        <v>179</v>
      </c>
      <c r="B199" t="n">
        <v>14.9167</v>
      </c>
      <c r="C199" t="n">
        <v>18.6077</v>
      </c>
      <c r="D199" t="n">
        <v>2.6841</v>
      </c>
      <c r="E199" t="n">
        <v>11.0994</v>
      </c>
      <c r="F199" t="n">
        <v>13.7835</v>
      </c>
      <c r="G199" t="n">
        <v>589.1398</v>
      </c>
      <c r="H199" t="n">
        <v>1.35</v>
      </c>
    </row>
    <row r="200">
      <c r="A200" t="n">
        <v>180</v>
      </c>
      <c r="B200" t="n">
        <v>15</v>
      </c>
      <c r="C200" t="n">
        <v>18.1148</v>
      </c>
      <c r="D200" t="n">
        <v>2.6345</v>
      </c>
      <c r="E200" t="n">
        <v>10.7839</v>
      </c>
      <c r="F200" t="n">
        <v>13.4183</v>
      </c>
      <c r="G200" t="n">
        <v>578.3559</v>
      </c>
      <c r="H200" t="n">
        <v>1.35</v>
      </c>
    </row>
    <row r="201">
      <c r="A201" t="n">
        <v>181</v>
      </c>
      <c r="B201" t="n">
        <v>15.0833</v>
      </c>
      <c r="C201" t="n">
        <v>15.0152</v>
      </c>
      <c r="D201" t="n">
        <v>2.5862</v>
      </c>
      <c r="E201" t="n">
        <v>8.536199999999999</v>
      </c>
      <c r="F201" t="n">
        <v>11.1224</v>
      </c>
      <c r="G201" t="n">
        <v>569.8197</v>
      </c>
      <c r="H201" t="n">
        <v>1.35</v>
      </c>
    </row>
    <row r="202">
      <c r="A202" t="n">
        <v>182</v>
      </c>
      <c r="B202" t="n">
        <v>15.1667</v>
      </c>
      <c r="C202" t="n">
        <v>17.1458</v>
      </c>
      <c r="D202" t="n">
        <v>2.5481</v>
      </c>
      <c r="E202" t="n">
        <v>10.1525</v>
      </c>
      <c r="F202" t="n">
        <v>12.7006</v>
      </c>
      <c r="G202" t="n">
        <v>559.6672</v>
      </c>
      <c r="H202" t="n">
        <v>1.35</v>
      </c>
    </row>
    <row r="203">
      <c r="A203" t="n">
        <v>183</v>
      </c>
      <c r="B203" t="n">
        <v>15.25</v>
      </c>
      <c r="C203" t="n">
        <v>17.1388</v>
      </c>
      <c r="D203" t="n">
        <v>2.5027</v>
      </c>
      <c r="E203" t="n">
        <v>10.1928</v>
      </c>
      <c r="F203" t="n">
        <v>12.6954</v>
      </c>
      <c r="G203" t="n">
        <v>549.4743999999999</v>
      </c>
      <c r="H203" t="n">
        <v>1.35</v>
      </c>
    </row>
    <row r="204">
      <c r="A204" t="n">
        <v>184</v>
      </c>
      <c r="B204" t="n">
        <v>15.3333</v>
      </c>
      <c r="C204" t="n">
        <v>17.3232</v>
      </c>
      <c r="D204" t="n">
        <v>2.4571</v>
      </c>
      <c r="E204" t="n">
        <v>10.3749</v>
      </c>
      <c r="F204" t="n">
        <v>12.832</v>
      </c>
      <c r="G204" t="n">
        <v>539.0995</v>
      </c>
      <c r="H204" t="n">
        <v>1.35</v>
      </c>
    </row>
    <row r="205">
      <c r="A205" t="n">
        <v>185</v>
      </c>
      <c r="B205" t="n">
        <v>15.4167</v>
      </c>
      <c r="C205" t="n">
        <v>15.9505</v>
      </c>
      <c r="D205" t="n">
        <v>2.4107</v>
      </c>
      <c r="E205" t="n">
        <v>9.404500000000001</v>
      </c>
      <c r="F205" t="n">
        <v>11.8152</v>
      </c>
      <c r="G205" t="n">
        <v>529.6950000000001</v>
      </c>
      <c r="H205" t="n">
        <v>1.35</v>
      </c>
    </row>
    <row r="206">
      <c r="A206" t="n">
        <v>186</v>
      </c>
      <c r="B206" t="n">
        <v>15.5</v>
      </c>
      <c r="C206" t="n">
        <v>17.9142</v>
      </c>
      <c r="D206" t="n">
        <v>2.3686</v>
      </c>
      <c r="E206" t="n">
        <v>10.9012</v>
      </c>
      <c r="F206" t="n">
        <v>13.2698</v>
      </c>
      <c r="G206" t="n">
        <v>518.7938</v>
      </c>
      <c r="H206" t="n">
        <v>1.35</v>
      </c>
    </row>
    <row r="207">
      <c r="A207" t="n">
        <v>187</v>
      </c>
      <c r="B207" t="n">
        <v>15.5833</v>
      </c>
      <c r="C207" t="n">
        <v>18.9625</v>
      </c>
      <c r="D207" t="n">
        <v>2.3199</v>
      </c>
      <c r="E207" t="n">
        <v>11.7264</v>
      </c>
      <c r="F207" t="n">
        <v>14.0463</v>
      </c>
      <c r="G207" t="n">
        <v>507.0674</v>
      </c>
      <c r="H207" t="n">
        <v>1.35</v>
      </c>
    </row>
    <row r="208">
      <c r="A208" t="n">
        <v>188</v>
      </c>
      <c r="B208" t="n">
        <v>15.6667</v>
      </c>
      <c r="C208" t="n">
        <v>17.961</v>
      </c>
      <c r="D208" t="n">
        <v>2.2675</v>
      </c>
      <c r="E208" t="n">
        <v>11.037</v>
      </c>
      <c r="F208" t="n">
        <v>13.3044</v>
      </c>
      <c r="G208" t="n">
        <v>496.0305</v>
      </c>
      <c r="H208" t="n">
        <v>1.35</v>
      </c>
    </row>
    <row r="209">
      <c r="A209" t="n">
        <v>189</v>
      </c>
      <c r="B209" t="n">
        <v>15.75</v>
      </c>
      <c r="C209" t="n">
        <v>18.4452</v>
      </c>
      <c r="D209" t="n">
        <v>2.2181</v>
      </c>
      <c r="E209" t="n">
        <v>11.445</v>
      </c>
      <c r="F209" t="n">
        <v>13.6631</v>
      </c>
      <c r="G209" t="n">
        <v>484.5854</v>
      </c>
      <c r="H209" t="n">
        <v>1.35</v>
      </c>
    </row>
    <row r="210">
      <c r="A210" t="n">
        <v>190</v>
      </c>
      <c r="B210" t="n">
        <v>15.8333</v>
      </c>
      <c r="C210" t="n">
        <v>17.8467</v>
      </c>
      <c r="D210" t="n">
        <v>2.1669</v>
      </c>
      <c r="E210" t="n">
        <v>11.0528</v>
      </c>
      <c r="F210" t="n">
        <v>13.2198</v>
      </c>
      <c r="G210" t="n">
        <v>473.5326</v>
      </c>
      <c r="H210" t="n">
        <v>1.35</v>
      </c>
    </row>
    <row r="211">
      <c r="A211" t="n">
        <v>191</v>
      </c>
      <c r="B211" t="n">
        <v>15.9167</v>
      </c>
      <c r="C211" t="n">
        <v>19.6574</v>
      </c>
      <c r="D211" t="n">
        <v>2.1175</v>
      </c>
      <c r="E211" t="n">
        <v>12.4435</v>
      </c>
      <c r="F211" t="n">
        <v>14.561</v>
      </c>
      <c r="G211" t="n">
        <v>461.0891</v>
      </c>
      <c r="H211" t="n">
        <v>1.35</v>
      </c>
    </row>
    <row r="212">
      <c r="A212" t="n">
        <v>192</v>
      </c>
      <c r="B212" t="n">
        <v>16</v>
      </c>
      <c r="C212" t="n">
        <v>18.4562</v>
      </c>
      <c r="D212" t="n">
        <v>2.0619</v>
      </c>
      <c r="E212" t="n">
        <v>11.6094</v>
      </c>
      <c r="F212" t="n">
        <v>13.6712</v>
      </c>
      <c r="G212" t="n">
        <v>449.4797</v>
      </c>
      <c r="H212" t="n">
        <v>1.35</v>
      </c>
    </row>
    <row r="213">
      <c r="A213" t="n">
        <v>193</v>
      </c>
      <c r="B213" t="n">
        <v>16.0833</v>
      </c>
      <c r="C213" t="n">
        <v>15.1143</v>
      </c>
      <c r="D213" t="n">
        <v>2.0099</v>
      </c>
      <c r="E213" t="n">
        <v>9.1858</v>
      </c>
      <c r="F213" t="n">
        <v>11.1957</v>
      </c>
      <c r="G213" t="n">
        <v>440.2939</v>
      </c>
      <c r="H213" t="n">
        <v>1.35</v>
      </c>
    </row>
    <row r="214">
      <c r="A214" t="n">
        <v>194</v>
      </c>
      <c r="B214" t="n">
        <v>16.1667</v>
      </c>
      <c r="C214" t="n">
        <v>14.3787</v>
      </c>
      <c r="D214" t="n">
        <v>1.9689</v>
      </c>
      <c r="E214" t="n">
        <v>8.682</v>
      </c>
      <c r="F214" t="n">
        <v>10.6509</v>
      </c>
      <c r="G214" t="n">
        <v>431.6119</v>
      </c>
      <c r="H214" t="n">
        <v>1.35</v>
      </c>
    </row>
    <row r="215">
      <c r="A215" t="n">
        <v>195</v>
      </c>
      <c r="B215" t="n">
        <v>16.25</v>
      </c>
      <c r="C215" t="n">
        <v>16.2786</v>
      </c>
      <c r="D215" t="n">
        <v>1.93</v>
      </c>
      <c r="E215" t="n">
        <v>10.1282</v>
      </c>
      <c r="F215" t="n">
        <v>12.0583</v>
      </c>
      <c r="G215" t="n">
        <v>421.4836</v>
      </c>
      <c r="H215" t="n">
        <v>1.35</v>
      </c>
    </row>
    <row r="216">
      <c r="A216" t="n">
        <v>196</v>
      </c>
      <c r="B216" t="n">
        <v>16.3333</v>
      </c>
      <c r="C216" t="n">
        <v>17.1688</v>
      </c>
      <c r="D216" t="n">
        <v>1.8847</v>
      </c>
      <c r="E216" t="n">
        <v>10.8329</v>
      </c>
      <c r="F216" t="n">
        <v>12.7176</v>
      </c>
      <c r="G216" t="n">
        <v>410.6508</v>
      </c>
      <c r="H216" t="n">
        <v>1.35</v>
      </c>
    </row>
    <row r="217">
      <c r="A217" t="n">
        <v>197</v>
      </c>
      <c r="B217" t="n">
        <v>16.4167</v>
      </c>
      <c r="C217" t="n">
        <v>17.3008</v>
      </c>
      <c r="D217" t="n">
        <v>1.8363</v>
      </c>
      <c r="E217" t="n">
        <v>10.9791</v>
      </c>
      <c r="F217" t="n">
        <v>12.8154</v>
      </c>
      <c r="G217" t="n">
        <v>399.6717</v>
      </c>
      <c r="H217" t="n">
        <v>1.35</v>
      </c>
    </row>
    <row r="218">
      <c r="A218" t="n">
        <v>198</v>
      </c>
      <c r="B218" t="n">
        <v>16.5</v>
      </c>
      <c r="C218" t="n">
        <v>15.4677</v>
      </c>
      <c r="D218" t="n">
        <v>1.7872</v>
      </c>
      <c r="E218" t="n">
        <v>9.670299999999999</v>
      </c>
      <c r="F218" t="n">
        <v>11.4575</v>
      </c>
      <c r="G218" t="n">
        <v>390.0014</v>
      </c>
      <c r="H218" t="n">
        <v>1.35</v>
      </c>
    </row>
    <row r="219">
      <c r="A219" t="n">
        <v>199</v>
      </c>
      <c r="B219" t="n">
        <v>16.5833</v>
      </c>
      <c r="C219" t="n">
        <v>16.8929</v>
      </c>
      <c r="D219" t="n">
        <v>1.744</v>
      </c>
      <c r="E219" t="n">
        <v>10.7693</v>
      </c>
      <c r="F219" t="n">
        <v>12.5132</v>
      </c>
      <c r="G219" t="n">
        <v>379.2321</v>
      </c>
      <c r="H219" t="n">
        <v>1.35</v>
      </c>
    </row>
    <row r="220">
      <c r="A220" t="n">
        <v>200</v>
      </c>
      <c r="B220" t="n">
        <v>16.6667</v>
      </c>
      <c r="C220" t="n">
        <v>16.3428</v>
      </c>
      <c r="D220" t="n">
        <v>1.6958</v>
      </c>
      <c r="E220" t="n">
        <v>10.41</v>
      </c>
      <c r="F220" t="n">
        <v>12.1058</v>
      </c>
      <c r="G220" t="n">
        <v>368.8221</v>
      </c>
      <c r="H220" t="n">
        <v>1.35</v>
      </c>
    </row>
    <row r="221">
      <c r="A221" t="n">
        <v>201</v>
      </c>
      <c r="B221" t="n">
        <v>16.75</v>
      </c>
      <c r="C221" t="n">
        <v>13.3939</v>
      </c>
      <c r="D221" t="n">
        <v>1.6493</v>
      </c>
      <c r="E221" t="n">
        <v>8.2721</v>
      </c>
      <c r="F221" t="n">
        <v>9.9214</v>
      </c>
      <c r="G221" t="n">
        <v>360.55</v>
      </c>
      <c r="H221" t="n">
        <v>1.35</v>
      </c>
    </row>
    <row r="222">
      <c r="A222" t="n">
        <v>202</v>
      </c>
      <c r="B222" t="n">
        <v>16.8333</v>
      </c>
      <c r="C222" t="n">
        <v>17.5977</v>
      </c>
      <c r="D222" t="n">
        <v>1.6123</v>
      </c>
      <c r="E222" t="n">
        <v>11.4231</v>
      </c>
      <c r="F222" t="n">
        <v>13.0353</v>
      </c>
      <c r="G222" t="n">
        <v>349.1269</v>
      </c>
      <c r="H222" t="n">
        <v>1.35</v>
      </c>
    </row>
    <row r="223">
      <c r="A223" t="n">
        <v>203</v>
      </c>
      <c r="B223" t="n">
        <v>16.9167</v>
      </c>
      <c r="C223" t="n">
        <v>14.4009</v>
      </c>
      <c r="D223" t="n">
        <v>1.5612</v>
      </c>
      <c r="E223" t="n">
        <v>9.106199999999999</v>
      </c>
      <c r="F223" t="n">
        <v>10.6674</v>
      </c>
      <c r="G223" t="n">
        <v>340.0207</v>
      </c>
      <c r="H223" t="n">
        <v>1.35</v>
      </c>
    </row>
    <row r="224">
      <c r="A224" t="n">
        <v>204</v>
      </c>
      <c r="B224" t="n">
        <v>17</v>
      </c>
      <c r="C224" t="n">
        <v>14.6804</v>
      </c>
      <c r="D224" t="n">
        <v>1.5205</v>
      </c>
      <c r="E224" t="n">
        <v>9.353899999999999</v>
      </c>
      <c r="F224" t="n">
        <v>10.8744</v>
      </c>
      <c r="G224" t="n">
        <v>330.6669</v>
      </c>
      <c r="H224" t="n">
        <v>1.35</v>
      </c>
    </row>
    <row r="225">
      <c r="A225" t="n">
        <v>205</v>
      </c>
      <c r="B225" t="n">
        <v>17.0833</v>
      </c>
      <c r="C225" t="n">
        <v>12.4229</v>
      </c>
      <c r="D225" t="n">
        <v>1.4786</v>
      </c>
      <c r="E225" t="n">
        <v>7.7235</v>
      </c>
      <c r="F225" t="n">
        <v>9.202199999999999</v>
      </c>
      <c r="G225" t="n">
        <v>322.9433</v>
      </c>
      <c r="H225" t="n">
        <v>1.35</v>
      </c>
    </row>
    <row r="226">
      <c r="A226" t="n">
        <v>206</v>
      </c>
      <c r="B226" t="n">
        <v>17.1667</v>
      </c>
      <c r="C226" t="n">
        <v>11.3781</v>
      </c>
      <c r="D226" t="n">
        <v>1.4441</v>
      </c>
      <c r="E226" t="n">
        <v>6.9841</v>
      </c>
      <c r="F226" t="n">
        <v>8.4282</v>
      </c>
      <c r="G226" t="n">
        <v>315.9592</v>
      </c>
      <c r="H226" t="n">
        <v>1.35</v>
      </c>
    </row>
    <row r="227">
      <c r="A227" t="n">
        <v>207</v>
      </c>
      <c r="B227" t="n">
        <v>17.25</v>
      </c>
      <c r="C227" t="n">
        <v>11.4642</v>
      </c>
      <c r="D227" t="n">
        <v>1.4129</v>
      </c>
      <c r="E227" t="n">
        <v>7.0791</v>
      </c>
      <c r="F227" t="n">
        <v>8.492000000000001</v>
      </c>
      <c r="G227" t="n">
        <v>308.8801</v>
      </c>
      <c r="H227" t="n">
        <v>1.35</v>
      </c>
    </row>
    <row r="228">
      <c r="A228" t="n">
        <v>208</v>
      </c>
      <c r="B228" t="n">
        <v>17.3333</v>
      </c>
      <c r="C228" t="n">
        <v>12.5295</v>
      </c>
      <c r="D228" t="n">
        <v>1.3812</v>
      </c>
      <c r="E228" t="n">
        <v>7.8999</v>
      </c>
      <c r="F228" t="n">
        <v>9.2811</v>
      </c>
      <c r="G228" t="n">
        <v>300.9802</v>
      </c>
      <c r="H228" t="n">
        <v>1.35</v>
      </c>
    </row>
    <row r="229">
      <c r="A229" t="n">
        <v>209</v>
      </c>
      <c r="B229" t="n">
        <v>17.4167</v>
      </c>
      <c r="C229" t="n">
        <v>13.694</v>
      </c>
      <c r="D229" t="n">
        <v>1.3459</v>
      </c>
      <c r="E229" t="n">
        <v>8.797800000000001</v>
      </c>
      <c r="F229" t="n">
        <v>10.1437</v>
      </c>
      <c r="G229" t="n">
        <v>292.1823</v>
      </c>
      <c r="H229" t="n">
        <v>1.35</v>
      </c>
    </row>
    <row r="230">
      <c r="A230" t="n">
        <v>210</v>
      </c>
      <c r="B230" t="n">
        <v>17.5</v>
      </c>
      <c r="C230" t="n">
        <v>12.4171</v>
      </c>
      <c r="D230" t="n">
        <v>1.3066</v>
      </c>
      <c r="E230" t="n">
        <v>7.8913</v>
      </c>
      <c r="F230" t="n">
        <v>9.197800000000001</v>
      </c>
      <c r="G230" t="n">
        <v>284.291</v>
      </c>
      <c r="H230" t="n">
        <v>1.35</v>
      </c>
    </row>
    <row r="231">
      <c r="A231" t="n">
        <v>211</v>
      </c>
      <c r="B231" t="n">
        <v>17.5833</v>
      </c>
      <c r="C231" t="n">
        <v>13.6453</v>
      </c>
      <c r="D231" t="n">
        <v>1.2713</v>
      </c>
      <c r="E231" t="n">
        <v>8.836399999999999</v>
      </c>
      <c r="F231" t="n">
        <v>10.1076</v>
      </c>
      <c r="G231" t="n">
        <v>275.4547</v>
      </c>
      <c r="H231" t="n">
        <v>1.35</v>
      </c>
    </row>
    <row r="232">
      <c r="A232" t="n">
        <v>212</v>
      </c>
      <c r="B232" t="n">
        <v>17.6667</v>
      </c>
      <c r="C232" t="n">
        <v>14.0497</v>
      </c>
      <c r="D232" t="n">
        <v>1.2318</v>
      </c>
      <c r="E232" t="n">
        <v>9.1754</v>
      </c>
      <c r="F232" t="n">
        <v>10.4071</v>
      </c>
      <c r="G232" t="n">
        <v>266.2793</v>
      </c>
      <c r="H232" t="n">
        <v>1.35</v>
      </c>
    </row>
    <row r="233">
      <c r="A233" t="n">
        <v>213</v>
      </c>
      <c r="B233" t="n">
        <v>17.75</v>
      </c>
      <c r="C233" t="n">
        <v>11.3501</v>
      </c>
      <c r="D233" t="n">
        <v>1.1907</v>
      </c>
      <c r="E233" t="n">
        <v>7.2168</v>
      </c>
      <c r="F233" t="n">
        <v>8.407500000000001</v>
      </c>
      <c r="G233" t="n">
        <v>259.0625</v>
      </c>
      <c r="H233" t="n">
        <v>1.35</v>
      </c>
    </row>
    <row r="234">
      <c r="A234" t="n">
        <v>214</v>
      </c>
      <c r="B234" t="n">
        <v>17.8333</v>
      </c>
      <c r="C234" t="n">
        <v>12.7151</v>
      </c>
      <c r="D234" t="n">
        <v>1.1584</v>
      </c>
      <c r="E234" t="n">
        <v>8.260199999999999</v>
      </c>
      <c r="F234" t="n">
        <v>9.4186</v>
      </c>
      <c r="G234" t="n">
        <v>250.8024</v>
      </c>
      <c r="H234" t="n">
        <v>1.35</v>
      </c>
    </row>
    <row r="235">
      <c r="A235" t="n">
        <v>215</v>
      </c>
      <c r="B235" t="n">
        <v>17.9167</v>
      </c>
      <c r="C235" t="n">
        <v>12.2507</v>
      </c>
      <c r="D235" t="n">
        <v>1.1215</v>
      </c>
      <c r="E235" t="n">
        <v>7.9531</v>
      </c>
      <c r="F235" t="n">
        <v>9.0746</v>
      </c>
      <c r="G235" t="n">
        <v>242.8493</v>
      </c>
      <c r="H235" t="n">
        <v>1.35</v>
      </c>
    </row>
    <row r="236">
      <c r="A236" t="n">
        <v>216</v>
      </c>
      <c r="B236" t="n">
        <v>18</v>
      </c>
      <c r="C236" t="n">
        <v>10.9464</v>
      </c>
      <c r="D236" t="n">
        <v>1.0859</v>
      </c>
      <c r="E236" t="n">
        <v>7.0225</v>
      </c>
      <c r="F236" t="n">
        <v>8.1084</v>
      </c>
      <c r="G236" t="n">
        <v>235.8268</v>
      </c>
      <c r="H236" t="n">
        <v>1.35</v>
      </c>
    </row>
    <row r="237">
      <c r="A237" t="n">
        <v>217</v>
      </c>
      <c r="B237" t="n">
        <v>18.0833</v>
      </c>
      <c r="C237" t="n">
        <v>9.997999999999999</v>
      </c>
      <c r="D237" t="n">
        <v>1.0545</v>
      </c>
      <c r="E237" t="n">
        <v>6.3513</v>
      </c>
      <c r="F237" t="n">
        <v>7.4059</v>
      </c>
      <c r="G237" t="n">
        <v>229.4754</v>
      </c>
      <c r="H237" t="n">
        <v>1.35</v>
      </c>
    </row>
    <row r="238">
      <c r="A238" t="n">
        <v>218</v>
      </c>
      <c r="B238" t="n">
        <v>18.1667</v>
      </c>
      <c r="C238" t="n">
        <v>11.5503</v>
      </c>
      <c r="D238" t="n">
        <v>1.0261</v>
      </c>
      <c r="E238" t="n">
        <v>7.5296</v>
      </c>
      <c r="F238" t="n">
        <v>8.5558</v>
      </c>
      <c r="G238" t="n">
        <v>221.9458</v>
      </c>
      <c r="H238" t="n">
        <v>1.35</v>
      </c>
    </row>
    <row r="239">
      <c r="A239" t="n">
        <v>219</v>
      </c>
      <c r="B239" t="n">
        <v>18.25</v>
      </c>
      <c r="C239" t="n">
        <v>13.6592</v>
      </c>
      <c r="D239" t="n">
        <v>0.9925</v>
      </c>
      <c r="E239" t="n">
        <v>9.125400000000001</v>
      </c>
      <c r="F239" t="n">
        <v>10.1179</v>
      </c>
      <c r="G239" t="n">
        <v>212.8204</v>
      </c>
      <c r="H239" t="n">
        <v>1.35</v>
      </c>
    </row>
    <row r="240">
      <c r="A240" t="n">
        <v>220</v>
      </c>
      <c r="B240" t="n">
        <v>18.3333</v>
      </c>
      <c r="C240" t="n">
        <v>11.2649</v>
      </c>
      <c r="D240" t="n">
        <v>0.9517</v>
      </c>
      <c r="E240" t="n">
        <v>7.3927</v>
      </c>
      <c r="F240" t="n">
        <v>8.3444</v>
      </c>
      <c r="G240" t="n">
        <v>205.4276</v>
      </c>
      <c r="H240" t="n">
        <v>1.35</v>
      </c>
    </row>
    <row r="241">
      <c r="A241" t="n">
        <v>221</v>
      </c>
      <c r="B241" t="n">
        <v>18.4167</v>
      </c>
      <c r="C241" t="n">
        <v>9.020899999999999</v>
      </c>
      <c r="D241" t="n">
        <v>0.9186</v>
      </c>
      <c r="E241" t="n">
        <v>5.7635</v>
      </c>
      <c r="F241" t="n">
        <v>6.6821</v>
      </c>
      <c r="G241" t="n">
        <v>199.6641</v>
      </c>
      <c r="H241" t="n">
        <v>1.35</v>
      </c>
    </row>
    <row r="242">
      <c r="A242" t="n">
        <v>222</v>
      </c>
      <c r="B242" t="n">
        <v>18.5</v>
      </c>
      <c r="C242" t="n">
        <v>9.1448</v>
      </c>
      <c r="D242" t="n">
        <v>0.8928</v>
      </c>
      <c r="E242" t="n">
        <v>5.8811</v>
      </c>
      <c r="F242" t="n">
        <v>6.7739</v>
      </c>
      <c r="G242" t="n">
        <v>193.783</v>
      </c>
      <c r="H242" t="n">
        <v>1.35</v>
      </c>
    </row>
    <row r="243">
      <c r="A243" t="n">
        <v>223</v>
      </c>
      <c r="B243" t="n">
        <v>18.5833</v>
      </c>
      <c r="C243" t="n">
        <v>9.7936</v>
      </c>
      <c r="D243" t="n">
        <v>0.8665</v>
      </c>
      <c r="E243" t="n">
        <v>6.388</v>
      </c>
      <c r="F243" t="n">
        <v>7.2546</v>
      </c>
      <c r="G243" t="n">
        <v>187.395</v>
      </c>
      <c r="H243" t="n">
        <v>1.35</v>
      </c>
    </row>
    <row r="244">
      <c r="A244" t="n">
        <v>224</v>
      </c>
      <c r="B244" t="n">
        <v>18.6667</v>
      </c>
      <c r="C244" t="n">
        <v>12.4787</v>
      </c>
      <c r="D244" t="n">
        <v>0.838</v>
      </c>
      <c r="E244" t="n">
        <v>8.4055</v>
      </c>
      <c r="F244" t="n">
        <v>9.243499999999999</v>
      </c>
      <c r="G244" t="n">
        <v>178.9895</v>
      </c>
      <c r="H244" t="n">
        <v>1.35</v>
      </c>
    </row>
    <row r="245">
      <c r="A245" t="n">
        <v>225</v>
      </c>
      <c r="B245" t="n">
        <v>18.75</v>
      </c>
      <c r="C245" t="n">
        <v>9.196099999999999</v>
      </c>
      <c r="D245" t="n">
        <v>0.8004</v>
      </c>
      <c r="E245" t="n">
        <v>6.0115</v>
      </c>
      <c r="F245" t="n">
        <v>6.8119</v>
      </c>
      <c r="G245" t="n">
        <v>172.978</v>
      </c>
      <c r="H245" t="n">
        <v>1.35</v>
      </c>
    </row>
    <row r="246">
      <c r="A246" t="n">
        <v>226</v>
      </c>
      <c r="B246" t="n">
        <v>18.8333</v>
      </c>
      <c r="C246" t="n">
        <v>10.916</v>
      </c>
      <c r="D246" t="n">
        <v>0.7735</v>
      </c>
      <c r="E246" t="n">
        <v>7.3124</v>
      </c>
      <c r="F246" t="n">
        <v>8.085900000000001</v>
      </c>
      <c r="G246" t="n">
        <v>165.6656</v>
      </c>
      <c r="H246" t="n">
        <v>1.35</v>
      </c>
    </row>
    <row r="247">
      <c r="A247" t="n">
        <v>227</v>
      </c>
      <c r="B247" t="n">
        <v>18.9167</v>
      </c>
      <c r="C247" t="n">
        <v>8.7425</v>
      </c>
      <c r="D247" t="n">
        <v>0.7408</v>
      </c>
      <c r="E247" t="n">
        <v>5.7351</v>
      </c>
      <c r="F247" t="n">
        <v>6.4759</v>
      </c>
      <c r="G247" t="n">
        <v>159.9305</v>
      </c>
      <c r="H247" t="n">
        <v>1.35</v>
      </c>
    </row>
    <row r="248">
      <c r="A248" t="n">
        <v>228</v>
      </c>
      <c r="B248" t="n">
        <v>19</v>
      </c>
      <c r="C248" t="n">
        <v>9.2242</v>
      </c>
      <c r="D248" t="n">
        <v>0.7151999999999999</v>
      </c>
      <c r="E248" t="n">
        <v>6.1176</v>
      </c>
      <c r="F248" t="n">
        <v>6.8327</v>
      </c>
      <c r="G248" t="n">
        <v>153.8129</v>
      </c>
      <c r="H248" t="n">
        <v>1.35</v>
      </c>
    </row>
    <row r="249">
      <c r="A249" t="n">
        <v>229</v>
      </c>
      <c r="B249" t="n">
        <v>19.0833</v>
      </c>
      <c r="C249" t="n">
        <v>8.3665</v>
      </c>
      <c r="D249" t="n">
        <v>0.6878</v>
      </c>
      <c r="E249" t="n">
        <v>5.5096</v>
      </c>
      <c r="F249" t="n">
        <v>6.1974</v>
      </c>
      <c r="G249" t="n">
        <v>148.3033</v>
      </c>
      <c r="H249" t="n">
        <v>1.35</v>
      </c>
    </row>
    <row r="250">
      <c r="A250" t="n">
        <v>230</v>
      </c>
      <c r="B250" t="n">
        <v>19.1667</v>
      </c>
      <c r="C250" t="n">
        <v>9.8705</v>
      </c>
      <c r="D250" t="n">
        <v>0.6632</v>
      </c>
      <c r="E250" t="n">
        <v>6.6483</v>
      </c>
      <c r="F250" t="n">
        <v>7.3115</v>
      </c>
      <c r="G250" t="n">
        <v>141.655</v>
      </c>
      <c r="H250" t="n">
        <v>1.35</v>
      </c>
    </row>
    <row r="251">
      <c r="A251" t="n">
        <v>231</v>
      </c>
      <c r="B251" t="n">
        <v>19.25</v>
      </c>
      <c r="C251" t="n">
        <v>7.6804</v>
      </c>
      <c r="D251" t="n">
        <v>0.6334</v>
      </c>
      <c r="E251" t="n">
        <v>5.0557</v>
      </c>
      <c r="F251" t="n">
        <v>5.6892</v>
      </c>
      <c r="G251" t="n">
        <v>136.5993</v>
      </c>
      <c r="H251" t="n">
        <v>1.35</v>
      </c>
    </row>
    <row r="252">
      <c r="A252" t="n">
        <v>232</v>
      </c>
      <c r="B252" t="n">
        <v>19.3333</v>
      </c>
      <c r="C252" t="n">
        <v>10.6243</v>
      </c>
      <c r="D252" t="n">
        <v>0.6108</v>
      </c>
      <c r="E252" t="n">
        <v>7.259</v>
      </c>
      <c r="F252" t="n">
        <v>7.8698</v>
      </c>
      <c r="G252" t="n">
        <v>129.3403</v>
      </c>
      <c r="H252" t="n">
        <v>1.35</v>
      </c>
    </row>
    <row r="253">
      <c r="A253" t="n">
        <v>233</v>
      </c>
      <c r="B253" t="n">
        <v>19.4167</v>
      </c>
      <c r="C253" t="n">
        <v>8.996</v>
      </c>
      <c r="D253" t="n">
        <v>0.5784</v>
      </c>
      <c r="E253" t="n">
        <v>6.0853</v>
      </c>
      <c r="F253" t="n">
        <v>6.6637</v>
      </c>
      <c r="G253" t="n">
        <v>123.2549</v>
      </c>
      <c r="H253" t="n">
        <v>1.35</v>
      </c>
    </row>
    <row r="254">
      <c r="A254" t="n">
        <v>234</v>
      </c>
      <c r="B254" t="n">
        <v>19.5</v>
      </c>
      <c r="C254" t="n">
        <v>9.9107</v>
      </c>
      <c r="D254" t="n">
        <v>0.5512</v>
      </c>
      <c r="E254" t="n">
        <v>6.7901</v>
      </c>
      <c r="F254" t="n">
        <v>7.3413</v>
      </c>
      <c r="G254" t="n">
        <v>116.4648</v>
      </c>
      <c r="H254" t="n">
        <v>1.35</v>
      </c>
    </row>
    <row r="255">
      <c r="A255" t="n">
        <v>235</v>
      </c>
      <c r="B255" t="n">
        <v>19.5833</v>
      </c>
      <c r="C255" t="n">
        <v>9.277200000000001</v>
      </c>
      <c r="D255" t="n">
        <v>0.5208</v>
      </c>
      <c r="E255" t="n">
        <v>6.3512</v>
      </c>
      <c r="F255" t="n">
        <v>6.872</v>
      </c>
      <c r="G255" t="n">
        <v>110.1136</v>
      </c>
      <c r="H255" t="n">
        <v>1.35</v>
      </c>
    </row>
    <row r="256">
      <c r="A256" t="n">
        <v>236</v>
      </c>
      <c r="B256" t="n">
        <v>19.6667</v>
      </c>
      <c r="C256" t="n">
        <v>8.978</v>
      </c>
      <c r="D256" t="n">
        <v>0.4924</v>
      </c>
      <c r="E256" t="n">
        <v>6.158</v>
      </c>
      <c r="F256" t="n">
        <v>6.6504</v>
      </c>
      <c r="G256" t="n">
        <v>103.9556</v>
      </c>
      <c r="H256" t="n">
        <v>1.35</v>
      </c>
    </row>
    <row r="257">
      <c r="A257" t="n">
        <v>237</v>
      </c>
      <c r="B257" t="n">
        <v>19.75</v>
      </c>
      <c r="C257" t="n">
        <v>8.7059</v>
      </c>
      <c r="D257" t="n">
        <v>0.4649</v>
      </c>
      <c r="E257" t="n">
        <v>5.984</v>
      </c>
      <c r="F257" t="n">
        <v>6.4489</v>
      </c>
      <c r="G257" t="n">
        <v>97.9716</v>
      </c>
      <c r="H257" t="n">
        <v>1.35</v>
      </c>
    </row>
    <row r="258">
      <c r="A258" t="n">
        <v>238</v>
      </c>
      <c r="B258" t="n">
        <v>19.8333</v>
      </c>
      <c r="C258" t="n">
        <v>6.9513</v>
      </c>
      <c r="D258" t="n">
        <v>0.4381</v>
      </c>
      <c r="E258" t="n">
        <v>4.711</v>
      </c>
      <c r="F258" t="n">
        <v>5.1491</v>
      </c>
      <c r="G258" t="n">
        <v>93.2606</v>
      </c>
      <c r="H258" t="n">
        <v>1.35</v>
      </c>
    </row>
    <row r="259">
      <c r="A259" t="n">
        <v>239</v>
      </c>
      <c r="B259" t="n">
        <v>19.9167</v>
      </c>
      <c r="C259" t="n">
        <v>7.4784</v>
      </c>
      <c r="D259" t="n">
        <v>0.417</v>
      </c>
      <c r="E259" t="n">
        <v>5.1225</v>
      </c>
      <c r="F259" t="n">
        <v>5.5395</v>
      </c>
      <c r="G259" t="n">
        <v>88.13809999999999</v>
      </c>
      <c r="H259" t="n">
        <v>1.35</v>
      </c>
    </row>
    <row r="260">
      <c r="A260" t="n">
        <v>240</v>
      </c>
      <c r="B260" t="n">
        <v>20</v>
      </c>
      <c r="C260" t="n">
        <v>7.3653</v>
      </c>
      <c r="D260" t="n">
        <v>0.3941</v>
      </c>
      <c r="E260" t="n">
        <v>5.0616</v>
      </c>
      <c r="F260" t="n">
        <v>5.4558</v>
      </c>
      <c r="G260" t="n">
        <v>83.07640000000001</v>
      </c>
      <c r="H260" t="n">
        <v>1.35</v>
      </c>
    </row>
    <row r="261">
      <c r="A261" t="n">
        <v>241</v>
      </c>
      <c r="B261" t="n">
        <v>20.0833</v>
      </c>
      <c r="C261" t="n">
        <v>5.7516</v>
      </c>
      <c r="D261" t="n">
        <v>0.3715</v>
      </c>
      <c r="E261" t="n">
        <v>3.889</v>
      </c>
      <c r="F261" t="n">
        <v>4.2605</v>
      </c>
      <c r="G261" t="n">
        <v>79.1875</v>
      </c>
      <c r="H261" t="n">
        <v>1.35</v>
      </c>
    </row>
    <row r="262">
      <c r="A262" t="n">
        <v>242</v>
      </c>
      <c r="B262" t="n">
        <v>20.1667</v>
      </c>
      <c r="C262" t="n">
        <v>6.5938</v>
      </c>
      <c r="D262" t="n">
        <v>0.3541</v>
      </c>
      <c r="E262" t="n">
        <v>4.5302</v>
      </c>
      <c r="F262" t="n">
        <v>4.8843</v>
      </c>
      <c r="G262" t="n">
        <v>74.65730000000001</v>
      </c>
      <c r="H262" t="n">
        <v>1.35</v>
      </c>
    </row>
    <row r="263">
      <c r="A263" t="n">
        <v>243</v>
      </c>
      <c r="B263" t="n">
        <v>20.25</v>
      </c>
      <c r="C263" t="n">
        <v>4.7116</v>
      </c>
      <c r="D263" t="n">
        <v>0.3338</v>
      </c>
      <c r="E263" t="n">
        <v>3.1562</v>
      </c>
      <c r="F263" t="n">
        <v>3.4901</v>
      </c>
      <c r="G263" t="n">
        <v>71.50109999999999</v>
      </c>
      <c r="H263" t="n">
        <v>1.35</v>
      </c>
    </row>
    <row r="264">
      <c r="A264" t="n">
        <v>244</v>
      </c>
      <c r="B264" t="n">
        <v>20.3333</v>
      </c>
      <c r="C264" t="n">
        <v>6.7262</v>
      </c>
      <c r="D264" t="n">
        <v>0.3197</v>
      </c>
      <c r="E264" t="n">
        <v>4.6626</v>
      </c>
      <c r="F264" t="n">
        <v>4.9824</v>
      </c>
      <c r="G264" t="n">
        <v>66.83839999999999</v>
      </c>
      <c r="H264" t="n">
        <v>1.35</v>
      </c>
    </row>
    <row r="265">
      <c r="A265" t="n">
        <v>245</v>
      </c>
      <c r="B265" t="n">
        <v>20.4167</v>
      </c>
      <c r="C265" t="n">
        <v>7.8366</v>
      </c>
      <c r="D265" t="n">
        <v>0.2989</v>
      </c>
      <c r="E265" t="n">
        <v>5.506</v>
      </c>
      <c r="F265" t="n">
        <v>5.8049</v>
      </c>
      <c r="G265" t="n">
        <v>61.3324</v>
      </c>
      <c r="H265" t="n">
        <v>1.35</v>
      </c>
    </row>
    <row r="266">
      <c r="A266" t="n">
        <v>246</v>
      </c>
      <c r="B266" t="n">
        <v>20.5</v>
      </c>
      <c r="C266" t="n">
        <v>7.2142</v>
      </c>
      <c r="D266" t="n">
        <v>0.2743</v>
      </c>
      <c r="E266" t="n">
        <v>5.0696</v>
      </c>
      <c r="F266" t="n">
        <v>5.3439</v>
      </c>
      <c r="G266" t="n">
        <v>56.2628</v>
      </c>
      <c r="H266" t="n">
        <v>1.35</v>
      </c>
    </row>
    <row r="267">
      <c r="A267" t="n">
        <v>247</v>
      </c>
      <c r="B267" t="n">
        <v>20.5833</v>
      </c>
      <c r="C267" t="n">
        <v>7.7502</v>
      </c>
      <c r="D267" t="n">
        <v>0.2516</v>
      </c>
      <c r="E267" t="n">
        <v>5.4893</v>
      </c>
      <c r="F267" t="n">
        <v>5.7409</v>
      </c>
      <c r="G267" t="n">
        <v>50.7735</v>
      </c>
      <c r="H267" t="n">
        <v>1.35</v>
      </c>
    </row>
    <row r="268">
      <c r="A268" t="n">
        <v>248</v>
      </c>
      <c r="B268" t="n">
        <v>20.6667</v>
      </c>
      <c r="C268" t="n">
        <v>7.5707</v>
      </c>
      <c r="D268" t="n">
        <v>0.227</v>
      </c>
      <c r="E268" t="n">
        <v>5.3809</v>
      </c>
      <c r="F268" t="n">
        <v>5.608</v>
      </c>
      <c r="G268" t="n">
        <v>45.3926</v>
      </c>
      <c r="H268" t="n">
        <v>1.35</v>
      </c>
    </row>
    <row r="269">
      <c r="A269" t="n">
        <v>249</v>
      </c>
      <c r="B269" t="n">
        <v>20.75</v>
      </c>
      <c r="C269" t="n">
        <v>5.8498</v>
      </c>
      <c r="D269" t="n">
        <v>0.203</v>
      </c>
      <c r="E269" t="n">
        <v>4.1302</v>
      </c>
      <c r="F269" t="n">
        <v>4.3332</v>
      </c>
      <c r="G269" t="n">
        <v>41.2624</v>
      </c>
      <c r="H269" t="n">
        <v>1.35</v>
      </c>
    </row>
    <row r="270">
      <c r="A270" t="n">
        <v>250</v>
      </c>
      <c r="B270" t="n">
        <v>20.8333</v>
      </c>
      <c r="C270" t="n">
        <v>2.789</v>
      </c>
      <c r="D270" t="n">
        <v>0.1845</v>
      </c>
      <c r="E270" t="n">
        <v>1.8814</v>
      </c>
      <c r="F270" t="n">
        <v>2.0659</v>
      </c>
      <c r="G270" t="n">
        <v>39.381</v>
      </c>
      <c r="H270" t="n">
        <v>1.35</v>
      </c>
    </row>
    <row r="271">
      <c r="A271" t="n">
        <v>251</v>
      </c>
      <c r="B271" t="n">
        <v>20.9167</v>
      </c>
      <c r="C271" t="n">
        <v>3.7987</v>
      </c>
      <c r="D271" t="n">
        <v>0.1761</v>
      </c>
      <c r="E271" t="n">
        <v>2.6378</v>
      </c>
      <c r="F271" t="n">
        <v>2.8139</v>
      </c>
      <c r="G271" t="n">
        <v>36.7432</v>
      </c>
      <c r="H271" t="n">
        <v>1.35</v>
      </c>
    </row>
    <row r="272">
      <c r="A272" t="n">
        <v>252</v>
      </c>
      <c r="B272" t="n">
        <v>21</v>
      </c>
      <c r="C272" t="n">
        <v>2.3272</v>
      </c>
      <c r="D272" t="n">
        <v>0.1643</v>
      </c>
      <c r="E272" t="n">
        <v>1.5596</v>
      </c>
      <c r="F272" t="n">
        <v>1.7239</v>
      </c>
      <c r="G272" t="n">
        <v>35.1836</v>
      </c>
      <c r="H272" t="n">
        <v>1.35</v>
      </c>
    </row>
    <row r="273">
      <c r="A273" t="n">
        <v>253</v>
      </c>
      <c r="B273" t="n">
        <v>21.0833</v>
      </c>
      <c r="C273" t="n">
        <v>3.3685</v>
      </c>
      <c r="D273" t="n">
        <v>0.1573</v>
      </c>
      <c r="E273" t="n">
        <v>2.3378</v>
      </c>
      <c r="F273" t="n">
        <v>2.4951</v>
      </c>
      <c r="G273" t="n">
        <v>32.8458</v>
      </c>
      <c r="H273" t="n">
        <v>1.35</v>
      </c>
    </row>
    <row r="274">
      <c r="A274" t="n">
        <v>254</v>
      </c>
      <c r="B274" t="n">
        <v>21.1667</v>
      </c>
      <c r="C274" t="n">
        <v>4.1811</v>
      </c>
      <c r="D274" t="n">
        <v>0.1469</v>
      </c>
      <c r="E274" t="n">
        <v>2.9502</v>
      </c>
      <c r="F274" t="n">
        <v>3.0971</v>
      </c>
      <c r="G274" t="n">
        <v>29.8956</v>
      </c>
      <c r="H274" t="n">
        <v>1.35</v>
      </c>
    </row>
    <row r="275">
      <c r="A275" t="n">
        <v>255</v>
      </c>
      <c r="B275" t="n">
        <v>21.25</v>
      </c>
      <c r="C275" t="n">
        <v>2.7948</v>
      </c>
      <c r="D275" t="n">
        <v>0.1337</v>
      </c>
      <c r="E275" t="n">
        <v>1.9365</v>
      </c>
      <c r="F275" t="n">
        <v>2.0702</v>
      </c>
      <c r="G275" t="n">
        <v>27.9591</v>
      </c>
      <c r="H275" t="n">
        <v>1.35</v>
      </c>
    </row>
    <row r="276">
      <c r="A276" t="n">
        <v>256</v>
      </c>
      <c r="B276" t="n">
        <v>21.3333</v>
      </c>
      <c r="C276" t="n">
        <v>4.0078</v>
      </c>
      <c r="D276" t="n">
        <v>0.125</v>
      </c>
      <c r="E276" t="n">
        <v>2.8437</v>
      </c>
      <c r="F276" t="n">
        <v>2.9687</v>
      </c>
      <c r="G276" t="n">
        <v>25.1154</v>
      </c>
      <c r="H276" t="n">
        <v>1.35</v>
      </c>
    </row>
    <row r="277">
      <c r="A277" t="n">
        <v>257</v>
      </c>
      <c r="B277" t="n">
        <v>21.4167</v>
      </c>
      <c r="C277" t="n">
        <v>5.6151</v>
      </c>
      <c r="D277" t="n">
        <v>0.1123</v>
      </c>
      <c r="E277" t="n">
        <v>4.047</v>
      </c>
      <c r="F277" t="n">
        <v>4.1593</v>
      </c>
      <c r="G277" t="n">
        <v>21.0683</v>
      </c>
      <c r="H277" t="n">
        <v>1.35</v>
      </c>
    </row>
    <row r="278">
      <c r="A278" t="n">
        <v>258</v>
      </c>
      <c r="B278" t="n">
        <v>21.5</v>
      </c>
      <c r="C278" t="n">
        <v>2.6477</v>
      </c>
      <c r="D278" t="n">
        <v>0.09420000000000001</v>
      </c>
      <c r="E278" t="n">
        <v>1.867</v>
      </c>
      <c r="F278" t="n">
        <v>1.9612</v>
      </c>
      <c r="G278" t="n">
        <v>19.2013</v>
      </c>
      <c r="H278" t="n">
        <v>1.35</v>
      </c>
    </row>
    <row r="279">
      <c r="A279" t="n">
        <v>259</v>
      </c>
      <c r="B279" t="n">
        <v>21.5833</v>
      </c>
      <c r="C279" t="n">
        <v>3.6233</v>
      </c>
      <c r="D279" t="n">
        <v>0.0859</v>
      </c>
      <c r="E279" t="n">
        <v>2.598</v>
      </c>
      <c r="F279" t="n">
        <v>2.6839</v>
      </c>
      <c r="G279" t="n">
        <v>16.6032</v>
      </c>
      <c r="H279" t="n">
        <v>1.35</v>
      </c>
    </row>
    <row r="280">
      <c r="A280" t="n">
        <v>260</v>
      </c>
      <c r="B280" t="n">
        <v>21.6667</v>
      </c>
      <c r="C280" t="n">
        <v>3.107</v>
      </c>
      <c r="D280" t="n">
        <v>0.0742</v>
      </c>
      <c r="E280" t="n">
        <v>2.2272</v>
      </c>
      <c r="F280" t="n">
        <v>2.3015</v>
      </c>
      <c r="G280" t="n">
        <v>14.376</v>
      </c>
      <c r="H280" t="n">
        <v>1.35</v>
      </c>
    </row>
    <row r="281">
      <c r="A281" t="n">
        <v>261</v>
      </c>
      <c r="B281" t="n">
        <v>21.75</v>
      </c>
      <c r="C281" t="n">
        <v>1.3427</v>
      </c>
      <c r="D281" t="n">
        <v>0.0643</v>
      </c>
      <c r="E281" t="n">
        <v>0.9303</v>
      </c>
      <c r="F281" t="n">
        <v>0.9946</v>
      </c>
      <c r="G281" t="n">
        <v>13.4457</v>
      </c>
      <c r="H281" t="n">
        <v>1.35</v>
      </c>
    </row>
    <row r="282">
      <c r="A282" t="n">
        <v>262</v>
      </c>
      <c r="B282" t="n">
        <v>21.8333</v>
      </c>
      <c r="C282" t="n">
        <v>2.2897</v>
      </c>
      <c r="D282" t="n">
        <v>0.0601</v>
      </c>
      <c r="E282" t="n">
        <v>1.6359</v>
      </c>
      <c r="F282" t="n">
        <v>1.6961</v>
      </c>
      <c r="G282" t="n">
        <v>11.8098</v>
      </c>
      <c r="H282" t="n">
        <v>1.35</v>
      </c>
    </row>
    <row r="283">
      <c r="A283" t="n">
        <v>263</v>
      </c>
      <c r="B283" t="n">
        <v>21.9167</v>
      </c>
      <c r="C283" t="n">
        <v>3.401</v>
      </c>
      <c r="D283" t="n">
        <v>0.0528</v>
      </c>
      <c r="E283" t="n">
        <v>2.4665</v>
      </c>
      <c r="F283" t="n">
        <v>2.5193</v>
      </c>
      <c r="G283" t="n">
        <v>9.343299999999999</v>
      </c>
      <c r="H283" t="n">
        <v>1.35</v>
      </c>
    </row>
    <row r="284">
      <c r="A284" t="n">
        <v>264</v>
      </c>
      <c r="B284" t="n">
        <v>22</v>
      </c>
      <c r="C284" t="n">
        <v>2.4848</v>
      </c>
      <c r="D284" t="n">
        <v>0.0418</v>
      </c>
      <c r="E284" t="n">
        <v>1.7988</v>
      </c>
      <c r="F284" t="n">
        <v>1.8406</v>
      </c>
      <c r="G284" t="n">
        <v>7.5445</v>
      </c>
      <c r="H284" t="n">
        <v>1.35</v>
      </c>
    </row>
    <row r="285">
      <c r="A285" t="n">
        <v>265</v>
      </c>
      <c r="B285" t="n">
        <v>22.0833</v>
      </c>
      <c r="C285" t="n">
        <v>2.9706</v>
      </c>
      <c r="D285" t="n">
        <v>0.0337</v>
      </c>
      <c r="E285" t="n">
        <v>2.1667</v>
      </c>
      <c r="F285" t="n">
        <v>2.2005</v>
      </c>
      <c r="G285" t="n">
        <v>5.3778</v>
      </c>
      <c r="H285" t="n">
        <v>1.35</v>
      </c>
    </row>
    <row r="286">
      <c r="A286" t="n">
        <v>266</v>
      </c>
      <c r="B286" t="n">
        <v>22.1667</v>
      </c>
      <c r="C286" t="n">
        <v>2.6108</v>
      </c>
      <c r="D286" t="n">
        <v>0.024</v>
      </c>
      <c r="E286" t="n">
        <v>1.9099</v>
      </c>
      <c r="F286" t="n">
        <v>1.9339</v>
      </c>
      <c r="G286" t="n">
        <v>3.4679</v>
      </c>
      <c r="H286" t="n">
        <v>1.35</v>
      </c>
    </row>
    <row r="287">
      <c r="A287" t="n">
        <v>267</v>
      </c>
      <c r="B287" t="n">
        <v>22.25</v>
      </c>
      <c r="C287" t="n">
        <v>-1.0702</v>
      </c>
      <c r="D287" t="n">
        <v>0.0155</v>
      </c>
      <c r="E287" t="n">
        <v>0</v>
      </c>
      <c r="F287" t="n">
        <v>0.0155</v>
      </c>
      <c r="G287" t="n">
        <v>3.4679</v>
      </c>
      <c r="H287" t="inlineStr">
        <is>
          <t>N/A</t>
        </is>
      </c>
    </row>
    <row r="288">
      <c r="A288" t="n">
        <v>268</v>
      </c>
      <c r="B288" t="n">
        <v>22.3333</v>
      </c>
      <c r="C288" t="n">
        <v>0.9348</v>
      </c>
      <c r="D288" t="n">
        <v>0.0155</v>
      </c>
      <c r="E288" t="n">
        <v>0.677</v>
      </c>
      <c r="F288" t="n">
        <v>0.6925</v>
      </c>
      <c r="G288" t="n">
        <v>2.7909</v>
      </c>
      <c r="H288" t="n">
        <v>1.35</v>
      </c>
    </row>
    <row r="289">
      <c r="A289" t="n">
        <v>269</v>
      </c>
      <c r="B289" t="n">
        <v>22.4167</v>
      </c>
      <c r="C289" t="n">
        <v>0.349</v>
      </c>
      <c r="D289" t="n">
        <v>0.0125</v>
      </c>
      <c r="E289" t="n">
        <v>0.246</v>
      </c>
      <c r="F289" t="n">
        <v>0.2585</v>
      </c>
      <c r="G289" t="n">
        <v>2.5449</v>
      </c>
      <c r="H289" t="n">
        <v>1.35</v>
      </c>
    </row>
    <row r="290">
      <c r="A290" t="n">
        <v>270</v>
      </c>
      <c r="B290" t="n">
        <v>22.5</v>
      </c>
      <c r="C290" t="n">
        <v>2.194</v>
      </c>
      <c r="D290" t="n">
        <v>0.0114</v>
      </c>
      <c r="E290" t="n">
        <v>1.6138</v>
      </c>
      <c r="F290" t="n">
        <v>1.6252</v>
      </c>
      <c r="G290" t="n">
        <v>0.9311</v>
      </c>
      <c r="H290" t="n">
        <v>1.35</v>
      </c>
    </row>
    <row r="291">
      <c r="A291" t="n">
        <v>271</v>
      </c>
      <c r="B291" t="n">
        <v>22.5833</v>
      </c>
      <c r="C291" t="n">
        <v>-1.8197</v>
      </c>
      <c r="D291" t="n">
        <v>0.0042</v>
      </c>
      <c r="E291" t="n">
        <v>0</v>
      </c>
      <c r="F291" t="n">
        <v>0.0042</v>
      </c>
      <c r="G291" t="n">
        <v>0.9311</v>
      </c>
      <c r="H291" t="inlineStr">
        <is>
          <t>N/A</t>
        </is>
      </c>
    </row>
    <row r="292">
      <c r="A292" t="n">
        <v>272</v>
      </c>
      <c r="B292" t="n">
        <v>22.6667</v>
      </c>
      <c r="C292" t="n">
        <v>0.1046</v>
      </c>
      <c r="D292" t="n">
        <v>0.0042</v>
      </c>
      <c r="E292" t="n">
        <v>0.0733</v>
      </c>
      <c r="F292" t="n">
        <v>0.0775</v>
      </c>
      <c r="G292" t="n">
        <v>0.8578</v>
      </c>
      <c r="H292" t="n">
        <v>1.35</v>
      </c>
    </row>
    <row r="293">
      <c r="A293" t="n">
        <v>273</v>
      </c>
      <c r="B293" t="n">
        <v>22.75</v>
      </c>
      <c r="C293" t="n">
        <v>-1.7268</v>
      </c>
      <c r="D293" t="n">
        <v>0.0038</v>
      </c>
      <c r="E293" t="n">
        <v>0</v>
      </c>
      <c r="F293" t="n">
        <v>0.0038</v>
      </c>
      <c r="G293" t="n">
        <v>0.8578</v>
      </c>
      <c r="H293" t="inlineStr">
        <is>
          <t>N/A</t>
        </is>
      </c>
    </row>
    <row r="294">
      <c r="A294" t="n">
        <v>274</v>
      </c>
      <c r="B294" t="n">
        <v>22.8333</v>
      </c>
      <c r="C294" t="n">
        <v>-3.2183</v>
      </c>
      <c r="D294" t="n">
        <v>0.0038</v>
      </c>
      <c r="E294" t="n">
        <v>0</v>
      </c>
      <c r="F294" t="n">
        <v>0.0038</v>
      </c>
      <c r="G294" t="n">
        <v>0.8578</v>
      </c>
      <c r="H294" t="inlineStr">
        <is>
          <t>N/A</t>
        </is>
      </c>
    </row>
    <row r="295">
      <c r="A295" t="n">
        <v>275</v>
      </c>
      <c r="B295" t="n">
        <v>22.9167</v>
      </c>
      <c r="C295" t="n">
        <v>-3.0298</v>
      </c>
      <c r="D295" t="n">
        <v>0.0038</v>
      </c>
      <c r="E295" t="n">
        <v>0</v>
      </c>
      <c r="F295" t="n">
        <v>0.0038</v>
      </c>
      <c r="G295" t="n">
        <v>0.8578</v>
      </c>
      <c r="H295" t="inlineStr">
        <is>
          <t>N/A</t>
        </is>
      </c>
    </row>
    <row r="296">
      <c r="A296" t="n">
        <v>276</v>
      </c>
      <c r="B296" t="n">
        <v>23</v>
      </c>
      <c r="C296" t="n">
        <v>-3.9146</v>
      </c>
      <c r="D296" t="n">
        <v>0.0038</v>
      </c>
      <c r="E296" t="n">
        <v>0</v>
      </c>
      <c r="F296" t="n">
        <v>0.0038</v>
      </c>
      <c r="G296" t="n">
        <v>0.8578</v>
      </c>
      <c r="H296" t="inlineStr">
        <is>
          <t>N/A</t>
        </is>
      </c>
    </row>
    <row r="297">
      <c r="A297" t="n">
        <v>277</v>
      </c>
      <c r="B297" t="n">
        <v>23.0833</v>
      </c>
      <c r="C297" t="n">
        <v>-2.8564</v>
      </c>
      <c r="D297" t="n">
        <v>0.0038</v>
      </c>
      <c r="E297" t="n">
        <v>0</v>
      </c>
      <c r="F297" t="n">
        <v>0.0038</v>
      </c>
      <c r="G297" t="n">
        <v>0.8578</v>
      </c>
      <c r="H297" t="inlineStr">
        <is>
          <t>N/A</t>
        </is>
      </c>
    </row>
    <row r="298">
      <c r="A298" t="n">
        <v>278</v>
      </c>
      <c r="B298" t="n">
        <v>23.1667</v>
      </c>
      <c r="C298" t="n">
        <v>-7.0115</v>
      </c>
      <c r="D298" t="n">
        <v>0.0038</v>
      </c>
      <c r="E298" t="n">
        <v>0</v>
      </c>
      <c r="F298" t="n">
        <v>0.0038</v>
      </c>
      <c r="G298" t="n">
        <v>0.8578</v>
      </c>
      <c r="H298" t="inlineStr">
        <is>
          <t>N/A</t>
        </is>
      </c>
    </row>
    <row r="299">
      <c r="A299" t="n">
        <v>279</v>
      </c>
      <c r="B299" t="n">
        <v>23.25</v>
      </c>
      <c r="C299" t="n">
        <v>-4.6318</v>
      </c>
      <c r="D299" t="n">
        <v>0.0038</v>
      </c>
      <c r="E299" t="n">
        <v>0</v>
      </c>
      <c r="F299" t="n">
        <v>0.0038</v>
      </c>
      <c r="G299" t="n">
        <v>0.8578</v>
      </c>
      <c r="H299" t="inlineStr">
        <is>
          <t>N/A</t>
        </is>
      </c>
    </row>
    <row r="300">
      <c r="A300" t="n">
        <v>280</v>
      </c>
      <c r="B300" t="n">
        <v>23.3333</v>
      </c>
      <c r="C300" t="n">
        <v>-3.6713</v>
      </c>
      <c r="D300" t="n">
        <v>0.0038</v>
      </c>
      <c r="E300" t="n">
        <v>0</v>
      </c>
      <c r="F300" t="n">
        <v>0.0038</v>
      </c>
      <c r="G300" t="n">
        <v>0.8578</v>
      </c>
      <c r="H300" t="inlineStr">
        <is>
          <t>N/A</t>
        </is>
      </c>
    </row>
    <row r="301">
      <c r="A301" t="n">
        <v>281</v>
      </c>
      <c r="B301" t="n">
        <v>23.4167</v>
      </c>
      <c r="C301" t="n">
        <v>-2.8634</v>
      </c>
      <c r="D301" t="n">
        <v>0.0038</v>
      </c>
      <c r="E301" t="n">
        <v>0</v>
      </c>
      <c r="F301" t="n">
        <v>0.0038</v>
      </c>
      <c r="G301" t="n">
        <v>0.8578</v>
      </c>
      <c r="H301" t="inlineStr">
        <is>
          <t>N/A</t>
        </is>
      </c>
    </row>
    <row r="302">
      <c r="A302" t="n">
        <v>282</v>
      </c>
      <c r="B302" t="n">
        <v>23.5</v>
      </c>
      <c r="C302" t="n">
        <v>-5.1934</v>
      </c>
      <c r="D302" t="n">
        <v>0.0038</v>
      </c>
      <c r="E302" t="n">
        <v>0</v>
      </c>
      <c r="F302" t="n">
        <v>0.0038</v>
      </c>
      <c r="G302" t="n">
        <v>0.8578</v>
      </c>
      <c r="H302" t="inlineStr">
        <is>
          <t>N/A</t>
        </is>
      </c>
    </row>
    <row r="303">
      <c r="A303" t="n">
        <v>283</v>
      </c>
      <c r="B303" t="n">
        <v>23.5833</v>
      </c>
      <c r="C303" t="n">
        <v>-4.0917</v>
      </c>
      <c r="D303" t="n">
        <v>0.0038</v>
      </c>
      <c r="E303" t="n">
        <v>0</v>
      </c>
      <c r="F303" t="n">
        <v>0.0038</v>
      </c>
      <c r="G303" t="n">
        <v>0.8578</v>
      </c>
      <c r="H303" t="inlineStr">
        <is>
          <t>N/A</t>
        </is>
      </c>
    </row>
    <row r="304">
      <c r="A304" t="n">
        <v>284</v>
      </c>
      <c r="B304" t="n">
        <v>23.6667</v>
      </c>
      <c r="C304" t="n">
        <v>-4.5116</v>
      </c>
      <c r="D304" t="n">
        <v>0.0038</v>
      </c>
      <c r="E304" t="n">
        <v>0</v>
      </c>
      <c r="F304" t="n">
        <v>0.0038</v>
      </c>
      <c r="G304" t="n">
        <v>0.8578</v>
      </c>
      <c r="H304" t="inlineStr">
        <is>
          <t>N/A</t>
        </is>
      </c>
    </row>
    <row r="305">
      <c r="A305" t="n">
        <v>285</v>
      </c>
      <c r="B305" t="n">
        <v>23.75</v>
      </c>
      <c r="C305" t="n">
        <v>-5.0129</v>
      </c>
      <c r="D305" t="n">
        <v>0.0038</v>
      </c>
      <c r="E305" t="n">
        <v>0</v>
      </c>
      <c r="F305" t="n">
        <v>0.0038</v>
      </c>
      <c r="G305" t="n">
        <v>0.8578</v>
      </c>
      <c r="H305" t="inlineStr">
        <is>
          <t>N/A</t>
        </is>
      </c>
    </row>
    <row r="306">
      <c r="A306" t="n">
        <v>286</v>
      </c>
      <c r="B306" t="n">
        <v>23.8333</v>
      </c>
      <c r="C306" t="n">
        <v>-2.1164</v>
      </c>
      <c r="D306" t="n">
        <v>0.0038</v>
      </c>
      <c r="E306" t="n">
        <v>0</v>
      </c>
      <c r="F306" t="n">
        <v>0.0038</v>
      </c>
      <c r="G306" t="n">
        <v>0.8578</v>
      </c>
      <c r="H306" t="inlineStr">
        <is>
          <t>N/A</t>
        </is>
      </c>
    </row>
    <row r="307">
      <c r="A307" t="n">
        <v>287</v>
      </c>
      <c r="B307" t="n">
        <v>23.9167</v>
      </c>
      <c r="C307" t="n">
        <v>-4.4583</v>
      </c>
      <c r="D307" t="n">
        <v>0.0038</v>
      </c>
      <c r="E307" t="n">
        <v>0</v>
      </c>
      <c r="F307" t="n">
        <v>0.0038</v>
      </c>
      <c r="G307" t="n">
        <v>0.8578</v>
      </c>
      <c r="H307" t="inlineStr">
        <is>
          <t>N/A</t>
        </is>
      </c>
    </row>
    <row r="308">
      <c r="A308" t="n">
        <v>288</v>
      </c>
      <c r="B308" t="n">
        <v>24</v>
      </c>
      <c r="C308" t="n">
        <v>1.2728</v>
      </c>
      <c r="D308" t="n">
        <v>0.0038</v>
      </c>
      <c r="E308" t="n">
        <v>0.8578</v>
      </c>
      <c r="F308" t="n">
        <v>0.8616</v>
      </c>
      <c r="G308" t="n">
        <v>0</v>
      </c>
      <c r="H308" t="n">
        <v>1.4772</v>
      </c>
    </row>
    <row r="309">
      <c r="A309" t="n">
        <v>289</v>
      </c>
      <c r="B309" t="n">
        <v>24.0833</v>
      </c>
      <c r="C309" t="n">
        <v>-2.7402</v>
      </c>
      <c r="D309" t="n">
        <v>0</v>
      </c>
      <c r="E309" t="n">
        <v>0</v>
      </c>
      <c r="F309" t="n">
        <v>0</v>
      </c>
      <c r="G309" t="n">
        <v>0</v>
      </c>
      <c r="H309" t="inlineStr">
        <is>
          <t>N/A</t>
        </is>
      </c>
    </row>
    <row r="310">
      <c r="A310" t="n">
        <v>290</v>
      </c>
      <c r="B310" t="n">
        <v>24.1667</v>
      </c>
      <c r="C310" t="n">
        <v>-1.8404</v>
      </c>
      <c r="D310" t="n">
        <v>0</v>
      </c>
      <c r="E310" t="n">
        <v>0</v>
      </c>
      <c r="F310" t="n">
        <v>0</v>
      </c>
      <c r="G310" t="n">
        <v>0</v>
      </c>
      <c r="H310" t="inlineStr">
        <is>
          <t>N/A</t>
        </is>
      </c>
    </row>
    <row r="311">
      <c r="A311" t="n">
        <v>291</v>
      </c>
      <c r="B311" t="n">
        <v>24.25</v>
      </c>
      <c r="C311" t="n">
        <v>-3.8634</v>
      </c>
      <c r="D311" t="n">
        <v>0</v>
      </c>
      <c r="E311" t="n">
        <v>0</v>
      </c>
      <c r="F311" t="n">
        <v>0</v>
      </c>
      <c r="G311" t="n">
        <v>0</v>
      </c>
      <c r="H311" t="inlineStr">
        <is>
          <t>N/A</t>
        </is>
      </c>
    </row>
    <row r="312">
      <c r="A312" t="n">
        <v>292</v>
      </c>
      <c r="B312" t="n">
        <v>24.3333</v>
      </c>
      <c r="C312" t="n">
        <v>-1.996</v>
      </c>
      <c r="D312" t="n">
        <v>0</v>
      </c>
      <c r="E312" t="n">
        <v>0</v>
      </c>
      <c r="F312" t="n">
        <v>0</v>
      </c>
      <c r="G312" t="n">
        <v>0</v>
      </c>
      <c r="H312" t="inlineStr">
        <is>
          <t>N/A</t>
        </is>
      </c>
    </row>
    <row r="313">
      <c r="A313" t="n">
        <v>293</v>
      </c>
      <c r="B313" t="n">
        <v>24.4167</v>
      </c>
      <c r="C313" t="n">
        <v>-3.174</v>
      </c>
      <c r="D313" t="n">
        <v>0</v>
      </c>
      <c r="E313" t="n">
        <v>0</v>
      </c>
      <c r="F313" t="n">
        <v>0</v>
      </c>
      <c r="G313" t="n">
        <v>0</v>
      </c>
      <c r="H313" t="inlineStr">
        <is>
          <t>N/A</t>
        </is>
      </c>
    </row>
    <row r="314">
      <c r="A314" t="n">
        <v>294</v>
      </c>
      <c r="B314" t="n">
        <v>24.5</v>
      </c>
      <c r="C314" t="n">
        <v>-4.9107</v>
      </c>
      <c r="D314" t="n">
        <v>0</v>
      </c>
      <c r="E314" t="n">
        <v>0</v>
      </c>
      <c r="F314" t="n">
        <v>0</v>
      </c>
      <c r="G314" t="n">
        <v>0</v>
      </c>
      <c r="H314" t="inlineStr">
        <is>
          <t>N/A</t>
        </is>
      </c>
    </row>
    <row r="315">
      <c r="A315" t="n">
        <v>295</v>
      </c>
      <c r="B315" t="n">
        <v>24.5833</v>
      </c>
      <c r="C315" t="n">
        <v>-3.4865</v>
      </c>
      <c r="D315" t="n">
        <v>0</v>
      </c>
      <c r="E315" t="n">
        <v>0</v>
      </c>
      <c r="F315" t="n">
        <v>0</v>
      </c>
      <c r="G315" t="n">
        <v>0</v>
      </c>
      <c r="H315" t="inlineStr">
        <is>
          <t>N/A</t>
        </is>
      </c>
    </row>
    <row r="316">
      <c r="A316" t="n">
        <v>296</v>
      </c>
      <c r="B316" t="n">
        <v>24.6667</v>
      </c>
      <c r="C316" t="n">
        <v>-4.0471</v>
      </c>
      <c r="D316" t="n">
        <v>0</v>
      </c>
      <c r="E316" t="n">
        <v>0</v>
      </c>
      <c r="F316" t="n">
        <v>0</v>
      </c>
      <c r="G316" t="n">
        <v>0</v>
      </c>
      <c r="H316" t="inlineStr">
        <is>
          <t>N/A</t>
        </is>
      </c>
    </row>
    <row r="317">
      <c r="A317" t="n">
        <v>297</v>
      </c>
      <c r="B317" t="n">
        <v>24.75</v>
      </c>
      <c r="C317" t="n">
        <v>-4.5317</v>
      </c>
      <c r="D317" t="n">
        <v>0</v>
      </c>
      <c r="E317" t="n">
        <v>0</v>
      </c>
      <c r="F317" t="n">
        <v>0</v>
      </c>
      <c r="G317" t="n">
        <v>0</v>
      </c>
      <c r="H317" t="inlineStr">
        <is>
          <t>N/A</t>
        </is>
      </c>
    </row>
    <row r="318">
      <c r="A318" t="n">
        <v>298</v>
      </c>
      <c r="B318" t="n">
        <v>24.8333</v>
      </c>
      <c r="C318" t="n">
        <v>-7.8842</v>
      </c>
      <c r="D318" t="n">
        <v>0</v>
      </c>
      <c r="E318" t="n">
        <v>0</v>
      </c>
      <c r="F318" t="n">
        <v>0</v>
      </c>
      <c r="G318" t="n">
        <v>0</v>
      </c>
      <c r="H318" t="inlineStr">
        <is>
          <t>N/A</t>
        </is>
      </c>
    </row>
    <row r="319">
      <c r="A319" t="n">
        <v>299</v>
      </c>
      <c r="B319" t="n">
        <v>24.9167</v>
      </c>
      <c r="C319" t="n">
        <v>-5.4537</v>
      </c>
      <c r="D319" t="n">
        <v>0</v>
      </c>
      <c r="E319" t="n">
        <v>0</v>
      </c>
      <c r="F319" t="n">
        <v>0</v>
      </c>
      <c r="G319" t="n">
        <v>0</v>
      </c>
      <c r="H319" t="inlineStr">
        <is>
          <t>N/A</t>
        </is>
      </c>
    </row>
    <row r="320">
      <c r="A320" t="n">
        <v>300</v>
      </c>
      <c r="B320" t="n">
        <v>25</v>
      </c>
      <c r="C320" t="n">
        <v>-5.8304</v>
      </c>
      <c r="D320" t="n">
        <v>0</v>
      </c>
      <c r="E320" t="n">
        <v>0</v>
      </c>
      <c r="F320" t="n">
        <v>0</v>
      </c>
      <c r="G320" t="n">
        <v>0</v>
      </c>
      <c r="H320" t="inlineStr">
        <is>
          <t>N/A</t>
        </is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G19"/>
  <sheetViews>
    <sheetView workbookViewId="0">
      <selection activeCell="D19" sqref="A16:D19"/>
    </sheetView>
  </sheetViews>
  <sheetFormatPr baseColWidth="10" defaultRowHeight="16"/>
  <cols>
    <col width="17.6640625" bestFit="1" customWidth="1" style="133" min="3" max="3"/>
    <col width="14.83203125" bestFit="1" customWidth="1" style="133" min="4" max="4"/>
    <col width="12" bestFit="1" customWidth="1" style="133" min="5" max="5"/>
    <col width="17.33203125" bestFit="1" customWidth="1" style="133" min="6" max="6"/>
    <col width="17.83203125" bestFit="1" customWidth="1" style="133" min="7" max="7"/>
  </cols>
  <sheetData>
    <row r="1">
      <c r="A1" t="inlineStr">
        <is>
          <t>Stress Test — Tornado Analysis &amp; Scenario Analysis</t>
        </is>
      </c>
    </row>
    <row r="2">
      <c r="A2" t="inlineStr">
        <is>
          <t>DK1 Primary | Base case NPV P50 = 3,732 EURk</t>
        </is>
      </c>
    </row>
    <row r="3">
      <c r="A3" t="inlineStr">
        <is>
          <t>TORNADO ANALYSIS — ONE-WAY SENSITIVITY (+-20%)</t>
        </is>
      </c>
    </row>
    <row r="4">
      <c r="A4" t="inlineStr">
        <is>
          <t>Input</t>
        </is>
      </c>
      <c r="B4" t="inlineStr">
        <is>
          <t>Base Value</t>
        </is>
      </c>
      <c r="C4" t="inlineStr">
        <is>
          <t>NPV Low (-20%)</t>
        </is>
      </c>
      <c r="D4" t="inlineStr">
        <is>
          <t>NPV High (+20%)</t>
        </is>
      </c>
      <c r="E4" t="inlineStr">
        <is>
          <t>Range (EURk)</t>
        </is>
      </c>
      <c r="F4" t="inlineStr">
        <is>
          <t>Change Low vs Base</t>
        </is>
      </c>
      <c r="G4" t="inlineStr">
        <is>
          <t>Change High vs Base</t>
        </is>
      </c>
    </row>
    <row r="5">
      <c r="A5" t="inlineStr">
        <is>
          <t>NCF (%)</t>
        </is>
      </c>
      <c r="B5" t="n">
        <v>0.1223</v>
      </c>
      <c r="C5" t="n">
        <v>-2930</v>
      </c>
      <c r="D5" t="n">
        <v>10392</v>
      </c>
      <c r="E5" t="n">
        <v>13321</v>
      </c>
      <c r="F5" t="n">
        <v>-6662</v>
      </c>
      <c r="G5" t="n">
        <v>6659</v>
      </c>
    </row>
    <row r="6">
      <c r="A6" t="inlineStr">
        <is>
          <t>CAPEX (EURk)</t>
        </is>
      </c>
      <c r="B6" t="n">
        <v>23000</v>
      </c>
      <c r="C6" t="n">
        <v>8332</v>
      </c>
      <c r="D6" t="n">
        <v>-868</v>
      </c>
      <c r="E6" t="n">
        <v>9200</v>
      </c>
      <c r="F6" t="n">
        <v>4600</v>
      </c>
      <c r="G6" t="n">
        <v>-4600</v>
      </c>
    </row>
    <row r="7">
      <c r="A7" t="inlineStr">
        <is>
          <t>OU mu (EUR/MWh)</t>
        </is>
      </c>
      <c r="B7" t="n">
        <v>68.29470000000001</v>
      </c>
      <c r="C7" t="n">
        <v>98</v>
      </c>
      <c r="D7" t="n">
        <v>7320</v>
      </c>
      <c r="E7" t="n">
        <v>7222</v>
      </c>
      <c r="F7" t="n">
        <v>-3634</v>
      </c>
      <c r="G7" t="n">
        <v>3587</v>
      </c>
    </row>
    <row r="8">
      <c r="A8" t="inlineStr">
        <is>
          <t>PPA Price (EUR/MWh)</t>
        </is>
      </c>
      <c r="B8" t="n">
        <v>45</v>
      </c>
      <c r="C8" t="n">
        <v>605</v>
      </c>
      <c r="D8" t="n">
        <v>6859</v>
      </c>
      <c r="E8" t="n">
        <v>6254</v>
      </c>
      <c r="F8" t="n">
        <v>-3127</v>
      </c>
      <c r="G8" t="n">
        <v>3127</v>
      </c>
    </row>
    <row r="9">
      <c r="A9" t="inlineStr">
        <is>
          <t>Alpha end (%)</t>
        </is>
      </c>
      <c r="B9" t="n">
        <v>0.2</v>
      </c>
      <c r="C9" t="n">
        <v>5086</v>
      </c>
      <c r="D9" t="n">
        <v>2370</v>
      </c>
      <c r="E9" t="n">
        <v>2716</v>
      </c>
      <c r="F9" t="n">
        <v>1353</v>
      </c>
      <c r="G9" t="n">
        <v>-1363</v>
      </c>
    </row>
    <row r="10">
      <c r="A10" t="inlineStr">
        <is>
          <t>WACC_PPA,m</t>
        </is>
      </c>
      <c r="B10" t="n">
        <v>0.0028</v>
      </c>
      <c r="C10" t="n">
        <v>5104</v>
      </c>
      <c r="D10" t="n">
        <v>2440</v>
      </c>
      <c r="E10" t="n">
        <v>2664</v>
      </c>
      <c r="F10" t="n">
        <v>1372</v>
      </c>
      <c r="G10" t="n">
        <v>-1292</v>
      </c>
    </row>
    <row r="11">
      <c r="A11" t="inlineStr">
        <is>
          <t>WACC_merchant,m</t>
        </is>
      </c>
      <c r="B11" t="n">
        <v>0.0036</v>
      </c>
      <c r="C11" t="n">
        <v>4551</v>
      </c>
      <c r="D11" t="n">
        <v>2981</v>
      </c>
      <c r="E11" t="n">
        <v>1570</v>
      </c>
      <c r="F11" t="n">
        <v>819</v>
      </c>
      <c r="G11" t="n">
        <v>-751</v>
      </c>
    </row>
    <row r="12">
      <c r="A12" t="inlineStr">
        <is>
          <t>OU sigma (EUR/MWh)</t>
        </is>
      </c>
      <c r="B12" t="n">
        <v>17.5069</v>
      </c>
      <c r="C12" t="n">
        <v>3790</v>
      </c>
      <c r="D12" t="n">
        <v>3644</v>
      </c>
      <c r="E12" t="n">
        <v>146</v>
      </c>
      <c r="F12" t="n">
        <v>57</v>
      </c>
      <c r="G12" t="n">
        <v>-89</v>
      </c>
    </row>
    <row r="15">
      <c r="A15" t="inlineStr">
        <is>
          <t>SCENARIO ANALYSIS</t>
        </is>
      </c>
    </row>
    <row r="16">
      <c r="A16" t="inlineStr">
        <is>
          <t>Scenario</t>
        </is>
      </c>
      <c r="B16" t="inlineStr">
        <is>
          <t>NPV P50 (EURk)</t>
        </is>
      </c>
      <c r="C16" t="inlineStr">
        <is>
          <t>vs Base Case (EURk)</t>
        </is>
      </c>
      <c r="D16" t="inlineStr">
        <is>
          <t>vs Base Case (%)</t>
        </is>
      </c>
    </row>
    <row r="17">
      <c r="A17" t="inlineStr">
        <is>
          <t>Optimistic</t>
        </is>
      </c>
      <c r="B17" t="n">
        <v>16496</v>
      </c>
      <c r="C17" t="n">
        <v>12764</v>
      </c>
      <c r="D17" t="n">
        <v>3.4197</v>
      </c>
    </row>
    <row r="18">
      <c r="A18" t="inlineStr">
        <is>
          <t>Base Case</t>
        </is>
      </c>
      <c r="B18" t="n">
        <v>3732</v>
      </c>
      <c r="C18" t="n">
        <v>0</v>
      </c>
      <c r="D18" t="n">
        <v>0</v>
      </c>
    </row>
    <row r="19">
      <c r="A19" t="inlineStr">
        <is>
          <t>Pessimistic</t>
        </is>
      </c>
      <c r="B19" t="n">
        <v>-7461</v>
      </c>
      <c r="C19" t="n">
        <v>-11193</v>
      </c>
      <c r="D19" t="n">
        <v>-2.999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F51"/>
  <sheetViews>
    <sheetView tabSelected="1" topLeftCell="A24" workbookViewId="0">
      <selection activeCell="A47" sqref="A47:F51"/>
    </sheetView>
  </sheetViews>
  <sheetFormatPr baseColWidth="10" defaultRowHeight="16"/>
  <cols>
    <col width="32" customWidth="1" style="133" min="1" max="1"/>
    <col width="20" customWidth="1" style="133" min="2" max="2"/>
    <col width="18" customWidth="1" style="133" min="3" max="4"/>
    <col width="18" customWidth="1" style="133" min="4" max="4"/>
    <col width="16" customWidth="1" style="133" min="5" max="5"/>
    <col width="35" customWidth="1" style="133" min="6" max="6"/>
  </cols>
  <sheetData>
    <row r="1" ht="24" customHeight="1" s="133">
      <c r="A1" s="141" t="inlineStr">
        <is>
          <t>Output Summary — Valuation of Renewable Energy Assets under Power Price Uncertainty | DK1 Primary Specification</t>
        </is>
      </c>
    </row>
    <row r="2" ht="14" customHeight="1" s="133">
      <c r="A2" s="142" t="inlineStr">
        <is>
          <t>50MW Danish Solar PV | 25-Year Project Life | PPA 10 years @ 45.0 EUR/MWh | CAPEX 23,000 EURk | NCF 12.2%</t>
        </is>
      </c>
    </row>
    <row r="4" ht="18" customHeight="1" s="133">
      <c r="A4" s="143" t="inlineStr">
        <is>
          <t>1. OU CALIBRATION PARAMETERS — DK1 PRIMARY</t>
        </is>
      </c>
    </row>
    <row r="5" ht="16" customHeight="1" s="133">
      <c r="A5" s="144" t="inlineStr">
        <is>
          <t>Parameter</t>
        </is>
      </c>
      <c r="B5" s="144" t="inlineStr">
        <is>
          <t>DK1 ex-2022 (Primary)</t>
        </is>
      </c>
      <c r="C5" s="144" t="inlineStr">
        <is>
          <t>DK1 Post-crisis</t>
        </is>
      </c>
      <c r="D5" s="144" t="inlineStr">
        <is>
          <t>DK2 ex-2022</t>
        </is>
      </c>
      <c r="E5" s="144" t="inlineStr">
        <is>
          <t>DK2 Post-crisis</t>
        </is>
      </c>
      <c r="F5" s="144" t="inlineStr">
        <is>
          <t>Unit</t>
        </is>
      </c>
    </row>
    <row r="6" ht="16" customHeight="1" s="133">
      <c r="A6" s="145" t="inlineStr">
        <is>
          <t>Long-run mean (mu)</t>
        </is>
      </c>
      <c r="B6" s="146" t="n">
        <v>68.29470000000001</v>
      </c>
      <c r="C6" s="147" t="n">
        <v>77.68510000000001</v>
      </c>
      <c r="D6" s="147" t="n">
        <v>67.3754</v>
      </c>
      <c r="E6" s="147" t="n">
        <v>77.2663</v>
      </c>
      <c r="F6" s="147" t="inlineStr">
        <is>
          <t>EUR/MWh</t>
        </is>
      </c>
    </row>
    <row r="7" ht="16" customHeight="1" s="133">
      <c r="A7" s="145" t="inlineStr">
        <is>
          <t>Mean reversion (kappa)</t>
        </is>
      </c>
      <c r="B7" s="146" t="n">
        <v>0.1401</v>
      </c>
      <c r="C7" s="147" t="n">
        <v>0.5931</v>
      </c>
      <c r="D7" s="147" t="n">
        <v>0.1928</v>
      </c>
      <c r="E7" s="147" t="n">
        <v>0.7383</v>
      </c>
      <c r="F7" s="147" t="inlineStr">
        <is>
          <t>/month</t>
        </is>
      </c>
    </row>
    <row r="8" ht="16" customHeight="1" s="133">
      <c r="A8" s="145" t="inlineStr">
        <is>
          <t>Volatility (sigma)</t>
        </is>
      </c>
      <c r="B8" s="146" t="n">
        <v>17.5069</v>
      </c>
      <c r="C8" s="147" t="n">
        <v>16.815</v>
      </c>
      <c r="D8" s="147" t="n">
        <v>19.3572</v>
      </c>
      <c r="E8" s="147" t="n">
        <v>18.0415</v>
      </c>
      <c r="F8" s="147" t="inlineStr">
        <is>
          <t>EUR/MWh</t>
        </is>
      </c>
    </row>
    <row r="9" ht="16" customHeight="1" s="133">
      <c r="A9" s="145" t="inlineStr">
        <is>
          <t>Half-life</t>
        </is>
      </c>
      <c r="B9" s="146" t="n">
        <v>4.9486</v>
      </c>
      <c r="C9" s="147" t="n">
        <v>1.1687</v>
      </c>
      <c r="D9" s="147" t="n">
        <v>3.5948</v>
      </c>
      <c r="E9" s="147" t="n">
        <v>0.9388</v>
      </c>
      <c r="F9" s="147" t="inlineStr">
        <is>
          <t>months</t>
        </is>
      </c>
    </row>
    <row r="11" ht="18" customHeight="1" s="133">
      <c r="A11" s="143" t="inlineStr">
        <is>
          <t>2. MONTE CARLO SIMULATION — DK1 PRIMARY (10,000 paths)</t>
        </is>
      </c>
    </row>
    <row r="12" ht="16" customHeight="1" s="133">
      <c r="A12" s="144" t="inlineStr">
        <is>
          <t>Horizon</t>
        </is>
      </c>
      <c r="B12" s="144" t="inlineStr">
        <is>
          <t>P50 (EUR/MWh)</t>
        </is>
      </c>
      <c r="C12" s="144" t="inlineStr">
        <is>
          <t>P90 (EUR/MWh)</t>
        </is>
      </c>
      <c r="D12" s="144" t="inlineStr">
        <is>
          <t>P99 (EUR/MWh)</t>
        </is>
      </c>
      <c r="E12" s="144" t="inlineStr">
        <is>
          <t>mu_capture (EUR/MWh)</t>
        </is>
      </c>
      <c r="F12" s="144" t="inlineStr"/>
    </row>
    <row r="13" ht="16" customHeight="1" s="133">
      <c r="A13" s="145" t="inlineStr">
        <is>
          <t>Year 5</t>
        </is>
      </c>
      <c r="B13" s="147" t="n">
        <v>62.42</v>
      </c>
      <c r="C13" s="147" t="n">
        <v>19.97</v>
      </c>
      <c r="D13" s="147" t="n">
        <v>-14.85</v>
      </c>
      <c r="E13" s="147" t="n">
        <v>62.86</v>
      </c>
      <c r="F13" s="147" t="inlineStr"/>
    </row>
    <row r="14" ht="16" customHeight="1" s="133">
      <c r="A14" s="148" t="inlineStr">
        <is>
          <t>Year 10</t>
        </is>
      </c>
      <c r="B14" s="149" t="n">
        <v>60.67</v>
      </c>
      <c r="C14" s="149" t="n">
        <v>18.27</v>
      </c>
      <c r="D14" s="149" t="n">
        <v>-17.66</v>
      </c>
      <c r="E14" s="149" t="n">
        <v>60.8</v>
      </c>
      <c r="F14" s="149" t="inlineStr">
        <is>
          <t>&lt;- PPA expiry</t>
        </is>
      </c>
    </row>
    <row r="15" ht="16" customHeight="1" s="133">
      <c r="A15" s="145" t="inlineStr">
        <is>
          <t>Year 15</t>
        </is>
      </c>
      <c r="B15" s="147" t="n">
        <v>58.52</v>
      </c>
      <c r="C15" s="147" t="n">
        <v>16.52</v>
      </c>
      <c r="D15" s="147" t="n">
        <v>-15.45</v>
      </c>
      <c r="E15" s="147" t="n">
        <v>58.75</v>
      </c>
      <c r="F15" s="147" t="inlineStr"/>
    </row>
    <row r="16" ht="16" customHeight="1" s="133">
      <c r="A16" s="145" t="inlineStr">
        <is>
          <t>Year 20</t>
        </is>
      </c>
      <c r="B16" s="147" t="n">
        <v>57.43</v>
      </c>
      <c r="C16" s="147" t="n">
        <v>14.71</v>
      </c>
      <c r="D16" s="147" t="n">
        <v>-19.55</v>
      </c>
      <c r="E16" s="147" t="n">
        <v>56.69</v>
      </c>
      <c r="F16" s="147" t="inlineStr"/>
    </row>
    <row r="17" ht="16" customHeight="1" s="133">
      <c r="A17" s="145" t="inlineStr">
        <is>
          <t>Year 25</t>
        </is>
      </c>
      <c r="B17" s="147" t="n">
        <v>54.79</v>
      </c>
      <c r="C17" s="147" t="n">
        <v>12.55</v>
      </c>
      <c r="D17" s="147" t="n">
        <v>-22.5</v>
      </c>
      <c r="E17" s="147" t="n">
        <v>54.64</v>
      </c>
      <c r="F17" s="147" t="inlineStr"/>
    </row>
    <row r="19" ht="18" customHeight="1" s="133">
      <c r="A19" s="143" t="inlineStr">
        <is>
          <t>3. NPV RESULTS — SEGMENTED vs SINGLE WACC</t>
        </is>
      </c>
    </row>
    <row r="20" ht="16" customHeight="1" s="133">
      <c r="A20" s="144" t="inlineStr">
        <is>
          <t>Scenario</t>
        </is>
      </c>
      <c r="B20" s="144" t="inlineStr">
        <is>
          <t>NPV Segmented WACC (EURk)</t>
        </is>
      </c>
      <c r="C20" s="144" t="inlineStr">
        <is>
          <t>NPV Single WACC (EURk)</t>
        </is>
      </c>
      <c r="D20" s="144" t="inlineStr">
        <is>
          <t>Difference (EURk)</t>
        </is>
      </c>
      <c r="E20" s="144" t="inlineStr">
        <is>
          <t>Difference (%)</t>
        </is>
      </c>
      <c r="F20" s="144" t="inlineStr">
        <is>
          <t>Interpretation</t>
        </is>
      </c>
    </row>
    <row r="21" ht="16" customHeight="1" s="133">
      <c r="A21" s="150" t="inlineStr">
        <is>
          <t>P50</t>
        </is>
      </c>
      <c r="B21" s="151" t="n">
        <v>3732</v>
      </c>
      <c r="C21" s="151" t="n">
        <v>2890</v>
      </c>
      <c r="D21" s="151" t="n">
        <v>-842</v>
      </c>
      <c r="E21" s="152" t="n">
        <v>-0.2256</v>
      </c>
      <c r="F21" s="150" t="inlineStr">
        <is>
          <t>Base case — project marginally viable</t>
        </is>
      </c>
    </row>
    <row r="22" ht="16" customHeight="1" s="133">
      <c r="A22" s="150" t="inlineStr">
        <is>
          <t>P90</t>
        </is>
      </c>
      <c r="B22" s="151" t="n">
        <v>9</v>
      </c>
      <c r="C22" s="151" t="n">
        <v>-698</v>
      </c>
      <c r="D22" s="151" t="n">
        <v>-707</v>
      </c>
      <c r="E22" s="152" t="n">
        <v>-78.5556</v>
      </c>
      <c r="F22" s="150" t="inlineStr">
        <is>
          <t>Conservative downside — project loss-making</t>
        </is>
      </c>
    </row>
    <row r="23" ht="16" customHeight="1" s="133">
      <c r="A23" s="153" t="inlineStr">
        <is>
          <t>P99</t>
        </is>
      </c>
      <c r="B23" s="154" t="n">
        <v>-3044</v>
      </c>
      <c r="C23" s="154" t="n">
        <v>-3629</v>
      </c>
      <c r="D23" s="154" t="n">
        <v>-585</v>
      </c>
      <c r="E23" s="155" t="n">
        <v>-0.1922</v>
      </c>
      <c r="F23" s="153" t="inlineStr">
        <is>
          <t>Extreme stress — significant loss</t>
        </is>
      </c>
    </row>
    <row r="25" ht="18" customHeight="1" s="133">
      <c r="A25" s="143" t="inlineStr">
        <is>
          <t>4. DEBT SIZING — P90 PRIMARY | DSCR_min PPA=1.20x | Merchant=1.35x</t>
        </is>
      </c>
    </row>
    <row r="26" ht="16" customHeight="1" s="133">
      <c r="A26" s="144" t="inlineStr">
        <is>
          <t>Scenario</t>
        </is>
      </c>
      <c r="B26" s="144" t="inlineStr">
        <is>
          <t>Debt Quantum (EURk)</t>
        </is>
      </c>
      <c r="C26" s="144" t="inlineStr">
        <is>
          <t>Gearing (D/CAPEX)</t>
        </is>
      </c>
      <c r="D26" s="144" t="inlineStr">
        <is>
          <t>LLCR</t>
        </is>
      </c>
      <c r="E26" s="144" t="inlineStr">
        <is>
          <t>Min DSCR PPA</t>
        </is>
      </c>
      <c r="F26" s="144" t="inlineStr">
        <is>
          <t>Min DSCR Merchant</t>
        </is>
      </c>
    </row>
    <row r="27" ht="16" customHeight="1" s="133">
      <c r="A27" s="145" t="inlineStr">
        <is>
          <t>P50 (reference)</t>
        </is>
      </c>
      <c r="B27" s="156" t="n">
        <v>19541</v>
      </c>
      <c r="C27" s="157" t="n">
        <v>0.8496</v>
      </c>
      <c r="D27" s="147" t="n">
        <v>1.27</v>
      </c>
      <c r="E27" s="147" t="n">
        <v>1.2</v>
      </c>
      <c r="F27" s="147" t="n">
        <v>1.35</v>
      </c>
    </row>
    <row r="28" ht="16" customHeight="1" s="133">
      <c r="A28" s="158" t="inlineStr">
        <is>
          <t>P90 (primary)</t>
        </is>
      </c>
      <c r="B28" s="159" t="n">
        <v>11164</v>
      </c>
      <c r="C28" s="160" t="n">
        <v>0.4854</v>
      </c>
      <c r="D28" s="161" t="n">
        <v>1.21</v>
      </c>
      <c r="E28" s="161" t="n">
        <v>1.2</v>
      </c>
      <c r="F28" s="161" t="n">
        <v/>
      </c>
    </row>
    <row r="29" ht="16" customHeight="1" s="133">
      <c r="A29" s="145" t="inlineStr">
        <is>
          <t>P99 (stress)</t>
        </is>
      </c>
      <c r="B29" s="156" t="n">
        <v>10255</v>
      </c>
      <c r="C29" s="157" t="n">
        <v>0.4459</v>
      </c>
      <c r="D29" s="147" t="n">
        <v>1.2</v>
      </c>
      <c r="E29" s="147" t="n">
        <v>1.2</v>
      </c>
      <c r="F29" s="147" t="n">
        <v/>
      </c>
    </row>
    <row r="31" ht="16" customHeight="1" s="133">
      <c r="A31" s="162" t="inlineStr">
        <is>
          <t>Debt Capacity Contraction (P50 -&gt; P90):</t>
        </is>
      </c>
      <c r="B31" s="163" t="n">
        <v>-0.4287</v>
      </c>
    </row>
    <row r="32" ht="16" customHeight="1" s="133">
      <c r="A32" s="162" t="inlineStr">
        <is>
          <t>Debt Capacity Contraction (P50 -&gt; P99):</t>
        </is>
      </c>
      <c r="B32" s="163" t="n">
        <v>-0.4752</v>
      </c>
    </row>
    <row r="34" ht="18" customHeight="1" s="133">
      <c r="A34" s="143" t="inlineStr">
        <is>
          <t>5. STRESS TEST — TOP 5 SENSITIVITIES &amp; SCENARIO ANALYSIS</t>
        </is>
      </c>
    </row>
    <row r="35" ht="16" customHeight="1" s="133">
      <c r="A35" s="144" t="inlineStr">
        <is>
          <t>Input</t>
        </is>
      </c>
      <c r="B35" s="144" t="inlineStr">
        <is>
          <t>NPV Low (-20%) (EURk)</t>
        </is>
      </c>
      <c r="C35" s="144" t="inlineStr">
        <is>
          <t>NPV Base (EURk)</t>
        </is>
      </c>
      <c r="D35" s="144" t="inlineStr">
        <is>
          <t>NPV High (+20%) (EURk)</t>
        </is>
      </c>
      <c r="E35" s="144" t="inlineStr">
        <is>
          <t>Range (EURk)</t>
        </is>
      </c>
      <c r="F35" s="144" t="inlineStr">
        <is>
          <t>Rank</t>
        </is>
      </c>
    </row>
    <row r="36" ht="16" customHeight="1" s="133">
      <c r="A36" s="145" t="inlineStr">
        <is>
          <t>NCF (%)</t>
        </is>
      </c>
      <c r="B36" s="156" t="n">
        <v>-2930</v>
      </c>
      <c r="C36" s="156" t="n">
        <v>3732</v>
      </c>
      <c r="D36" s="156" t="n">
        <v>10392</v>
      </c>
      <c r="E36" s="156" t="n">
        <v>13321</v>
      </c>
      <c r="F36" s="147" t="n">
        <v>1</v>
      </c>
    </row>
    <row r="37" ht="16" customHeight="1" s="133">
      <c r="A37" s="145" t="inlineStr">
        <is>
          <t>CAPEX (EURk)</t>
        </is>
      </c>
      <c r="B37" s="156" t="n">
        <v>8332</v>
      </c>
      <c r="C37" s="156" t="n">
        <v>3732</v>
      </c>
      <c r="D37" s="156" t="n">
        <v>-868</v>
      </c>
      <c r="E37" s="156" t="n">
        <v>9200</v>
      </c>
      <c r="F37" s="147" t="n">
        <v>2</v>
      </c>
    </row>
    <row r="38" ht="16" customHeight="1" s="133">
      <c r="A38" s="145" t="inlineStr">
        <is>
          <t>OU mu (EUR/MWh)</t>
        </is>
      </c>
      <c r="B38" s="156" t="n">
        <v>98</v>
      </c>
      <c r="C38" s="156" t="n">
        <v>3732</v>
      </c>
      <c r="D38" s="156" t="n">
        <v>7320</v>
      </c>
      <c r="E38" s="156" t="n">
        <v>7222</v>
      </c>
      <c r="F38" s="147" t="n">
        <v>3</v>
      </c>
    </row>
    <row r="39" ht="16" customHeight="1" s="133">
      <c r="A39" s="145" t="inlineStr">
        <is>
          <t>PPA Price (EUR/MWh)</t>
        </is>
      </c>
      <c r="B39" s="156" t="n">
        <v>605</v>
      </c>
      <c r="C39" s="156" t="n">
        <v>3732</v>
      </c>
      <c r="D39" s="156" t="n">
        <v>6859</v>
      </c>
      <c r="E39" s="156" t="n">
        <v>6254</v>
      </c>
      <c r="F39" s="147" t="n">
        <v>4</v>
      </c>
    </row>
    <row r="40" ht="16" customHeight="1" s="133">
      <c r="A40" s="145" t="inlineStr">
        <is>
          <t>Alpha end (%)</t>
        </is>
      </c>
      <c r="B40" s="156" t="n">
        <v>5086</v>
      </c>
      <c r="C40" s="156" t="n">
        <v>3732</v>
      </c>
      <c r="D40" s="156" t="n">
        <v>2370</v>
      </c>
      <c r="E40" s="156" t="n">
        <v>2716</v>
      </c>
      <c r="F40" s="147" t="n">
        <v>5</v>
      </c>
    </row>
    <row r="42" ht="16" customHeight="1" s="133">
      <c r="A42" s="144" t="inlineStr">
        <is>
          <t>Scenario</t>
        </is>
      </c>
      <c r="B42" s="144" t="inlineStr">
        <is>
          <t>NPV P50 (EURk)</t>
        </is>
      </c>
      <c r="C42" s="144" t="inlineStr">
        <is>
          <t>vs Base (EURk)</t>
        </is>
      </c>
      <c r="D42" s="144" t="inlineStr">
        <is>
          <t>vs Base (%)</t>
        </is>
      </c>
      <c r="E42" s="144" t="inlineStr"/>
      <c r="F42" s="144" t="inlineStr"/>
    </row>
    <row r="43" ht="16" customHeight="1" s="133">
      <c r="A43" s="150" t="inlineStr">
        <is>
          <t>Optimistic</t>
        </is>
      </c>
      <c r="B43" s="151" t="n">
        <v>16496</v>
      </c>
      <c r="C43" s="151" t="n">
        <v>12764</v>
      </c>
      <c r="D43" s="152" t="n">
        <v>3.4198</v>
      </c>
      <c r="E43" s="146" t="inlineStr"/>
      <c r="F43" s="146" t="inlineStr"/>
    </row>
    <row r="44" ht="16" customHeight="1" s="133">
      <c r="A44" s="145" t="inlineStr">
        <is>
          <t>Base Case</t>
        </is>
      </c>
      <c r="B44" s="156" t="n">
        <v>3732</v>
      </c>
      <c r="C44" s="156" t="n">
        <v>0</v>
      </c>
      <c r="D44" s="157" t="n">
        <v>0</v>
      </c>
      <c r="E44" s="147" t="inlineStr"/>
      <c r="F44" s="147" t="inlineStr"/>
    </row>
    <row r="45" ht="16" customHeight="1" s="133">
      <c r="A45" s="158" t="inlineStr">
        <is>
          <t>Pessimistic</t>
        </is>
      </c>
      <c r="B45" s="159" t="n">
        <v>-7461</v>
      </c>
      <c r="C45" s="159" t="n">
        <v>-11193</v>
      </c>
      <c r="D45" s="160" t="n">
        <v>-2.9989</v>
      </c>
      <c r="E45" s="161" t="inlineStr"/>
      <c r="F45" s="161" t="inlineStr"/>
    </row>
    <row r="47" ht="18" customHeight="1" s="133">
      <c r="A47" s="143" t="inlineStr">
        <is>
          <t>6. KEY THESIS FINDINGS</t>
        </is>
      </c>
    </row>
    <row r="48" ht="45" customHeight="1" s="133">
      <c r="A48" s="164" t="inlineStr">
        <is>
          <t>Finding 1</t>
        </is>
      </c>
      <c r="B48" s="165" t="inlineStr">
        <is>
          <t>Segmented WACC framework produces higher NPV than single WACC (difference: -842 EURk at P50). Single WACC systematically overestimates the discount rate applied to contracted PPA cash flows, leading to systematic undervaluation.</t>
        </is>
      </c>
    </row>
    <row r="49" ht="45" customHeight="1" s="133">
      <c r="A49" s="164" t="inlineStr">
        <is>
          <t>Finding 2</t>
        </is>
      </c>
      <c r="B49" s="165" t="inlineStr">
        <is>
          <t>Merchant tail risk causes significant debt capacity contraction of 42.9% from P50 to P90. A lender using P50 to size debt would over-leverage the project. P90 is the appropriate conservative basis for debt sizing in non-recourse project finance.</t>
        </is>
      </c>
    </row>
    <row r="50" ht="45" customHeight="1" s="133">
      <c r="A50" s="164" t="inlineStr">
        <is>
          <t>Finding 3</t>
        </is>
      </c>
      <c r="B50" s="165" t="inlineStr">
        <is>
          <t>NCF (capacity factor) is the primary value driver (sensitivity range: 13,321 EURk), followed by long-run mean price mu (9,200 EURk). OU volatility sigma has negligible NPV impact (146 EURk) — volatility affects risk distribution, not expected value.</t>
        </is>
      </c>
    </row>
    <row r="51" ht="45" customHeight="1" s="133">
      <c r="A51" s="164" t="inlineStr">
        <is>
          <t>Finding 4</t>
        </is>
      </c>
      <c r="B51" s="165" t="inlineStr">
        <is>
          <t>P50 NPV = 3,732 EURk under segmented WACC. P99 NPV = -3,044 EURk under extreme merchant stress. The segmented WACC framework reveals a valuation gap that a single blended WACC would obscure, with material implications for both equity valuation and debt capacity assessment.</t>
        </is>
      </c>
    </row>
  </sheetData>
  <mergeCells count="12">
    <mergeCell ref="A2:F2"/>
    <mergeCell ref="A11:F11"/>
    <mergeCell ref="A47:F47"/>
    <mergeCell ref="A19:F19"/>
    <mergeCell ref="B48:F48"/>
    <mergeCell ref="A1:F1"/>
    <mergeCell ref="B51:F51"/>
    <mergeCell ref="A34:F34"/>
    <mergeCell ref="A4:F4"/>
    <mergeCell ref="B50:F50"/>
    <mergeCell ref="A25:F25"/>
    <mergeCell ref="B49:F49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Sarah Wulff</dc:creator>
  <dcterms:created xmlns:dcterms="http://purl.org/dc/terms/" xmlns:xsi="http://www.w3.org/2001/XMLSchema-instance" xsi:type="dcterms:W3CDTF">2026-04-23T07:47:57Z</dcterms:created>
  <dcterms:modified xmlns:dcterms="http://purl.org/dc/terms/" xmlns:xsi="http://www.w3.org/2001/XMLSchema-instance" xsi:type="dcterms:W3CDTF">2026-05-15T12:03:10Z</dcterms:modified>
  <cp:lastModifiedBy>Sarah Wulff</cp:lastModifiedBy>
</cp:coreProperties>
</file>